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TESIS\TESIS_KEJAR_TESTING\prompt_token_calc\"/>
    </mc:Choice>
  </mc:AlternateContent>
  <xr:revisionPtr revIDLastSave="0" documentId="13_ncr:1_{FF5B732F-DDAC-4C97-8282-87DAD6785ED4}" xr6:coauthVersionLast="47" xr6:coauthVersionMax="47" xr10:uidLastSave="{00000000-0000-0000-0000-000000000000}"/>
  <bookViews>
    <workbookView xWindow="-108" yWindow="-108" windowWidth="23256" windowHeight="13176" xr2:uid="{00000000-000D-0000-FFFF-FFFF00000000}"/>
  </bookViews>
  <sheets>
    <sheet name="MASTER_DATA" sheetId="1" r:id="rId1"/>
    <sheet name="System Efficiency" sheetId="4" r:id="rId2"/>
    <sheet name="User Quality" sheetId="7" r:id="rId3"/>
    <sheet name="Trends" sheetId="8" r:id="rId4"/>
    <sheet name="Prompt Response Correl" sheetId="9" r:id="rId5"/>
    <sheet name="Regresi" sheetId="10" r:id="rId6"/>
  </sheets>
  <definedNames>
    <definedName name="_xlnm._FilterDatabase" localSheetId="0" hidden="1">MASTER_DATA!$A$1:$AC$536</definedName>
    <definedName name="_xlnm._FilterDatabase" localSheetId="2" hidden="1">'User Quality'!$A$1:$F$66</definedName>
  </definedNames>
  <calcPr calcId="191029"/>
  <pivotCaches>
    <pivotCache cacheId="29"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c r="D4" i="10"/>
  <c r="D5" i="10"/>
  <c r="D6" i="10"/>
  <c r="E6" i="10" s="1"/>
  <c r="D7" i="10"/>
  <c r="E7" i="10" s="1"/>
  <c r="D8" i="10"/>
  <c r="E8" i="10" s="1"/>
  <c r="D9" i="10"/>
  <c r="E9" i="10" s="1"/>
  <c r="D10" i="10"/>
  <c r="D11" i="10"/>
  <c r="D12" i="10"/>
  <c r="D13" i="10"/>
  <c r="D14" i="10"/>
  <c r="D15" i="10"/>
  <c r="D16" i="10"/>
  <c r="D17" i="10"/>
  <c r="D18" i="10"/>
  <c r="E18" i="10" s="1"/>
  <c r="D19" i="10"/>
  <c r="E19" i="10" s="1"/>
  <c r="D20" i="10"/>
  <c r="E20" i="10" s="1"/>
  <c r="D21" i="10"/>
  <c r="E21" i="10" s="1"/>
  <c r="D22" i="10"/>
  <c r="E22" i="10" s="1"/>
  <c r="D23" i="10"/>
  <c r="D24" i="10"/>
  <c r="D25" i="10"/>
  <c r="D26" i="10"/>
  <c r="D27" i="10"/>
  <c r="D28" i="10"/>
  <c r="D29" i="10"/>
  <c r="D30" i="10"/>
  <c r="E30" i="10" s="1"/>
  <c r="D31" i="10"/>
  <c r="E31" i="10" s="1"/>
  <c r="D32" i="10"/>
  <c r="E32" i="10" s="1"/>
  <c r="D33" i="10"/>
  <c r="E33" i="10" s="1"/>
  <c r="D34" i="10"/>
  <c r="E34" i="10" s="1"/>
  <c r="D35" i="10"/>
  <c r="D36" i="10"/>
  <c r="D37" i="10"/>
  <c r="D38" i="10"/>
  <c r="D39" i="10"/>
  <c r="D40" i="10"/>
  <c r="D41" i="10"/>
  <c r="D42" i="10"/>
  <c r="E42" i="10" s="1"/>
  <c r="D43" i="10"/>
  <c r="E43" i="10" s="1"/>
  <c r="D44" i="10"/>
  <c r="E44" i="10" s="1"/>
  <c r="D45" i="10"/>
  <c r="E45" i="10" s="1"/>
  <c r="D46" i="10"/>
  <c r="E46" i="10" s="1"/>
  <c r="D47" i="10"/>
  <c r="D48" i="10"/>
  <c r="D49" i="10"/>
  <c r="D50" i="10"/>
  <c r="D51" i="10"/>
  <c r="D52" i="10"/>
  <c r="D53" i="10"/>
  <c r="D54" i="10"/>
  <c r="E54" i="10" s="1"/>
  <c r="D55" i="10"/>
  <c r="E55" i="10" s="1"/>
  <c r="D56" i="10"/>
  <c r="E56" i="10" s="1"/>
  <c r="D57" i="10"/>
  <c r="E57" i="10" s="1"/>
  <c r="D58" i="10"/>
  <c r="E58" i="10" s="1"/>
  <c r="D59" i="10"/>
  <c r="D60" i="10"/>
  <c r="D61" i="10"/>
  <c r="D62" i="10"/>
  <c r="D63" i="10"/>
  <c r="D64" i="10"/>
  <c r="D65" i="10"/>
  <c r="D66" i="10"/>
  <c r="E66" i="10" s="1"/>
  <c r="D2" i="10"/>
  <c r="E2" i="10" s="1"/>
  <c r="C3" i="10"/>
  <c r="C4" i="10"/>
  <c r="C5" i="10"/>
  <c r="C6" i="10"/>
  <c r="C7" i="10"/>
  <c r="C8" i="10"/>
  <c r="C9" i="10"/>
  <c r="C10" i="10"/>
  <c r="C11" i="10"/>
  <c r="C12" i="10"/>
  <c r="C13" i="10"/>
  <c r="C14" i="10"/>
  <c r="E14" i="10" s="1"/>
  <c r="C15" i="10"/>
  <c r="C16" i="10"/>
  <c r="C17" i="10"/>
  <c r="C18" i="10"/>
  <c r="C19" i="10"/>
  <c r="C20" i="10"/>
  <c r="C21" i="10"/>
  <c r="C22" i="10"/>
  <c r="C23" i="10"/>
  <c r="E23" i="10" s="1"/>
  <c r="C24" i="10"/>
  <c r="C25" i="10"/>
  <c r="C26" i="10"/>
  <c r="E26" i="10" s="1"/>
  <c r="C27" i="10"/>
  <c r="C28" i="10"/>
  <c r="C29" i="10"/>
  <c r="C30" i="10"/>
  <c r="C31" i="10"/>
  <c r="C32" i="10"/>
  <c r="C33" i="10"/>
  <c r="C34" i="10"/>
  <c r="C35" i="10"/>
  <c r="E35" i="10" s="1"/>
  <c r="C36" i="10"/>
  <c r="C37" i="10"/>
  <c r="C38" i="10"/>
  <c r="E38" i="10" s="1"/>
  <c r="C39" i="10"/>
  <c r="C40" i="10"/>
  <c r="C41" i="10"/>
  <c r="C42" i="10"/>
  <c r="C43" i="10"/>
  <c r="C44" i="10"/>
  <c r="C45" i="10"/>
  <c r="C46" i="10"/>
  <c r="C47" i="10"/>
  <c r="E47" i="10" s="1"/>
  <c r="C48" i="10"/>
  <c r="C49" i="10"/>
  <c r="C50" i="10"/>
  <c r="E50" i="10" s="1"/>
  <c r="C51" i="10"/>
  <c r="C52" i="10"/>
  <c r="C53" i="10"/>
  <c r="C54" i="10"/>
  <c r="C55" i="10"/>
  <c r="C56" i="10"/>
  <c r="C57" i="10"/>
  <c r="C58" i="10"/>
  <c r="C59" i="10"/>
  <c r="E59" i="10" s="1"/>
  <c r="C60" i="10"/>
  <c r="C61" i="10"/>
  <c r="C62" i="10"/>
  <c r="E62" i="10" s="1"/>
  <c r="C63" i="10"/>
  <c r="C64" i="10"/>
  <c r="C65" i="10"/>
  <c r="C66" i="10"/>
  <c r="C2" i="10"/>
  <c r="B74" i="9"/>
  <c r="B73" i="9"/>
  <c r="B72" i="9"/>
  <c r="F4" i="7"/>
  <c r="F2" i="7"/>
  <c r="F11" i="7"/>
  <c r="F18" i="7"/>
  <c r="F5" i="7"/>
  <c r="F28" i="7"/>
  <c r="F6" i="7"/>
  <c r="F7" i="7"/>
  <c r="F3" i="7"/>
  <c r="F38" i="7"/>
  <c r="F30" i="7"/>
  <c r="F13" i="7"/>
  <c r="F24" i="7"/>
  <c r="F17" i="7"/>
  <c r="F21" i="7"/>
  <c r="F19" i="7"/>
  <c r="F15" i="7"/>
  <c r="F10" i="7"/>
  <c r="F14" i="7"/>
  <c r="F12" i="7"/>
  <c r="F41" i="7"/>
  <c r="F9" i="7"/>
  <c r="F27" i="7"/>
  <c r="F26" i="7"/>
  <c r="F22" i="7"/>
  <c r="F23" i="7"/>
  <c r="F60" i="7"/>
  <c r="F55" i="7"/>
  <c r="F33" i="7"/>
  <c r="F47" i="7"/>
  <c r="F48" i="7"/>
  <c r="F37" i="7"/>
  <c r="F32" i="7"/>
  <c r="F45" i="7"/>
  <c r="F20" i="7"/>
  <c r="F29" i="7"/>
  <c r="F25" i="7"/>
  <c r="F35" i="7"/>
  <c r="F40" i="7"/>
  <c r="F16" i="7"/>
  <c r="F42" i="7"/>
  <c r="F65" i="7"/>
  <c r="F44" i="7"/>
  <c r="F36" i="7"/>
  <c r="F54" i="7"/>
  <c r="F52" i="7"/>
  <c r="F31" i="7"/>
  <c r="F61" i="7"/>
  <c r="F66" i="7"/>
  <c r="F34" i="7"/>
  <c r="F50" i="7"/>
  <c r="F51" i="7"/>
  <c r="F39" i="7"/>
  <c r="F53" i="7"/>
  <c r="F56" i="7"/>
  <c r="F62" i="7"/>
  <c r="F43" i="7"/>
  <c r="F57" i="7"/>
  <c r="F49" i="7"/>
  <c r="F46" i="7"/>
  <c r="F63" i="7"/>
  <c r="F59" i="7"/>
  <c r="F58" i="7"/>
  <c r="F64" i="7"/>
  <c r="F8" i="7"/>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2" i="1"/>
  <c r="N71" i="4"/>
  <c r="O71" i="4"/>
  <c r="P71" i="4"/>
  <c r="Q71" i="4"/>
  <c r="R71" i="4"/>
  <c r="S71" i="4"/>
  <c r="M71"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4" i="4"/>
  <c r="B76" i="4"/>
  <c r="B77" i="4" s="1"/>
  <c r="E10" i="10" l="1"/>
  <c r="E65" i="10"/>
  <c r="E53" i="10"/>
  <c r="E41" i="10"/>
  <c r="E29" i="10"/>
  <c r="E17" i="10"/>
  <c r="E5" i="10"/>
  <c r="E64" i="10"/>
  <c r="E52" i="10"/>
  <c r="E40" i="10"/>
  <c r="E28" i="10"/>
  <c r="E16" i="10"/>
  <c r="E4" i="10"/>
  <c r="E63" i="10"/>
  <c r="E51" i="10"/>
  <c r="E39" i="10"/>
  <c r="E27" i="10"/>
  <c r="E15" i="10"/>
  <c r="E3" i="10"/>
  <c r="E61" i="10"/>
  <c r="E49" i="10"/>
  <c r="E37" i="10"/>
  <c r="E25" i="10"/>
  <c r="E13" i="10"/>
  <c r="E60" i="10"/>
  <c r="E48" i="10"/>
  <c r="E36" i="10"/>
  <c r="E24" i="10"/>
  <c r="E12" i="10"/>
  <c r="E11" i="10"/>
  <c r="T71" i="4"/>
</calcChain>
</file>

<file path=xl/sharedStrings.xml><?xml version="1.0" encoding="utf-8"?>
<sst xmlns="http://schemas.openxmlformats.org/spreadsheetml/2006/main" count="7844" uniqueCount="4259">
  <si>
    <t>user_id</t>
  </si>
  <si>
    <t>prompt</t>
  </si>
  <si>
    <t>status</t>
  </si>
  <si>
    <t>code</t>
  </si>
  <si>
    <t>raw_response</t>
  </si>
  <si>
    <t>created_at</t>
  </si>
  <si>
    <t>week</t>
  </si>
  <si>
    <t>is_retrieval</t>
  </si>
  <si>
    <t>prompt_tokens</t>
  </si>
  <si>
    <t>response_tokens</t>
  </si>
  <si>
    <t>total_tokens</t>
  </si>
  <si>
    <t>prompt_char_length</t>
  </si>
  <si>
    <t>response_char_length</t>
  </si>
  <si>
    <t>row_id</t>
  </si>
  <si>
    <t>prompt_score</t>
  </si>
  <si>
    <t>response_score</t>
  </si>
  <si>
    <t>overall_score</t>
  </si>
  <si>
    <t>prompt_strengths</t>
  </si>
  <si>
    <t>prompt_issues</t>
  </si>
  <si>
    <t>response_strengths</t>
  </si>
  <si>
    <t>response_issues</t>
  </si>
  <si>
    <t>prompt_rewrite</t>
  </si>
  <si>
    <t>response_improvement_suggestions</t>
  </si>
  <si>
    <t>verdict</t>
  </si>
  <si>
    <t>needs_human_review</t>
  </si>
  <si>
    <t>model</t>
  </si>
  <si>
    <t>raw_json</t>
  </si>
  <si>
    <t>evaluation_status</t>
  </si>
  <si>
    <t>[MODE:summary_code_explanation]
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</si>
  <si>
    <t>done</t>
  </si>
  <si>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</si>
  <si>
    <t>W4</t>
  </si>
  <si>
    <t>Clear instructions and context provided.</t>
  </si>
  <si>
    <t>Could specify the expected output format more clearly.</t>
  </si>
  <si>
    <t>Accurate explanation and relevant code example.</t>
  </si>
  <si>
    <t>Could be more concise in the explanation.</t>
  </si>
  <si>
    <t>Jelaskan cara melatih model dengan `model.fit(X_train, y_train)` dan mengapa error ValueError: Unknown label type: continuous muncul. Berikan penjelasan dan kode yang benar.</t>
  </si>
  <si>
    <t>Summarize the explanation to focus on key points and reduce redundancy.</t>
  </si>
  <si>
    <t>good</t>
  </si>
  <si>
    <t>gpt-4o-mini</t>
  </si>
  <si>
    <t>{"prompt_score": 4, "response_score": 4, "overall_score": 4, "prompt_strengths": "Clear instructions and context provided.", "prompt_issues": "Could specify the expected output format more clearly.", "response_strengths": "Accurate explanation and relevant code example.", "response_issues": "Could be more concise in the explanation.", "prompt_rewrite": "Jelaskan cara melatih model dengan `model.fit(X_train, y_train)` dan mengapa error ValueError: Unknown label type: continuous muncul. Berikan penjelasan dan kode yang benar.", "response_improvement_suggestions": "Summarize the explanation to focus on key points and reduce redundancy.", "verdict": "good", "needs_human_review": false}</t>
  </si>
  <si>
    <t>ok</t>
  </si>
  <si>
    <t>[MODE:code]
perbaiki coba, itu nomor 4 sengaja dijadiin komentar atau bagaimana ? saya tidak paham, lakukan sesuai yang saya minta</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</si>
  <si>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</si>
  <si>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missing_targets = [c for c in [target_reg, target_clf] if c not in df.columns]
if missing_targets:
    raise ValueError(f"Kolom target tidak ditemukan: {missing_targets}. Kolom tersedia: {list(df.columns)}")
# =========================
# Features (relevan): semua kolom selain target
# =========================
X = df.drop(columns=[target_reg, target_clf])
y_reg = df[target_reg]
y_clf_raw = df[target_clf]
# =========================
# Ubah label klasifikasi ke numerik bila perlu
# =========================
def to_numeric_pass_fail(s: pd.Series) -&gt; pd.Series:
    if pd.api.types.is_numeric_dtype(s):
        return s.astype(int)
    s2 = s.astype(str).str.strip().str.lower()
    mapped = s2.map({
        "pass": 1, "passed": 1, "lulus": 1, "ya": 1, "yes": 1, "true": 1, "1": 1,
        "fail": 0, "failed": 0, "tidak lulus": 0, "tidak": 0, "no": 0, "false": 0, "0": 0
    })
    # Jika mapping tidak cocok (banyak NaN), fallback ke factorize
    if mapped.isna().any():
        codes, uniques = pd.factorize(s2)
        # Pastikan biner
        if len(uniques) != 2:
            raise ValueError(f"Target '{target_clf}' bukan biner. Nilai unik: {list(uniques)}")
        return pd.Series(codes, index=s.index).astype(int)
    return mapped.astype(int)
y_clf = to_numeric_pass_fail(y_clf_raw)
# =========================
# Split 80:20 (sekali, dipakai untuk regresi &amp; klasifikasi)
# =========================
X_train, X_test, y_reg_train, y_reg_test, y_clf_train, y_clf_test = train_test_split(
    X, y_reg, y_clf, test_size=0.2, random_state=42, stratify=y_clf
)
# =========================
# Preprocess pipeline (numerik + kategorikal)
#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REGRESI: latih model untuk prediksi final_exam_score
# =========================
reg_model = Pipeline(steps=[
    ("preprocess", preprocess),
    ("model", LinearRegression()),
])
reg_model.fit(X_train, y_reg_train)
# Prediksi regresi (ini yang akan jadi input untuk klasifikasi)
y_reg_pred_train = reg_model.predict(X_train)
y_reg_pred_test = reg_model.predict(X_test)
# =========================
# 2) KLASIFIKASI: gunakan hasil prediksi regresi sebagai input
#    Fitur klasifikasi = [pred_final_exam_score] saja (sesuai instruksi)
# =========================
X_train_clf = pd.DataFrame({"pred_final_exam_score": y_reg_pred_train}, index=X_train.index)
X_test_clf = pd.DataFrame({"pred_final_exam_score": y_reg_pred_test}, index=X_test.index)
clf_model = LogisticRegression(max_iter=1000)
clf_model.fit(X_train_clf, y_clf_train)
# Output ringkas untuk memastikan semua langkah berjalan
print("=== Shapes (80:20 split) ===")
print("X_train:", X_train.shape, "X_test:", X_test.shape)
print("y_reg_train:", y_reg_train.shape, "y_reg_test:", y_reg_test.shape)
print("y_clf_train:", y_clf</t>
  </si>
  <si>
    <t>W9</t>
  </si>
  <si>
    <t>Attempts to seek clarification.</t>
  </si>
  <si>
    <t>Lacks clarity and specificity; context is unclear.</t>
  </si>
  <si>
    <t>Includes relevant code imports.</t>
  </si>
  <si>
    <t>Does not address the prompt; lacks clarity and completeness.</t>
  </si>
  <si>
    <t>Can you clarify if number 4 is meant to be a comment? I need specific guidance on what to fix.</t>
  </si>
  <si>
    <t>Provide a clear explanation of the code and how it relates to the prompt.</t>
  </si>
  <si>
    <t>poor</t>
  </si>
  <si>
    <t>{"prompt_score": 2, "response_score": 2, "overall_score": 2, "prompt_strengths": "Attempts to seek clarification.", "prompt_issues": "Lacks clarity and specificity; context is unclear.", "response_strengths": "Includes relevant code imports.", "response_issues": "Does not address the prompt; lacks clarity and completeness.", "prompt_rewrite": "Can you clarify if number 4 is meant to be a comment? I need specific guidance on what to fix.", "response_improvement_suggestions": "Provide a clear explanation of the code and how it relates to the prompt.", "verdict": "poor", "needs_human_review": false}</t>
  </si>
  <si>
    <t>[MODE:summary_code_explanation]
oke sekarang lanjut saya disuruh untuk melengkapi kode ini. ### YOUR CODES HERE ### # Gabungkan target pada train set dan validation set. y_train_final = ...</t>
  </si>
  <si>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</si>
  <si>
    <t>W8</t>
  </si>
  <si>
    <t>Provides a clear task and context for code completion.</t>
  </si>
  <si>
    <t>Lacks specific details about the expected format of the code.</t>
  </si>
  <si>
    <t>Correctly explains how to concatenate arrays and provides relevant code.</t>
  </si>
  <si>
    <t>Could be clearer on the implications of using different array shapes.</t>
  </si>
  <si>
    <t>Please complete the following code to concatenate the target labels from the training and validation sets: ### YOUR CODES HERE ### # Combine target labels from train and validation sets.</t>
  </si>
  <si>
    <t>Clarify the implications of using different array shapes and provide examples of potential errors.</t>
  </si>
  <si>
    <t>{"prompt_score": 3, "response_score": 4, "overall_score": 4, "prompt_strengths": "Provides a clear task and context for code completion.", "prompt_issues": "Lacks specific details about the expected format of the code.", "response_strengths": "Correctly explains how to concatenate arrays and provides relevant code.", "response_issues": "Could be clearer on the implications of using different array shapes.", "prompt_rewrite": "Please complete the following code to concatenate the target labels from the training and validation sets: ### YOUR CODES HERE ### # Combine target labels from train and validation sets.", "response_improvement_suggestions": "Clarify the implications of using different array shapes and provide examples of potential errors.", "verdict": "good", "needs_human_review": false}</t>
  </si>
  <si>
    <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</si>
  <si>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</si>
  <si>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```python
#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t>
  </si>
  <si>
    <t>W2</t>
  </si>
  <si>
    <t>The prompt provides a specific error message and context for troubleshooting.</t>
  </si>
  <si>
    <t>Lacks clarity in the exact nature of the error and what the user has tried.</t>
  </si>
  <si>
    <t>The response is relevant, provides a solution, and includes code to help debug the issue.</t>
  </si>
  <si>
    <t>Could be clearer in explaining the changes made and why they are necessary.</t>
  </si>
  <si>
    <t>Apa penyebab error ValueError yang muncul saat menjalankan grid_search.fit? Saya sudah mencoba beberapa parameter.</t>
  </si>
  <si>
    <t>Add a brief explanation of how the suggested changes will help identify the error.</t>
  </si>
  <si>
    <t>{"prompt_score": 3, "response_score": 4, "overall_score": 4, "prompt_strengths": "The prompt provides a specific error message and context for troubleshooting.", "prompt_issues": "Lacks clarity in the exact nature of the error and what the user has tried.", "response_strengths": "The response is relevant, provides a solution, and includes code to help debug the issue.", "response_issues": "Could be clearer in explaining the changes made and why they are necessary.", "prompt_rewrite": "Apa penyebab error ValueError yang muncul saat menjalankan grid_search.fit? Saya sudah mencoba beberapa parameter.", "response_improvement_suggestions": "Add a brief explanation of how the suggested changes will help identify the error.", "verdict": "good", "needs_human_review": false}</t>
  </si>
  <si>
    <t>[MODE:code]
Simpan semua baris dari kolom ke-7 ke dalam variabel `y`. lalu saya disuruh buat itu y = jawab y = apa</t>
  </si>
  <si>
    <t>y = array[:, 7]</t>
  </si>
  <si>
    <t>```python
y = array[:, 7]
```</t>
  </si>
  <si>
    <t>The prompt specifies a clear action to be taken.</t>
  </si>
  <si>
    <t>Lacks clarity in the expected output format and context.</t>
  </si>
  <si>
    <t>The response is relevant and correctly identifies the action to take.</t>
  </si>
  <si>
    <t>The response is incomplete and lacks clarity on how to implement the action.</t>
  </si>
  <si>
    <t>Simpan semua baris dari kolom ke-7 ke dalam variabel `y`. Apa format yang diharapkan untuk `y`?</t>
  </si>
  <si>
    <t>Provide a more detailed explanation of how to extract the column and assign it to `y`.</t>
  </si>
  <si>
    <t>fair</t>
  </si>
  <si>
    <t>{"prompt_score": 3, "response_score": 4, "overall_score": 3, "prompt_strengths": "The prompt specifies a clear action to be taken.", "prompt_issues": "Lacks clarity in the expected output format and context.", "response_strengths": "The response is relevant and correctly identifies the action to take.", "response_issues": "The response is incomplete and lacks clarity on how to implement the action.", "prompt_rewrite": "Simpan semua baris dari kolom ke-7 ke dalam variabel `y`. Apa format yang diharapkan untuk `y`?", "response_improvement_suggestions": "Provide a more detailed explanation of how to extract the column and assign it to `y`.", "verdict": "fair", "needs_human_review": false}</t>
  </si>
  <si>
    <t>[MODE:code]
Sigmoid(2)= ...; Gunakan fungsi sigmoid. * 0.2 1 0.88 0.5 dari soal di atas manakah jawaban yang paling tepat untuk menjawab soal tersebut</t>
  </si>
  <si>
    <t>import math
def sigmoid(x: float) -&gt; float:
    return 1 / (1 + math.exp(-x))
val = sigmoid(2)
choices = [0.2, 1.0, 0.88, 0.5]
best = min(choices, key=lambda c: abs(c - val))
print(val)
print(best)</t>
  </si>
  <si>
    <t>```python
import math
def sigmoid(x: float) -&gt; float:
    return 1 / (1 + math.exp(-x))
val = sigmoid(2)
choices = [0.2, 1.0, 0.88, 0.5]
best = min(choices, key=lambda c: abs(c - val))
print(val)
print(best)
```</t>
  </si>
  <si>
    <t>Specifies the use of the sigmoid function.</t>
  </si>
  <si>
    <t>Lacks clarity and context for the choices provided.</t>
  </si>
  <si>
    <t>Correctly implements the sigmoid function and finds the closest choice.</t>
  </si>
  <si>
    <t>Could improve clarity in output and explanation of results.</t>
  </si>
  <si>
    <t>Calculate Sigmoid(2) using the sigmoid function and identify the closest value from the options: 0.2, 1, 0.88, 0.5.</t>
  </si>
  <si>
    <t>Add comments to explain the code and clarify the output.</t>
  </si>
  <si>
    <t>{"prompt_score": 3, "response_score": 4, "overall_score": 3, "prompt_strengths": "Specifies the use of the sigmoid function.", "prompt_issues": "Lacks clarity and context for the choices provided.", "response_strengths": "Correctly implements the sigmoid function and finds the closest choice.", "response_issues": "Could improve clarity in output and explanation of results.", "prompt_rewrite": "Calculate Sigmoid(2) using the sigmoid function and identify the closest value from the options: 0.2, 1, 0.88, 0.5.", "response_improvement_suggestions": "Add comments to explain the code and clarify the output.", "verdict": "good", "needs_human_review": false}</t>
  </si>
  <si>
    <t>[MODE:summary_code_explanation]
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</si>
  <si>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</si>
  <si>
    <t>Provides a clear context for EDA.</t>
  </si>
  <si>
    <t>Lacks specificity in the task and has some grammatical errors.</t>
  </si>
  <si>
    <t>Highly relevant, correct, and complete with clear code examples.</t>
  </si>
  <si>
    <t>Could improve clarity by explaining code snippets more thoroughly.</t>
  </si>
  <si>
    <t>Jelaskan langkah-langkah EDA untuk dataset housing, termasuk cara memeriksa nilai null dan distribusi data.</t>
  </si>
  <si>
    <t>Add more explanations for each code snippet to enhance understanding.</t>
  </si>
  <si>
    <t>{"prompt_score": 3, "response_score": 5, "overall_score": 4, "prompt_strengths": "Provides a clear context for EDA.", "prompt_issues": "Lacks specificity in the task and has some grammatical errors.", "response_strengths": "Highly relevant, correct, and complete with clear code examples.", "response_issues": "Could improve clarity by explaining code snippets more thoroughly.", "prompt_rewrite": "Jelaskan langkah-langkah EDA untuk dataset housing, termasuk cara memeriksa nilai null dan distribusi data.", "response_improvement_suggestions": "Add more explanations for each code snippet to enhance understanding.", "verdict": "good", "needs_human_review": false}</t>
  </si>
  <si>
    <t>[MODE:summary]
Buat heatmap korelasi untuk fitur numerik,  kolom" numerik dari awal ke akhir memiliki nilai 1.0 yang diagonal sampai ke kolom akhir, berikan insightnya</t>
  </si>
  <si>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</si>
  <si>
    <t>Clear and specific request for a heatmap and insights.</t>
  </si>
  <si>
    <t>Could provide more context on the dataset or features involved.</t>
  </si>
  <si>
    <t>Thorough explanation of heatmap interpretation and implications for modeling.</t>
  </si>
  <si>
    <t>Could include specific examples or visualizations for clarity.</t>
  </si>
  <si>
    <t>Buat heatmap korelasi untuk fitur numerik dari dataset yang diberikan dan berikan insight tentang hubungan antar fitur.</t>
  </si>
  <si>
    <t>Include specific examples of features and their correlations to enhance understanding.</t>
  </si>
  <si>
    <t>{"prompt_score": 4, "response_score": 5, "overall_score": 4, "prompt_strengths": "Clear and specific request for a heatmap and insights.", "prompt_issues": "Could provide more context on the dataset or features involved.", "response_strengths": "Thorough explanation of heatmap interpretation and implications for modeling.", "response_issues": "Could include specific examples or visualizations for clarity.", "prompt_rewrite": "Buat heatmap korelasi untuk fitur numerik dari dataset yang diberikan dan berikan insight tentang hubungan antar fitur.", "response_improvement_suggestions": "Include specific examples of features and their correlations to enhance understanding.", "verdict": "good", "needs_human_review": false}</t>
  </si>
  <si>
    <t>[MODE:code]
untuk selanjutnya saya ingin 
1.menampilkan score terbaik dari hasil grid_search berdasarkan RMSE.
2.menampilkan best hyperparameter dari hasil grid_search</t>
  </si>
  <si>
    <t># 1) Score terbaik berdasarkan RMSE (scoring = "neg_root_mean_squared_error")
best_rmse = -grid_search.best_score_
print("Best RMSE (CV):", best_rmse)
# 2) Best hyperparameter
print("Best hyperparameters:", grid_search.best_params_)</t>
  </si>
  <si>
    <t>```python
# 1) Score terbaik berdasarkan RMSE (scoring = "neg_root_mean_squared_error")
best_rmse = -grid_search.best_score_
print("Best RMSE (CV):", best_rmse)
# 2) Best hyperparameter
print("Best hyperparameters:", grid_search.best_params_)
```</t>
  </si>
  <si>
    <t>Clear and specific about desired outputs.</t>
  </si>
  <si>
    <t>Could provide more context on the data or model used.</t>
  </si>
  <si>
    <t>Correct and complete code for the requested tasks.</t>
  </si>
  <si>
    <t>Could include comments for clarity.</t>
  </si>
  <si>
    <t>[MODE:code] Tampilkan score terbaik dari grid_search berdasarkan RMSE dan best hyperparameter. Berikan konteks tentang model yang digunakan.</t>
  </si>
  <si>
    <t>Add comments to explain each part of the code for better clarity.</t>
  </si>
  <si>
    <t>{"prompt_score": 4, "response_score": 5, "overall_score": 4, "prompt_strengths": "Clear and specific about desired outputs.", "prompt_issues": "Could provide more context on the data or model used.", "response_strengths": "Correct and complete code for the requested tasks.", "response_issues": "Could include comments for clarity.", "prompt_rewrite": "[MODE:code] Tampilkan score terbaik dari grid_search berdasarkan RMSE dan best hyperparameter. Berikan konteks tentang model yang digunakan.", "response_improvement_suggestions": "Add comments to explain each part of the code for better clarity.", "verdict": "good", "needs_human_review": false}</t>
  </si>
  <si>
    <t>Lacks clarity and structure, making it hard to follow.</t>
  </si>
  <si>
    <t>None.</t>
  </si>
  <si>
    <t>weak</t>
  </si>
  <si>
    <t>[MODE:summary]
dari jawaban yang anda telah kasih seberapa yakin anda sebutkan dalam persen untuk jawaban jawaban ini?</t>
  </si>
  <si>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</si>
  <si>
    <t>Directly asks for confidence percentages.</t>
  </si>
  <si>
    <t>Lacks clarity in context and specific constraints.</t>
  </si>
  <si>
    <t>Provides detailed confidence levels with explanations.</t>
  </si>
  <si>
    <t>Could be more concise and structured.</t>
  </si>
  <si>
    <t>Seberapa yakin Anda terhadap jawaban-jawaban ini dalam persen? Berikan penjelasan jika perlu.</t>
  </si>
  <si>
    <t>Summarize the confidence levels in a table format for clarity.</t>
  </si>
  <si>
    <t>{"prompt_score": 3, "response_score": 4, "overall_score": 4, "prompt_strengths": "Directly asks for confidence percentages.", "prompt_issues": "Lacks clarity in context and specific constraints.", "response_strengths": "Provides detailed confidence levels with explanations.", "response_issues": "Could be more concise and structured.", "prompt_rewrite": "Seberapa yakin Anda terhadap jawaban-jawaban ini dalam persen? Berikan penjelasan jika perlu.", "response_improvement_suggestions": "Summarize the confidence levels in a table format for clarity.", "verdict": "good", "needs_human_review": false}</t>
  </si>
  <si>
    <t>[MODE:summary_code_explanation]
from sklearn.datasets import fetch_openml mnist = fetch_openml('mnist_784', as_frame=False) X, y = mnist.data, mnist.target Mari kita bagi `X` dan `y` menjadi 60000 gambar untuk train set dan 10000 untuk test set. X_train, X_test, y_train, y_test =</t>
  </si>
  <si>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</si>
  <si>
    <t>W5</t>
  </si>
  <si>
    <t>Clear and specific about the task.</t>
  </si>
  <si>
    <t>Could provide more context on the expected output format.</t>
  </si>
  <si>
    <t>Accurate, complete, and clearly explains the slicing.</t>
  </si>
  <si>
    <t>Explain how to split the MNIST dataset into training and testing sets with clear output expectations.</t>
  </si>
  <si>
    <t>None needed; response is already strong.</t>
  </si>
  <si>
    <t>{"prompt_score": 4, "response_score": 5, "overall_score": 4, "prompt_strengths": "Clear and specific about the task.", "prompt_issues": "Could provide more context on the expected output format.", "response_strengths": "Accurate, complete, and clearly explains the slicing.", "response_issues": "None.", "prompt_rewrite": "Explain how to split the MNIST dataset into training and testing sets with clear output expectations.", "response_improvement_suggestions": "None needed; response is already strong.", "verdict": "good", "needs_human_review": false}</t>
  </si>
  <si>
    <t>[MODE:code]
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</si>
  <si>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</si>
  <si>
    <t>```python
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
```</t>
  </si>
  <si>
    <t>Clear instructions with specific requirements.</t>
  </si>
  <si>
    <t>Could benefit from more context on the dataset.</t>
  </si>
  <si>
    <t>Correct implementation of the prompt requirements.</t>
  </si>
  <si>
    <t>None significant; response is complete and clear.</t>
  </si>
  <si>
    <t>Bantu saya mengerjakan praktikum kecerdasan mesin dengan dataset student_exam_performance_dataset (1).csv. Gunakan Pipeline, ColumnTransformer, StandardScaler, dan OneHotEncoder. Hindari target leakage dan pastikan preprocessing konsisten. Tampilkan 5 baris pertama, ukuran dataset, dan tipe data setiap kolom dengan rapi.</t>
  </si>
  <si>
    <t>Consider adding comments in the code for clarity.</t>
  </si>
  <si>
    <t>excellent</t>
  </si>
  <si>
    <t>{"prompt_score": 4, "response_score": 5, "overall_score": 5, "prompt_strengths": "Clear instructions with specific requirements.", "prompt_issues": "Could benefit from more context on the dataset.", "response_strengths": "Correct implementation of the prompt requirements.", "response_issues": "None significant; response is complete and clear.", "prompt_rewrite": "Bantu saya mengerjakan praktikum kecerdasan mesin dengan dataset student_exam_performance_dataset (1).csv. Gunakan Pipeline, ColumnTransformer, StandardScaler, dan OneHotEncoder. Hindari target leakage dan pastikan preprocessing konsisten. Tampilkan 5 baris pertama, ukuran dataset, dan tipe data setiap kolom dengan rapi.", "response_improvement_suggestions": "Consider adding comments in the code for clarity.", "verdict": "excellent", "needs_human_review": false}</t>
  </si>
  <si>
    <t>[MODE:summary]
jadi pada asumsi GD adalah cost turun tiap iterasi. apakah pada pernyataan tersebut benar atau salah?</t>
  </si>
  <si>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</si>
  <si>
    <t>The prompt is clear and specific about the topic.</t>
  </si>
  <si>
    <t>Lacks context on GD and its implications.</t>
  </si>
  <si>
    <t>The response is relevant, correct, and provides a complete explanation.</t>
  </si>
  <si>
    <t>Could be clearer in explaining conditions under which cost may not decrease.</t>
  </si>
  <si>
    <t>[MODE:summary] Apakah benar bahwa pada setiap iterasi GD (gradient descent), biaya (cost) selalu menurun? Jelaskan kondisi yang mempengaruhi hal ini.</t>
  </si>
  <si>
    <t>Clarify the conditions under which cost may not decrease and provide examples.</t>
  </si>
  <si>
    <t>{"prompt_score": 3, "response_score": 4, "overall_score": 4, "prompt_strengths": "The prompt is clear and specific about the topic.", "prompt_issues": "Lacks context on GD and its implications.", "response_strengths": "The response is relevant, correct, and provides a complete explanation.", "response_issues": "Could be clearer in explaining conditions under which cost may not decrease.", "prompt_rewrite": "[MODE:summary] Apakah benar bahwa pada setiap iterasi GD (gradient descent), biaya (cost) selalu menurun? Jelaskan kondisi yang mempengaruhi hal ini.", "response_improvement_suggestions": "Clarify the conditions under which cost may not decrease and provide examples.", "verdict": "good", "needs_human_review": false}</t>
  </si>
  <si>
    <t>[MODE:summary]
Konteks: Jelaskan konsep [Sifat Fungsi MSE]: Level: pemula Minta: definisi singkat, analogi, contoh nyata, dan kapan konsep ini dipakai.</t>
  </si>
  <si>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</si>
  <si>
    <t>Clear and specific request for a summary.</t>
  </si>
  <si>
    <t>Could specify the desired length of the response.</t>
  </si>
  <si>
    <t>Accurate, comprehensive, and includes relevant examples.</t>
  </si>
  <si>
    <t>None significant.</t>
  </si>
  <si>
    <t>[MODE:summary] Konteks: Jelaskan konsep [Sifat Fungsi MSE]: Level: pemula Minta: definisi singkat, analogi, contoh nyata, dan kapan konsep ini dipakai. (Maksimal 150 kata)</t>
  </si>
  <si>
    <t>None needed; response is well-structured.</t>
  </si>
  <si>
    <t>{"prompt_score": 4, "response_score": 5, "overall_score": 5, "prompt_strengths": "Clear and specific request for a summary.", "prompt_issues": "Could specify the desired length of the response.", "response_strengths": "Accurate, comprehensive, and includes relevant examples.", "response_issues": "None significant.", "prompt_rewrite": "[MODE:summary] Konteks: Jelaskan konsep [Sifat Fungsi MSE]: Level: pemula Minta: definisi singkat, analogi, contoh nyata, dan kapan konsep ini dipakai. (Maksimal 150 kata)", "response_improvement_suggestions": "None needed; response is well-structured.", "verdict": "excellent", "needs_human_review": false}</t>
  </si>
  <si>
    <t>[MODE:code]
diberikan template ipynb dan juga csv yang bernama 02_insurance.csv, bagaimana cara menampilkan 5 data pertama, awalnya saya menulis df = pd.read_csv("02_insurance.csv")</t>
  </si>
  <si>
    <t>import pandas as pd
df = pd.read_csv("02_insurance.csv")
df.head()</t>
  </si>
  <si>
    <t>```python
import pandas as pd
df = pd.read_csv("02_insurance.csv")
df.head()
```</t>
  </si>
  <si>
    <t>W3</t>
  </si>
  <si>
    <t>Clear request for data manipulation in Python.</t>
  </si>
  <si>
    <t>Could provide more context on the desired output format.</t>
  </si>
  <si>
    <t>Correct and complete code for displaying data.</t>
  </si>
  <si>
    <t>Lacks explanation or comments for clarity.</t>
  </si>
  <si>
    <t>Dengan template ipynb dan file csv bernama 02_insurance.csv, bagaimana cara menampilkan 5 data pertama dalam format tabel?</t>
  </si>
  <si>
    <t>Add comments to explain each step of the code.</t>
  </si>
  <si>
    <t>{"prompt_score": 4, "response_score": 5, "overall_score": 4, "prompt_strengths": "Clear request for data manipulation in Python.", "prompt_issues": "Could provide more context on the desired output format.", "response_strengths": "Correct and complete code for displaying data.", "response_issues": "Lacks explanation or comments for clarity.", "prompt_rewrite": "Dengan template ipynb dan file csv bernama 02_insurance.csv, bagaimana cara menampilkan 5 data pertama dalam format tabel?", "response_improvement_suggestions": "Add comments to explain each step of the code.", "verdict": "good", "needs_human_review": false}</t>
  </si>
  <si>
    <t>[MODE:code]
[ASSESSMENT_ID:1771cf81-0a65-11f1-b762-3e0936ad7efb]
[FORCE_GPT:true]
[AUTO_FALLBACK:true]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</si>
  <si>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t>
  </si>
  <si>
    <t>```python
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
```</t>
  </si>
  <si>
    <t>Clear instructions and specific steps.</t>
  </si>
  <si>
    <t>Could benefit from clearer formatting.</t>
  </si>
  <si>
    <t>Correct and complete code implementation.</t>
  </si>
  <si>
    <t>Could use more comments for clarity.</t>
  </si>
  <si>
    <t>Setelah eksplorasi data, simpan semua nilai dataframe ke dalam variabel array menggunakan attribute values. Extract semua baris dan kolom ke-1 s.d. ke-7 ke dalam variabel X, dan simpan semua baris dari kolom ke-7 ke dalam variabel y. Buat variabel seed dengan nilai 7. Pisahkan kode agar mudah dibaca.</t>
  </si>
  <si>
    <t>Add more comments to explain each step of the code.</t>
  </si>
  <si>
    <t>{"prompt_score": 4, "response_score": 5, "overall_score": 4, "prompt_strengths": "Clear instructions and specific steps.", "prompt_issues": "Could benefit from clearer formatting.", "response_strengths": "Correct and complete code implementation.", "response_issues": "Could use more comments for clarity.", "prompt_rewrite": "Setelah eksplorasi data, simpan semua nilai dataframe ke dalam variabel array menggunakan attribute values. Extract semua baris dan kolom ke-1 s.d. ke-7 ke dalam variabel X, dan simpan semua baris dari kolom ke-7 ke dalam variabel y. Buat variabel seed dengan nilai 7. Pisahkan kode agar mudah dibaca.", "response_improvement_suggestions": "Add more comments to explain each step of the code.", "verdict": "good", "needs_human_review": false}</t>
  </si>
  <si>
    <t>[MODE:summary]
saya mengerjakan quiz tolong bantu saya, Apa fungsi df.isnull().sum()?
.  apa jawaban dari soal berikut</t>
  </si>
  <si>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</si>
  <si>
    <t>Clear request for help with a specific quiz question.</t>
  </si>
  <si>
    <t>Could provide more context about the quiz.</t>
  </si>
  <si>
    <t>Accurate, clear, and complete explanation of the function.</t>
  </si>
  <si>
    <t>None noted.</t>
  </si>
  <si>
    <t>[MODE:summary] Saya mengerjakan quiz tentang DataFrame di Python. Tolong bantu saya menjelaskan fungsi df.isnull().sum() dan jawab soal berikut.</t>
  </si>
  <si>
    <t>None needed; the response is already comprehensive.</t>
  </si>
  <si>
    <t>{"prompt_score": 4, "response_score": 5, "overall_score": 5, "prompt_strengths": "Clear request for help with a specific quiz question.", "prompt_issues": "Could provide more context about the quiz.", "response_strengths": "Accurate, clear, and complete explanation of the function.", "response_issues": "None noted.", "prompt_rewrite": "[MODE:summary] Saya mengerjakan quiz tentang DataFrame di Python. Tolong bantu saya menjelaskan fungsi df.isnull().sum() dan jawab soal berikut.", "response_improvement_suggestions": "None needed; the response is already comprehensive.", "verdict": "excellent", "needs_human_review": false}</t>
  </si>
  <si>
    <t>[MODE:code]
Konteks: Jelaskan konsep Epoch untuk mahasiswa.
Level: pemula.
Minta: apkah Epoch itu 1 gradient, 1 fitur, 1iterasi atau 1 loop data</t>
  </si>
  <si>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</si>
  <si>
    <t>```text
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
```</t>
  </si>
  <si>
    <t>Clear context and specific request.</t>
  </si>
  <si>
    <t>Could be more concise.</t>
  </si>
  <si>
    <t>Accurate, detailed, and well-structured explanation.</t>
  </si>
  <si>
    <t>[MODE:code] Konteks: Jelaskan konsep Epoch untuk mahasiswa pemula. Apa itu Epoch dalam konteks pelatihan model?</t>
  </si>
  <si>
    <t>Consider summarizing key points for brevity.</t>
  </si>
  <si>
    <t>{"prompt_score": 4, "response_score": 5, "overall_score": 4, "prompt_strengths": "Clear context and specific request.", "prompt_issues": "Could be more concise.", "response_strengths": "Accurate, detailed, and well-structured explanation.", "response_issues": "None significant.", "prompt_rewrite": "[MODE:code] Konteks: Jelaskan konsep Epoch untuk mahasiswa pemula. Apa itu Epoch dalam konteks pelatihan model?", "response_improvement_suggestions": "Consider summarizing key points for brevity.", "verdict": "good", "needs_human_review": false}</t>
  </si>
  <si>
    <t>[MODE:code]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 Buatkan saya codenya.</t>
  </si>
  <si>
    <t>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t>
  </si>
  <si>
    <t>```python
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
```</t>
  </si>
  <si>
    <t>Clear instructions with specific tasks.</t>
  </si>
  <si>
    <t>Could benefit from more context about the dataset.</t>
  </si>
  <si>
    <t>Correct and complete code that addresses all prompt requirements.</t>
  </si>
  <si>
    <t>Minor improvements in comments for clarity could be made.</t>
  </si>
  <si>
    <t>Bagian 1 - Load Dataset: Load the dataset 'student_exam_performance_dataset (1).csv'. Display the first 5 rows, the size of the dataset, the data types of each column, and the initial distribution of 'pass_fail' and 'grade_category'. Provide the code for these tasks.</t>
  </si>
  <si>
    <t>Add comments explaining each step of the code for better clarity.</t>
  </si>
  <si>
    <t>{"prompt_score": 4, "response_score": 5, "overall_score": 4, "prompt_strengths": "Clear instructions with specific tasks.", "prompt_issues": "Could benefit from more context about the dataset.", "response_strengths": "Correct and complete code that addresses all prompt requirements.", "response_issues": "Minor improvements in comments for clarity could be made.", "prompt_rewrite": "Bagian 1 - Load Dataset: Load the dataset 'student_exam_performance_dataset (1).csv'. Display the first 5 rows, the size of the dataset, the data types of each column, and the initial distribution of 'pass_fail' and 'grade_category'. Provide the code for these tasks.", "response_improvement_suggestions": "Add comments explaining each step of the code for better clarity.", "verdict": "good", "needs_human_review": false}</t>
  </si>
  <si>
    <t>[MODE:code]
setelah proses melihat shape tersebut Kemudian, selanjutnya tampilakn `ringkasan statistik dari dataset</t>
  </si>
  <si>
    <t># Ringkasan statistik dataset
dataframe.describe()</t>
  </si>
  <si>
    <t>```python
# Ringkasan statistik dataset
dataframe.describe()
```</t>
  </si>
  <si>
    <t>Indicates a specific action to take.</t>
  </si>
  <si>
    <t>Lacks clarity and has some grammatical errors.</t>
  </si>
  <si>
    <t>Directly addresses the prompt with a relevant code snippet.</t>
  </si>
  <si>
    <t>Could provide more context or explanation.</t>
  </si>
  <si>
    <t>[MODE:code] Setelah melihat shape dataset, tampilkan ringkasan statistik dari dataset.</t>
  </si>
  <si>
    <t>Add a brief explanation of what the code does.</t>
  </si>
  <si>
    <t>{"prompt_score": 3, "response_score": 4, "overall_score": 3, "prompt_strengths": "Indicates a specific action to take.", "prompt_issues": "Lacks clarity and has some grammatical errors.", "response_strengths": "Directly addresses the prompt with a relevant code snippet.", "response_issues": "Could provide more context or explanation.", "prompt_rewrite": "[MODE:code] Setelah melihat shape dataset, tampilkan ringkasan statistik dari dataset.", "response_improvement_suggestions": "Add a brief explanation of what the code does.", "verdict": "fair", "needs_human_review": false}</t>
  </si>
  <si>
    <t>[MODE:summary_code_explanation]
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</si>
  <si>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</si>
  <si>
    <t>Clear and specific about the required code.</t>
  </si>
  <si>
    <t>Could benefit from clearer separation of tasks.</t>
  </si>
  <si>
    <t>Comprehensive, correct, and well-structured code with explanations.</t>
  </si>
  <si>
    <t>[MODE:summary_code_explanation] Saya membutuhkan kode untuk: 1) Menampilkan best hyperparameter dan nilai score terbaik dari Grid Search. 2) Melatih model dengan best hyperparameter pada train set dan evaluasi pada test set. 3) Menampilkan isi dari tuned_accuracy untuk model KNN.</t>
  </si>
  <si>
    <t>None needed; response is already excellent.</t>
  </si>
  <si>
    <t>{"prompt_score": 4, "response_score": 5, "overall_score": 5, "prompt_strengths": "Clear and specific about the required code.", "prompt_issues": "Could benefit from clearer separation of tasks.", "response_strengths": "Comprehensive, correct, and well-structured code with explanations.", "response_issues": "None significant.", "prompt_rewrite": "[MODE:summary_code_explanation] Saya membutuhkan kode untuk: 1) Menampilkan best hyperparameter dan nilai score terbaik dari Grid Search. 2) Melatih model dengan best hyperparameter pada train set dan evaluasi pada test set. 3) Menampilkan isi dari tuned_accuracy untuk model KNN.", "response_improvement_suggestions": "None needed; response is already excellent.", "verdict": "excellent", "needs_human_review": false}</t>
  </si>
  <si>
    <t>[MODE:summary]
Jawab singkat formatnya markdown jangan copy code. Jika ada pipeline.predict(X_test) fungsinya itu untuk prediksi data test? Jelaskaknnya dalam bentuk poin poin saja singkat</t>
  </si>
  <si>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</si>
  <si>
    <t>Clear and specific request for a summary in markdown format.</t>
  </si>
  <si>
    <t>Minor spelling error in 'Jelaskaknnya'.</t>
  </si>
  <si>
    <t>Accurate, relevant, and clearly structured response with bullet points.</t>
  </si>
  <si>
    <t>[MODE:summary] Jawab singkat dalam format markdown, jangan copy code. Jika ada `pipeline.predict(X_test)`, jelaskan fungsinya untuk prediksi data test dalam bentuk poin-poin saja.</t>
  </si>
  <si>
    <t>None needed; response is already comprehensive.</t>
  </si>
  <si>
    <t>{"prompt_score": 4, "response_score": 5, "overall_score": 5, "prompt_strengths": "Clear and specific request for a summary in markdown format.", "prompt_issues": "Minor spelling error in 'Jelaskaknnya'.", "response_strengths": "Accurate, relevant, and clearly structured response with bullet points.", "response_issues": "None noted.", "prompt_rewrite": "[MODE:summary] Jawab singkat dalam format markdown, jangan copy code. Jika ada `pipeline.predict(X_test)`, jelaskan fungsinya untuk prediksi data test dalam bentuk poin-poin saja.", "response_improvement_suggestions": "None needed; response is already comprehensive.", "verdict": "excellent", "needs_human_review": false}</t>
  </si>
  <si>
    <t>[MODE:summary_code_explanation]
kalau ada pertanyaan Question : ada berapa Sampel dan Fitur di dataset?
apa jawaban dari pertanyaan tersebut</t>
  </si>
  <si>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</si>
  <si>
    <t>Clear and specific question about dataset characteristics.</t>
  </si>
  <si>
    <t>Could provide more context about the dataset.</t>
  </si>
  <si>
    <t>Accurate, complete, and clear explanation with code examples.</t>
  </si>
  <si>
    <t>None significant; could be slightly more concise.</t>
  </si>
  <si>
    <t>Berapa jumlah sampel dan fitur dalam dataset yang diberikan?</t>
  </si>
  <si>
    <t>Consider summarizing the explanation to enhance conciseness.</t>
  </si>
  <si>
    <t>{"prompt_score": 4, "response_score": 5, "overall_score": 4, "prompt_strengths": "Clear and specific question about dataset characteristics.", "prompt_issues": "Could provide more context about the dataset.", "response_strengths": "Accurate, complete, and clear explanation with code examples.", "response_issues": "None significant; could be slightly more concise.", "prompt_rewrite": "Berapa jumlah sampel dan fitur dalam dataset yang diberikan?", "response_improvement_suggestions": "Consider summarizing the explanation to enhance conciseness.", "verdict": "good", "needs_human_review": false}</t>
  </si>
  <si>
    <t>[MODE:code]
Latih parameter akhir theta_final menggunakan data gabungan dan alpha terbaik dari validation curve.
### YOUR CODES HERE ###
# Latih model akhir menggunakan alpha terbaik hasil validation curve.
theta_final = ...</t>
  </si>
  <si>
    <t>theta_final = train_linear_reg(X_train_final, y_train_final, alpha_vec[np.argmin(error_val)])</t>
  </si>
  <si>
    <t>Could specify the expected format of theta_final more clearly.</t>
  </si>
  <si>
    <t>Correctly implements the training of the final model.</t>
  </si>
  <si>
    <t>Lacks explanation of the code and assumptions made.</t>
  </si>
  <si>
    <t>Latih parameter akhir theta_final menggunakan data gabungan dan alpha terbaik dari validation curve. Tunjukkan hasil dalam format yang jelas. ### YOUR CODES HERE ###</t>
  </si>
  <si>
    <t>Add comments explaining the code and the rationale behind choosing alpha.</t>
  </si>
  <si>
    <t>{"prompt_score": 4, "response_score": 4, "overall_score": 4, "prompt_strengths": "Clear instructions and context provided.", "prompt_issues": "Could specify the expected format of theta_final more clearly.", "response_strengths": "Correctly implements the training of the final model.", "response_issues": "Lacks explanation of the code and assumptions made.", "prompt_rewrite": "Latih parameter akhir theta_final menggunakan data gabungan dan alpha terbaik dari validation curve. Tunjukkan hasil dalam format yang jelas. ### YOUR CODES HERE ###", "response_improvement_suggestions": "Add comments explaining the code and the rationale behind choosing alpha.", "verdict": "good", "needs_human_review": false}</t>
  </si>
  <si>
    <t>[MODE:summary]
bisa berikan rangkuman penjelasan yang intinya saja pada penjelasan tentang Plot boxplot `charges` berdasarkan `smoker` memberikan insight yang cukup kuat tentang pengaruh status perokok terhadap biaya asuransi.</t>
  </si>
  <si>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</si>
  <si>
    <t>Could provide more context on the audience or purpose.</t>
  </si>
  <si>
    <t>Accurate, clear, and provides a complete summary of the boxplot analysis.</t>
  </si>
  <si>
    <t>None identified.</t>
  </si>
  <si>
    <t>[MODE:summary] Berikan rangkuman singkat tentang pengaruh status perokok terhadap biaya asuransi berdasarkan analisis boxplot `charges`.</t>
  </si>
  <si>
    <t>Consider adding a brief explanation of what outliers indicate in this context.</t>
  </si>
  <si>
    <t>{"prompt_score": 4, "response_score": 5, "overall_score": 4, "prompt_strengths": "Clear and specific request for a summary.", "prompt_issues": "Could provide more context on the audience or purpose.", "response_strengths": "Accurate, clear, and provides a complete summary of the boxplot analysis.", "response_issues": "None identified.", "prompt_rewrite": "[MODE:summary] Berikan rangkuman singkat tentang pengaruh status perokok terhadap biaya asuransi berdasarkan analisis boxplot `charges`.", "response_improvement_suggestions": "Consider adding a brief explanation of what outliers indicate in this context.", "verdict": "good", "needs_human_review": false}</t>
  </si>
  <si>
    <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</si>
  <si>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</si>
  <si>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Detailed and structured with clear questions.</t>
  </si>
  <si>
    <t>Could be overwhelming for beginners due to complexity.</t>
  </si>
  <si>
    <t>Provides code snippets and explanations for each question.</t>
  </si>
  <si>
    <t>Lacks specific answers without dataset outputs.</t>
  </si>
  <si>
    <t>Berdasarkan EDA yang dilakukan, jawab pertanyaan berikut dengan dataset yang diberikan: 1. Struktur Dataset: Berapa jumlah observasi dan fitur? Sebutkan target variable. 2. Statistik Deskriptif: Fitur dengan nilai rata-rata tertinggi dan standar deviasi terbesar? 3. Pemeriksaan Nilai Minimum: Fitur dengan nilai minimum = 0 yang tidak realistis? 4. Analisis Correlation Matrix: Fitur dengan korelasi paling kuat terhadap variabel class? 5. Korelasi Antar Fitur: Pasangan fitur dengan korelasi tinggi? Jelaskan implikasinya.</t>
  </si>
  <si>
    <t>Include example outputs or hypothetical values to illustrate the answers.</t>
  </si>
  <si>
    <t>{"prompt_score": 4, "response_score": 4, "overall_score": 4, "prompt_strengths": "Detailed and structured with clear questions.", "prompt_issues": "Could be overwhelming for beginners due to complexity.", "response_strengths": "Provides code snippets and explanations for each question.", "response_issues": "Lacks specific answers without dataset outputs.", "prompt_rewrite": "Berdasarkan EDA yang dilakukan, jawab pertanyaan berikut dengan dataset yang diberikan: 1. Struktur Dataset: Berapa jumlah observasi dan fitur? Sebutkan target variable. 2. Statistik Deskriptif: Fitur dengan nilai rata-rata tertinggi dan standar deviasi terbesar? 3. Pemeriksaan Nilai Minimum: Fitur dengan nilai minimum = 0 yang tidak realistis? 4. Analisis Correlation Matrix: Fitur dengan korelasi paling kuat terhadap variabel class? 5. Korelasi Antar Fitur: Pasangan fitur dengan korelasi tinggi? Jelaskan implikasinya.", "response_improvement_suggestions": "Include example outputs or hypothetical values to illustrate the answers.", "verdict": "good", "needs_human_review": false}</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</si>
  <si>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</si>
  <si>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</si>
  <si>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```python
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
```</t>
  </si>
  <si>
    <t>Contains detailed code and clear structure.</t>
  </si>
  <si>
    <t>Lacks clarity in purpose and context for the code provided.</t>
  </si>
  <si>
    <t>Directly addresses the prompt with relevant code and clear output.</t>
  </si>
  <si>
    <t>Could include more explanation of the steps taken.</t>
  </si>
  <si>
    <t>Provide a clear explanation of the purpose of the code and its expected outcome.</t>
  </si>
  <si>
    <t>Add comments to explain the logic behind the pipeline and grid search.</t>
  </si>
  <si>
    <t>{"prompt_score": 3, "response_score": 4, "overall_score": 4, "prompt_strengths": "Contains detailed code and clear structure.", "prompt_issues": "Lacks clarity in purpose and context for the code provided.", "response_strengths": "Directly addresses the prompt with relevant code and clear output.", "response_issues": "Could include more explanation of the steps taken.", "prompt_rewrite": "Provide a clear explanation of the purpose of the code and its expected outcome.", "response_improvement_suggestions": "Add comments to explain the logic behind the pipeline and grid search.", "verdict": "good", "needs_human_review": false}</t>
  </si>
  <si>
    <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</si>
  <si>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</si>
  <si>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Addresses a specific question about feature correlation and multicollinearity.</t>
  </si>
  <si>
    <t>Lacks clarity and structure; could be more concise.</t>
  </si>
  <si>
    <t>Provides relevant examples, clear implications, and actionable solutions.</t>
  </si>
  <si>
    <t>Could include more detailed explanations of multicollinearity effects.</t>
  </si>
  <si>
    <t>Jelaskan pasangan fitur dengan korelasi tinggi dan implikasinya terhadap model machine learning, terutama terkait multicollinearity.</t>
  </si>
  <si>
    <t>Expand on the implications of multicollinearity with examples or scenarios.</t>
  </si>
  <si>
    <t>{"prompt_score": 3, "response_score": 5, "overall_score": 4, "prompt_strengths": "Addresses a specific question about feature correlation and multicollinearity.", "prompt_issues": "Lacks clarity and structure; could be more concise.", "response_strengths": "Provides relevant examples, clear implications, and actionable solutions.", "response_issues": "Could include more detailed explanations of multicollinearity effects.", "prompt_rewrite": "Jelaskan pasangan fitur dengan korelasi tinggi dan implikasinya terhadap model machine learning, terutama terkait multicollinearity.", "response_improvement_suggestions": "Expand on the implications of multicollinearity with examples or scenarios.", "verdict": "good", "needs_human_review": false}</t>
  </si>
  <si>
    <t>[MODE:summary]
1. Apakah hasil prediksi GD dan Normal Equation mendekati sama?
2. Dalam kasus fitur banyak dan dataset besar, pendekatan mana yang lebih praktis?</t>
  </si>
  <si>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</si>
  <si>
    <t>W7</t>
  </si>
  <si>
    <t>Clear and specific questions.</t>
  </si>
  <si>
    <t>Could provide more context on GD and Normal Equation.</t>
  </si>
  <si>
    <t>Accurate, complete, and well-explained.</t>
  </si>
  <si>
    <t>[MODE:summary] 1. Apakah hasil prediksi Gradient Descent dan Normal Equation mendekati sama dalam konteks regresi linier? 2. Dalam kasus fitur banyak dan dataset besar, pendekatan mana yang lebih praktis dan mengapa?</t>
  </si>
  <si>
    <t>None needed; response is comprehensive.</t>
  </si>
  <si>
    <t>{"prompt_score": 4, "response_score": 5, "overall_score": 5, "prompt_strengths": "Clear and specific questions.", "prompt_issues": "Could provide more context on GD and Normal Equation.", "response_strengths": "Accurate, complete, and well-explained.", "response_issues": "None significant.", "prompt_rewrite": "[MODE:summary] 1. Apakah hasil prediksi Gradient Descent dan Normal Equation mendekati sama dalam konteks regresi linier? 2. Dalam kasus fitur banyak dan dataset besar, pendekatan mana yang lebih praktis dan mengapa?", "response_improvement_suggestions": "None needed; response is comprehensive.", "verdict": "excellent", "needs_human_review": false}</t>
  </si>
  <si>
    <t>[MODE:code]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</si>
  <si>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from sklearn.pipeline import Pipeline
from sklearn.svm import SVR
svr_pipeline = Pipeline([
    ("preprocessing", preprocessing),
    ("svr", SVR())
])</t>
  </si>
  <si>
    <t>```python
from sklearn.pipeline import Pipeline
from sklearn.svm import SVR
svr_pipeline = Pipeline([
    ("preprocessing", preprocessing),
    ("svr", SVR())
])
```</t>
  </si>
  <si>
    <t>Detailed and specific about the data processing steps.</t>
  </si>
  <si>
    <t>Some parts are overly complex and could be clearer.</t>
  </si>
  <si>
    <t>Correctly implements the requested pipeline in Python.</t>
  </si>
  <si>
    <t>Lacks explanation or context for the code provided.</t>
  </si>
  <si>
    <t>Bagaimana cara membuat pipeline dengan preprocessing dan SVR() setelah memproses data dari housing_labels dan membuat kelas ClusterSimilarity?</t>
  </si>
  <si>
    <t>Add comments to explain each part of the code for clarity.</t>
  </si>
  <si>
    <t>{"prompt_score": 3, "response_score": 4, "overall_score": 4, "prompt_strengths": "Detailed and specific about the data processing steps.", "prompt_issues": "Some parts are overly complex and could be clearer.", "response_strengths": "Correctly implements the requested pipeline in Python.", "response_issues": "Lacks explanation or context for the code provided.", "prompt_rewrite": "Bagaimana cara membuat pipeline dengan preprocessing dan SVR() setelah memproses data dari housing_labels dan membuat kelas ClusterSimilarity?", "response_improvement_suggestions": "Add comments to explain each part of the code for clarity.", "verdict": "good", "needs_human_review": false}</t>
  </si>
  <si>
    <t>[MODE:code]
Tampilkan distribusi awal kolom `pass_fail` dan `grade_category` Bahasa: [Python]. Input: [struktur data ]. Output: [format hasil yang diharapkan]. Batasan: [kompleksitas, library, style]. Output diminta: kode runnable.</t>
  </si>
  <si>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</si>
  <si>
    <t>```python
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
```</t>
  </si>
  <si>
    <t>Clear and specific about the task and expected output.</t>
  </si>
  <si>
    <t>Could provide more detail on the expected format of the output.</t>
  </si>
  <si>
    <t>Correctly implements the requested functionality and handles missing columns.</t>
  </si>
  <si>
    <t>Could improve clarity by adding comments and ensuring the code is runnable without modification.</t>
  </si>
  <si>
    <t>[MODE:code] Tampilkan distribusi awal kolom `pass_fail` dan `grade_category` dalam format tabel. Bahasa: [Python]. Input: [struktur data dalam format CSV]. Output: [tabel distribusi dan proporsi]. Batasan: [gunakan pandas, kode harus runnable].</t>
  </si>
  <si>
    <t>Add comments to explain each part of the code and ensure the file path is adaptable.</t>
  </si>
  <si>
    <t>{"prompt_score": 4, "response_score": 4, "overall_score": 4, "prompt_strengths": "Clear and specific about the task and expected output.", "prompt_issues": "Could provide more detail on the expected format of the output.", "response_strengths": "Correctly implements the requested functionality and handles missing columns.", "response_issues": "Could improve clarity by adding comments and ensuring the code is runnable without modification.", "prompt_rewrite": "[MODE:code] Tampilkan distribusi awal kolom `pass_fail` dan `grade_category` dalam format tabel. Bahasa: [Python]. Input: [struktur data dalam format CSV]. Output: [tabel distribusi dan proporsi]. Batasan: [gunakan pandas, kode harus runnable].", "response_improvement_suggestions": "Add comments to explain each part of the code and ensure the file path is adaptable.", "verdict": "good", "needs_human_review": false}</t>
  </si>
  <si>
    <t>[MODE:summary_code_explanation]
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</si>
  <si>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</si>
  <si>
    <t>Clear context and specific task.</t>
  </si>
  <si>
    <t>Could provide more detail on expected output format.</t>
  </si>
  <si>
    <t>Correct and complete explanation with clear code.</t>
  </si>
  <si>
    <t>Tampilkan kode untuk menampilkan best hyperparameter dari hasil grid_search setelah menggunakan GridSearchCV dengan svr_pipeline.</t>
  </si>
  <si>
    <t>None needed; response is already clear and complete.</t>
  </si>
  <si>
    <t>{"prompt_score": 4, "response_score": 5, "overall_score": 4, "prompt_strengths": "Clear context and specific task.", "prompt_issues": "Could provide more detail on expected output format.", "response_strengths": "Correct and complete explanation with clear code.", "response_issues": "None.", "prompt_rewrite": "Tampilkan kode untuk menampilkan best hyperparameter dari hasil grid_search setelah menggunakan GridSearchCV dengan svr_pipeline.", "response_improvement_suggestions": "None needed; response is already clear and complete.", "verdict": "good", "needs_human_review": false}</t>
  </si>
  <si>
    <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</si>
  <si>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</si>
  <si>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Clear error message and context provided.</t>
  </si>
  <si>
    <t>Could specify the expected format of the dataframe more clearly.</t>
  </si>
  <si>
    <t>Correctly identifies the issue and provides a solution.</t>
  </si>
  <si>
    <t>Could improve clarity by explaining how to check column names more explicitly.</t>
  </si>
  <si>
    <t>[LANG:Python] [MODE:summary_code_explanation] Explain the KeyError related to missing columns in the dataframe and how to resolve it.</t>
  </si>
  <si>
    <t>Add a step-by-step guide on checking and correcting column names.</t>
  </si>
  <si>
    <t>{"prompt_score": 4, "response_score": 4, "overall_score": 4, "prompt_strengths": "Clear error message and context provided.", "prompt_issues": "Could specify the expected format of the dataframe more clearly.", "response_strengths": "Correctly identifies the issue and provides a solution.", "response_issues": "Could improve clarity by explaining how to check column names more explicitly.", "prompt_rewrite": "[LANG:Python] [MODE:summary_code_explanation] Explain the KeyError related to missing columns in the dataframe and how to resolve it.", "response_improvement_suggestions": "Add a step-by-step guide on checking and correcting column names.", "verdict": "good", "needs_human_review": false}</t>
  </si>
  <si>
    <t>[MODE:summary_code_explanation]
Langkah selanjutnya adalah Statistik deskriptif. (clue : use describe())
saya disuruh melakukan statistika deksriptif tapi hanya diberikan clue use describe()</t>
  </si>
  <si>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</si>
  <si>
    <t>Clear request for descriptive statistics using a specific method.</t>
  </si>
  <si>
    <t>Could provide more context on the dataset or specific requirements.</t>
  </si>
  <si>
    <t>Accurate, complete explanation of the describe() function and its output.</t>
  </si>
  <si>
    <t>None noted; response is clear and helpful.</t>
  </si>
  <si>
    <t>Jelaskan cara melakukan statistik deskriptif pada dataset menggunakan pandas, dengan fokus pada metode describe().</t>
  </si>
  <si>
    <t>Consider adding examples of when to use describe() with different types of data.</t>
  </si>
  <si>
    <t>{"prompt_score": 4, "response_score": 5, "overall_score": 5, "prompt_strengths": "Clear request for descriptive statistics using a specific method.", "prompt_issues": "Could provide more context on the dataset or specific requirements.", "response_strengths": "Accurate, complete explanation of the describe() function and its output.", "response_issues": "None noted; response is clear and helpful.", "prompt_rewrite": "Jelaskan cara melakukan statistik deskriptif pada dataset menggunakan pandas, dengan fokus pada metode describe().", "response_improvement_suggestions": "Consider adding examples of when to use describe() with different types of data.", "verdict": "excellent", "needs_human_review": false}</t>
  </si>
  <si>
    <t>[MODE:summary_code_explanation]
kenapa error : ValueError: matmul: Input operand 1 has a mismatch in its core dimension 0, with gufunc signature (n?,k),(k,m?)-&gt;(n?,m?) (size 2 is different from 1)</t>
  </si>
  <si>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</si>
  <si>
    <t>Clear and specific about the error context.</t>
  </si>
  <si>
    <t>Could provide more context on the expected input shapes.</t>
  </si>
  <si>
    <t>Thorough explanation with actionable code examples.</t>
  </si>
  <si>
    <t>None significant; very comprehensive.</t>
  </si>
  <si>
    <t>Jelaskan penyebab error ValueError: matmul dan cara memperbaikinya dengan contoh kode.</t>
  </si>
  <si>
    <t>Consider adding a brief summary of the expected shapes for clarity.</t>
  </si>
  <si>
    <t>{"prompt_score": 4, "response_score": 5, "overall_score": 5, "prompt_strengths": "Clear and specific about the error context.", "prompt_issues": "Could provide more context on the expected input shapes.", "response_strengths": "Thorough explanation with actionable code examples.", "response_issues": "None significant; very comprehensive.", "prompt_rewrite": "Jelaskan penyebab error ValueError: matmul dan cara memperbaikinya dengan contoh kode.", "response_improvement_suggestions": "Consider adding a brief summary of the expected shapes for clarity.", "verdict": "excellent", "needs_human_review": false}</t>
  </si>
  <si>
    <t>[MODE:summary_code_explanation]
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</si>
  <si>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</si>
  <si>
    <t>Provides a clear context of the error and the code involved.</t>
  </si>
  <si>
    <t>Lacks specificity in terms of what the user should do next.</t>
  </si>
  <si>
    <t>Offers a detailed explanation and actionable steps to resolve the error.</t>
  </si>
  <si>
    <t>Could be more concise in some parts.</t>
  </si>
  <si>
    <t>[MODE:summary_code_explanation] Explain the KeyError encountered when trying to drop the target column 'median_house_value' from the DataFrame housing_6000.</t>
  </si>
  <si>
    <t>Consider summarizing the steps more succinctly and focusing on the most critical actions.</t>
  </si>
  <si>
    <t>{"prompt_score": 3, "response_score": 4, "overall_score": 4, "prompt_strengths": "Provides a clear context of the error and the code involved.", "prompt_issues": "Lacks specificity in terms of what the user should do next.", "response_strengths": "Offers a detailed explanation and actionable steps to resolve the error.", "response_issues": "Could be more concise in some parts.", "prompt_rewrite": "[MODE:summary_code_explanation] Explain the KeyError encountered when trying to drop the target column 'median_house_value' from the DataFrame housing_6000.", "response_improvement_suggestions": "Consider summarizing the steps more succinctly and focusing on the most critical actions.", "verdict": "good", "needs_human_review": false}</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</si>
  <si>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</si>
  <si>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</si>
  <si>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Clear and specific instructions with context provided.</t>
  </si>
  <si>
    <t>Could include more details on expected output format.</t>
  </si>
  <si>
    <t>Correct and complete code with clear explanations.</t>
  </si>
  <si>
    <t>None significant; all aspects of the task addressed.</t>
  </si>
  <si>
    <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Tugas kali ini adalah untuk 1. Load dataset `student_exam_performance_dataset (1).csv`. 2. Tampilkan 5 baris pertama. 3. Tampilkan ukuran dataset (jumlah baris dan kolom). 4. Tampilkan tipe data setiap kolom. Pastikan output ditampilkan dengan jelas.</t>
  </si>
  <si>
    <t>Consider adding examples of expected output for clarity.</t>
  </si>
  <si>
    <t>{"prompt_score": 4, "response_score": 5, "overall_score": 5, "prompt_strengths": "Clear and specific instructions with context provided.", "prompt_issues": "Could include more details on expected output format.", "response_strengths": "Correct and complete code with clear explanations.", "response_issues": "None significant; all aspects of the task addressed.", "prompt_rewrite":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Tugas kali ini adalah untuk 1. Load dataset `student_exam_performance_dataset (1).csv`. 2. Tampilkan 5 baris pertama. 3. Tampilkan ukuran dataset (jumlah baris dan kolom). 4. Tampilkan tipe data setiap kolom. Pastikan output ditampilkan dengan jelas.", "response_improvement_suggestions": "Consider adding examples of expected output for clarity.", "verdict": "excellent", "needs_human_review": false}</t>
  </si>
  <si>
    <t>[MODE:code]
selanjutnya tampilkan Distribusi Fitur Berdasarkan Class. gunakan libari sns dengan atribut boxplot.</t>
  </si>
  <si>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</si>
  <si>
    <t>```python
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
```</t>
  </si>
  <si>
    <t>Could provide more context on the dataset.</t>
  </si>
  <si>
    <t>Correctly implements the requested functionality with clarity.</t>
  </si>
  <si>
    <t>None significant; well-structured code.</t>
  </si>
  <si>
    <t>Tampilkan distribusi fitur numerik berdasarkan kolom 'class' menggunakan seaborn boxplot pada dataset yang diberikan.</t>
  </si>
  <si>
    <t>Consider adding comments to explain each step of the code for better clarity.</t>
  </si>
  <si>
    <t>{"prompt_score": 4, "response_score": 5, "overall_score": 5, "prompt_strengths": "Clear and specific about the task.", "prompt_issues": "Could provide more context on the dataset.", "response_strengths": "Correctly implements the requested functionality with clarity.", "response_issues": "None significant; well-structured code.", "prompt_rewrite": "Tampilkan distribusi fitur numerik berdasarkan kolom 'class' menggunakan seaborn boxplot pada dataset yang diberikan.", "response_improvement_suggestions": "Consider adding comments to explain each step of the code for better clarity.", "verdict": "excellent", "needs_human_review": false}</t>
  </si>
  <si>
    <t>[MODE:summary_code_explanation]
from sklearn.metrics import precision_score
from sklearn.metrics import recall_score
Gimana cara print hasil hitung preivison dan recall dari classifier</t>
  </si>
  <si>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</si>
  <si>
    <t>Clear request for code explanation and output.</t>
  </si>
  <si>
    <t>Minor spelling error in 'preivison'.</t>
  </si>
  <si>
    <t>Accurate, complete, and clear explanation with code example.</t>
  </si>
  <si>
    <t>[MODE:summary_code_explanation] from sklearn.metrics import precision_score from sklearn.metrics import recall_score Gimana cara print hasil hitung precision dan recall dari classifier?</t>
  </si>
  <si>
    <t>{"prompt_score": 4, "response_score": 5, "overall_score": 5, "prompt_strengths": "Clear request for code explanation and output.", "prompt_issues": "Minor spelling error in 'preivison'.", "response_strengths": "Accurate, complete, and clear explanation with code example.", "response_issues": "None.", "prompt_rewrite": "[MODE:summary_code_explanation] from sklearn.metrics import precision_score from sklearn.metrics import recall_score Gimana cara print hasil hitung precision dan recall dari classifier?", "response_improvement_suggestions": "None needed; response is already excellent.", "verdict": "excellent", "needs_human_review": false}</t>
  </si>
  <si>
    <t>[MODE:summary]
Buatlah `model` yang merupakan model `LogisticRegression` dengan parameter `solver` adalah `liblinear`. model =</t>
  </si>
  <si>
    <t>**SUMMARY**  
Buat instance `LogisticRegression` dan set `solver='liblinear'`, lalu simpan ke variabel `model`.
model = LogisticRegression(solver='liblinear')</t>
  </si>
  <si>
    <t>Clear and specific about the model and parameters.</t>
  </si>
  <si>
    <t>Could provide more context on the purpose of the model.</t>
  </si>
  <si>
    <t>Correct and complete implementation of the prompt request.</t>
  </si>
  <si>
    <t>Could include a brief explanation of the model's purpose.</t>
  </si>
  <si>
    <t>Buatlah model `LogisticRegression` dengan parameter `solver` adalah `liblinear` untuk klasifikasi data.</t>
  </si>
  <si>
    <t>Add a brief explanation of what Logistic Regression is used for.</t>
  </si>
  <si>
    <t>{"prompt_score": 4, "response_score": 5, "overall_score": 4, "prompt_strengths": "Clear and specific about the model and parameters.", "prompt_issues": "Could provide more context on the purpose of the model.", "response_strengths": "Correct and complete implementation of the prompt request.", "response_issues": "Could include a brief explanation of the model's purpose.", "prompt_rewrite": "Buatlah model `LogisticRegression` dengan parameter `solver` adalah `liblinear` untuk klasifikasi data.", "response_improvement_suggestions": "Add a brief explanation of what Logistic Regression is used for.", "verdict": "good", "needs_human_review": false}</t>
  </si>
  <si>
    <t>[LANG:Python]
[MODE:summary_code_explanation]
print("\nRata-rata charges berdasarkan smoker dan children:")
print(df.groupby(["smoker","children"])["charges"].mean().unstack(0))
bagaimana dari data insight agar rapih di tampilan agar tampilannya dapat dibaca dengan mudah</t>
  </si>
  <si>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</si>
  <si>
    <t>Clear request for data presentation improvement.</t>
  </si>
  <si>
    <t>Could be more specific about the desired format.</t>
  </si>
  <si>
    <t>Provides a clear, correct, and complete solution with explanations.</t>
  </si>
  <si>
    <t>None significant; could include more context on data.</t>
  </si>
  <si>
    <t>[LANG:Python] [MODE:summary_code_explanation] Print the average charges based on smoker and children. How can I format the output to be more readable and visually appealing?</t>
  </si>
  <si>
    <t>Consider adding a brief explanation of the data structure for better context.</t>
  </si>
  <si>
    <t>{"prompt_score": 4, "response_score": 5, "overall_score": 4, "prompt_strengths": "Clear request for data presentation improvement.", "prompt_issues": "Could be more specific about the desired format.", "response_strengths": "Provides a clear, correct, and complete solution with explanations.", "response_issues": "None significant; could include more context on data.", "prompt_rewrite": "[LANG:Python] [MODE:summary_code_explanation] Print the average charges based on smoker and children. How can I format the output to be more readable and visually appealing?", "response_improvement_suggestions": "Consider adding a brief explanation of the data structure for better context.", "verdict": "good", "needs_human_review": false}</t>
  </si>
  <si>
    <t>[MODE:summary]
feature scaling penting karena apa ? cross entropy digunakan untuk apa ? apa kompleksitas invers matriks?</t>
  </si>
  <si>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</si>
  <si>
    <t>Addresses multiple relevant topics.</t>
  </si>
  <si>
    <t>Lacks clarity and specificity in questions.</t>
  </si>
  <si>
    <t>Provides accurate and relevant information.</t>
  </si>
  <si>
    <t>Could be more detailed in explanations.</t>
  </si>
  <si>
    <t>Apa pentingnya feature scaling, penggunaan cross entropy, dan kompleksitas invers matriks?</t>
  </si>
  <si>
    <t>Expand on the implications of feature scaling and provide examples.</t>
  </si>
  <si>
    <t>{"prompt_score": 3, "response_score": 4, "overall_score": 4, "prompt_strengths": "Addresses multiple relevant topics.", "prompt_issues": "Lacks clarity and specificity in questions.", "response_strengths": "Provides accurate and relevant information.", "response_issues": "Could be more detailed in explanations.", "prompt_rewrite": "Apa pentingnya feature scaling, penggunaan cross entropy, dan kompleksitas invers matriks?", "response_improvement_suggestions": "Expand on the implications of feature scaling and provide examples.", "verdict": "good", "needs_human_review": false}</t>
  </si>
  <si>
    <t>[MODE:summary_code_explanation]
[ASSESSMENT_ID:1771cf76-0a65-11f1-b762-3e0936ad7efb]
[FORCE_GPT:true]
[AUTO_FALLBACK:true]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</si>
  <si>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</si>
  <si>
    <t>Clear and specific about the error and context.</t>
  </si>
  <si>
    <t>Could provide more context on the environment (e.g., Jupyter notebook).</t>
  </si>
  <si>
    <t>Thorough explanation of the error with actionable steps to resolve it.</t>
  </si>
  <si>
    <t>None significant; all aspects of the error are addressed.</t>
  </si>
  <si>
    <t>Explain the NameError related to 'preprocessing' in the context of a Python script or Jupyter notebook.</t>
  </si>
  <si>
    <t>Consider adding examples of common mistakes that lead to this error.</t>
  </si>
  <si>
    <t>{"prompt_score": 4, "response_score": 5, "overall_score": 5, "prompt_strengths": "Clear and specific about the error and context.", "prompt_issues": "Could provide more context on the environment (e.g., Jupyter notebook).", "response_strengths": "Thorough explanation of the error with actionable steps to resolve it.", "response_issues": "None significant; all aspects of the error are addressed.", "prompt_rewrite": "Explain the NameError related to 'preprocessing' in the context of a Python script or Jupyter notebook.", "response_improvement_suggestions": "Consider adding examples of common mistakes that lead to this error.", "verdict": "excellent", "needs_human_review": false}</t>
  </si>
  <si>
    <t>[LANG:Python]
[MODE:summary_code_explanation]
[ASSESSMENT_ID:1771cf8b-0a65-11f1-b762-3e0936ad7efb]
[FORCE_GPT:true]
[AUTO_FALLBACK:true]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</si>
  <si>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</si>
  <si>
    <t>Clear and specific about the task and context.</t>
  </si>
  <si>
    <t>Could provide more explicit constraints or expected format for the response.</t>
  </si>
  <si>
    <t>Thorough explanation of model performance with relevant details.</t>
  </si>
  <si>
    <t>Could be more concise in some areas.</t>
  </si>
  <si>
    <t>Jelaskan performa model linear regression berdasarkan learning curve yang diberikan, dengan fokus pada konsep bias.</t>
  </si>
  <si>
    <t>Consider summarizing key points more succinctly to enhance clarity.</t>
  </si>
  <si>
    <t>{"prompt_score": 4, "response_score": 5, "overall_score": 4, "prompt_strengths": "Clear and specific about the task and context.", "prompt_issues": "Could provide more explicit constraints or expected format for the response.", "response_strengths": "Thorough explanation of model performance with relevant details.", "response_issues": "Could be more concise in some areas.", "prompt_rewrite": "Jelaskan performa model linear regression berdasarkan learning curve yang diberikan, dengan fokus pada konsep bias.", "response_improvement_suggestions": "Consider summarizing key points more succinctly to enhance clarity.", "verdict": "good", "needs_human_review": false}</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</si>
  <si>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</si>
  <si>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import numpy as np
import pandas as pd
from sklearn.model_selection import train_test_split</t>
  </si>
  <si>
    <t>```python
import numpy as np
import pandas as pd
from sklearn.model_selection import train_test_split
# Load dataset
file_path = "student_exam_performance_dataset (1).csv"
df = pd.read_csv(file_path)
# -----------------------------
# Helper: safe numeric conversion
# -----------------------------
def to_num(s):
    return pd.to_numeric(s, errors="coerce")
# Ensure expected numeric columns are numeric if present
numeric_candidates = [
    "attendance_rate",
    "assignment_completion_rate",
    "participation_score",
    "social_media_hours",
    "study_hours_per_day",
    "online_courses_completed",
]
for c in numeric_candidates:
    if c in df.columns:
        df[c] = to_num(df[c])
# -----------------------------
# Feature Engineering
# -----------------------------
# 1) engagement_index: combine attendance_rate, assignment_completion_rate, participation_score
eng_cols = [c for c in ["attendance_rate", "assignment_completion_rate", "participation_score"] if c in df.columns]
if len(eng_cols) &gt;= 2:
    df["engagement_index"] = df[eng_cols].mean(axis=1)
else:
    df["engagement_index"] = np.nan
# 2) digital_distraction_ratio: social_media_hours / (study_hours_per_day + 1)
if "social_media_hours" in df.columns and "study_hours_per_day" in df.columns:
    df["digital_distraction_ratio"] = df["social_media_hours"] / (df["study_hours_per_day"].replace(0, np.nan))
    df["digital_distraction_ratio"] = df["digital_distraction_ratio"].replace([np.inf, -np.inf], np.nan)
else:
    df["digital_distraction_ratio"] = np.nan
# 3) support_score: online_courses_completed + tutoring info
# Try to find a tutoring column (common variants)
tutoring_col = None
for cand in ["tutoring", "tutoring_support", "received_tutoring", "tutoring_sessions", "has_tutoring"]:
    if cand in df.columns:
        tutoring_col = cand
        break
tutoring_numeric = None
if tutoring_col is not None:
    if pd.api.types.is_numeric_dtype(df[tutoring_col]):
        tutoring_numeric = to_num(df[tutoring_col]).fillna(0)
    else:
        # map common yes/no strings to 1/0
        tutoring_numeric = (
            df[tutoring_col]
            .astype(str)
            .str.strip()
            .str.lower()
            .map({"yes": 1, "y": 1, "true": 1, "1": 1, "no": 0, "n": 0, "false": 0, "0": 0})
            .fillna(0)
        )
else:
    tutoring_numeric = pd.Series(0, index=df.index)
if "online_courses_completed" in df.columns:
    df["support_score"] = df["online_courses_completed"].fillna(0) + tutoring_numeric
else:
    df["support_score"] = tutoring_numeric
# -----------------------------
# 1. Create classification target: at_risk
# Definition (no leakage): at_risk = 1 if pass_fail indicates Fail, else 0
# Fallback: if pass_fail not present, use grade_category if present (e.g., "D/F" or "Failing")
if "pass_fail" in df.columns:
    pf = df["pass_fail"].astype(str).str.strip().str.lower()
    df["at_risk"] = pf.map({"fail": 1, "pass": 0})
    # If mapping yields NaN, try alternative labels
    df.loc[df["at_risk"].isna(), "at_risk"] = pf.map({"0": 1, "1": 0, "f": 1, "p": 0})
    df["at_risk"] = df["at_risk"].astype("float")
elif "grade_category" in df.columns:
    gc = df["grade_category"].astype(str).str.strip().str.lower()
    # treat low categories as at risk
    df["at_risk"] = gc.isin(["f", "d", "e", "fail", "failing", "poor", "low"]).astype(int)
else:
    raise ValueError("Tidak ditemukan kolom 'pass_fail' atau 'grade_category' untuk membuat target 'at_risk'.")
# -----------------------------
# 2. Select features for modeling WITHOUT leakage
# Exclude direct outcome/label columns and obvious post-exam metrics if present.
leakage_cols = {
    "pass_fail",
    "grade_category",
    "final_score",
    "final_exam_score",
    "exam_score",
    "midterm_score",
    "overall_score",
    "gpa",
    "result",</t>
  </si>
  <si>
    <t>Clear and specific instructions for feature engineering.</t>
  </si>
  <si>
    <t>Could provide more context on the dataset and expected output.</t>
  </si>
  <si>
    <t>Correctly imports necessary libraries for data manipulation.</t>
  </si>
  <si>
    <t>Incomplete; does not implement the required feature engineering or data preparation steps.</t>
  </si>
  <si>
    <t>Bagian 3 - Feature Engineering dan Persiapan Data: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buat target klasifikasi `at_risk`, tentukan fitur untuk regresi yang tidak menyebabkan leakage, dan bagi data menjadi train-test dengan rasio `80:20` dan `random_state=42`. Sertakan contoh kode untuk setiap langkah.</t>
  </si>
  <si>
    <t>Expand the response to include the implementation of feature engineering, creation of the target variable, and data splitting.</t>
  </si>
  <si>
    <t>{"prompt_score": 4, "response_score": 2, "overall_score": 3, "prompt_strengths": "Clear and specific instructions for feature engineering.", "prompt_issues": "Could provide more context on the dataset and expected output.", "response_strengths": "Correctly imports necessary libraries for data manipulation.", "response_issues": "Incomplete; does not implement the required feature engineering or data preparation steps.", "prompt_rewrite": "Bagian 3 - Feature Engineering dan Persiapan Data: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buat target klasifikasi `at_risk`, tentukan fitur untuk regresi yang tidak menyebabkan leakage, dan bagi data menjadi train-test dengan rasio `80:20` dan `random_state=42`. Sertakan contoh kode untuk setiap langkah.", "response_improvement_suggestions": "Expand the response to include the implementation of feature engineering, creation of the target variable, and data splitting.", "verdict": "fair", "needs_human_review": false}</t>
  </si>
  <si>
    <t>[MODE:summary_code_explanation]
[ASSESSMENT_ID:1771cf81-0a65-11f1-b762-3e0936ad7efb]
[FORCE_GPT:true]
[AUTO_FALLBACK:true]
model ini dilatih, evaluasi model yang sudah dilatih pada test set Tampikan isi dari tuned_accuracy yang merupakan akurasi model knn dengan best hyperparameter pada test set</t>
  </si>
  <si>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</si>
  <si>
    <t>Specifies the task and context clearly.</t>
  </si>
  <si>
    <t>Lacks clarity in some terms and structure.</t>
  </si>
  <si>
    <t>Provides relevant code and clear explanation.</t>
  </si>
  <si>
    <t>Could include more context on hyperparameters.</t>
  </si>
  <si>
    <t>Tunjukkan akurasi model KNN yang sudah dituning pada test set dengan menyimpan hasilnya di 'tuned_accuracy'.</t>
  </si>
  <si>
    <t>Add a brief explanation of what hyperparameters were tuned.</t>
  </si>
  <si>
    <t>{"prompt_score": 3, "response_score": 4, "overall_score": 3, "prompt_strengths": "Specifies the task and context clearly.", "prompt_issues": "Lacks clarity in some terms and structure.", "response_strengths": "Provides relevant code and clear explanation.", "response_issues": "Could include more context on hyperparameters.", "prompt_rewrite": "Tunjukkan akurasi model KNN yang sudah dituning pada test set dengan menyimpan hasilnya di 'tuned_accuracy'.", "response_improvement_suggestions": "Add a brief explanation of what hyperparameters were tuned.", "verdict": "good", "needs_human_review": false}</t>
  </si>
  <si>
    <t>[MODE:summary]
berikan saya penjelasan serta jawaban mengenai algoritma yang sensitif terhadap scaling? SVM? Random Forest?</t>
  </si>
  <si>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</si>
  <si>
    <t>Clear and specific request for information.</t>
  </si>
  <si>
    <t>Could provide more context on the desired depth of explanation.</t>
  </si>
  <si>
    <t>Accurate, complete, and clearly explains the sensitivity of algorithms to scaling.</t>
  </si>
  <si>
    <t>Berikan penjelasan mendalam mengenai algoritma yang sensitif terhadap scaling, seperti SVM dan Random Forest.</t>
  </si>
  <si>
    <t>Consider adding examples or applications of each algorithm.</t>
  </si>
  <si>
    <t>{"prompt_score": 4, "response_score": 5, "overall_score": 5, "prompt_strengths": "Clear and specific request for information.", "prompt_issues": "Could provide more context on the desired depth of explanation.", "response_strengths": "Accurate, complete, and clearly explains the sensitivity of algorithms to scaling.", "response_issues": "None noted.", "prompt_rewrite": "Berikan penjelasan mendalam mengenai algoritma yang sensitif terhadap scaling, seperti SVM dan Random Forest.", "response_improvement_suggestions": "Consider adding examples or applications of each algorithm.", "verdict": "excellent", "needs_human_review": false}</t>
  </si>
  <si>
    <t>[MODE:code]
Berdasarkan plot validation curve di atas, pilih satu nilai alpha terbaik untuk Kelas A dan jelaskan alasan singkatnya.
Hint: Jika ada beberapa nilai yang mirip, pilih alpha bilangan bulat yang memberikan validation error kecil dan stabil.</t>
  </si>
  <si>
    <t>best_alpha = 1  # dipilih karena pada plot validation curve, alpha=1 memberi validation error paling kecil (atau sangat dekat minimum) dan kurvanya stabil dibanding kandidat lain.</t>
  </si>
  <si>
    <t>```python
best_alpha = 1  # dipilih karena pada plot validation curve, alpha=1 memberi validation error paling kecil (atau sangat dekat minimum) dan kurvanya stabil dibanding kandidat lain.
```</t>
  </si>
  <si>
    <t>Could provide more context about the validation curve.</t>
  </si>
  <si>
    <t>Relevant and correctly identifies the best alpha.</t>
  </si>
  <si>
    <t>Could elaborate more on the reasoning behind the choice.</t>
  </si>
  <si>
    <t>[MODE:code] Berdasarkan plot validation curve di atas, pilih satu nilai alpha terbaik untuk Kelas A dan jelaskan alasan singkatnya. Pertimbangkan stabilitas kurva dan validation error. Sertakan konteks tentang plot yang digunakan.</t>
  </si>
  <si>
    <t>Expand on the reasoning for choosing alpha=1, perhaps by comparing it to other values.</t>
  </si>
  <si>
    <t>{"prompt_score": 4, "response_score": 4, "overall_score": 4, "prompt_strengths": "Clear and specific about the task.", "prompt_issues": "Could provide more context about the validation curve.", "response_strengths": "Relevant and correctly identifies the best alpha.", "response_issues": "Could elaborate more on the reasoning behind the choice.", "prompt_rewrite": "[MODE:code] Berdasarkan plot validation curve di atas, pilih satu nilai alpha terbaik untuk Kelas A dan jelaskan alasan singkatnya. Pertimbangkan stabilitas kurva dan validation error. Sertakan konteks tentang plot yang digunakan.", "response_improvement_suggestions": "Expand on the reasoning for choosing alpha=1, perhaps by comparing it to other values.", "verdict": "good", "needs_human_review": false}</t>
  </si>
  <si>
    <t>[MODE:code]
[ASSESSMENT_ID:1771cf8e-0a65-11f1-b762-3e0936ad7efb]
[FORCE_GPT:true]
[AUTO_FALLBACK:true]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</si>
  <si>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</si>
  <si>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
```</t>
  </si>
  <si>
    <t>Clear and specific requirements for regression and classification tasks.</t>
  </si>
  <si>
    <t>Could provide more context on the dataset and expected output format.</t>
  </si>
  <si>
    <t>Comprehensive implementation covering all aspects of the prompt with clear code structure.</t>
  </si>
  <si>
    <t>None significant; could include comments for clarity.</t>
  </si>
  <si>
    <t>Implement regression and classification tasks using the final_exam_score as the regression target and pass_fail as the classification target. Ensure to convert classification labels to numeric format if necessary. Use regression predictions as input for classification. Split the dataset into training and testing sets with an 80:20 ratio.</t>
  </si>
  <si>
    <t>Add comments to the code for better understanding and clarity.</t>
  </si>
  <si>
    <t>{"prompt_score": 4, "response_score": 5, "overall_score": 5, "prompt_strengths": "Clear and specific requirements for regression and classification tasks.", "prompt_issues": "Could provide more context on the dataset and expected output format.", "response_strengths": "Comprehensive implementation covering all aspects of the prompt with clear code structure.", "response_issues": "None significant; could include comments for clarity.", "prompt_rewrite": "Implement regression and classification tasks using the final_exam_score as the regression target and pass_fail as the classification target. Ensure to convert classification labels to numeric format if necessary. Use regression predictions as input for classification. Split the dataset into training and testing sets with an 80:20 ratio.", "response_improvement_suggestions": "Add comments to the code for better understanding and clarity.", "verdict": "excellent", "needs_human_review": false}</t>
  </si>
  <si>
    <t>[MODE:summary_code_explanation]
Kemudian, selanjutnya tampilkan Distribusi Fitur Berdasarkan Class. gunakan libari `sns` dengan atribut `boxplot`</t>
  </si>
  <si>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</si>
  <si>
    <t>Correct and complete explanation with relevant code.</t>
  </si>
  <si>
    <t>Could improve clarity in some explanations.</t>
  </si>
  <si>
    <t>Tampilkan distribusi fitur berdasarkan class menggunakan `sns.boxplot` pada dataset yang diberikan.</t>
  </si>
  <si>
    <t>Add more comments in the code for clarity.</t>
  </si>
  <si>
    <t>{"prompt_score": 4, "response_score": 5, "overall_score": 4, "prompt_strengths": "Clear and specific about the task.", "prompt_issues": "Could provide more context on the dataset.", "response_strengths": "Correct and complete explanation with relevant code.", "response_issues": "Could improve clarity in some explanations.", "prompt_rewrite": "Tampilkan distribusi fitur berdasarkan class menggunakan `sns.boxplot` pada dataset yang diberikan.", "response_improvement_suggestions": "Add more comments in the code for clarity.", "verdict": "good", "needs_human_review": false}</t>
  </si>
  <si>
    <t>[MODE:summary]
Overfitting ditandai
*
Stabil
Error train kecil test besar
Linear
Error besar semua
Epoch adalah
*
1 loop data
1 iterasi
1 gradient
1 fitur</t>
  </si>
  <si>
    <t>Overfitting ditandai dengan error train kecil tetapi error test besar (model terlalu “hafal” data latih). Epoch adalah 1 loop penuh melewati seluruh dataset training (satu pass lengkap), bukan satu iterasi/gradien/fitur.</t>
  </si>
  <si>
    <t>Attempts to summarize key concepts.</t>
  </si>
  <si>
    <t>Lacks clarity and coherence; difficult to understand.</t>
  </si>
  <si>
    <t>Clear explanation of overfitting and epoch.</t>
  </si>
  <si>
    <t>Could provide more detail on implications of overfitting.</t>
  </si>
  <si>
    <t>[MODE:summary] Jelaskan tentang overfitting dan epoch dalam konteks pembelajaran mesin.</t>
  </si>
  <si>
    <t>Include examples or implications of overfitting.</t>
  </si>
  <si>
    <t>{"prompt_score": 2, "response_score": 4, "overall_score": 3, "prompt_strengths": "Attempts to summarize key concepts.", "prompt_issues": "Lacks clarity and coherence; difficult to understand.", "response_strengths": "Clear explanation of overfitting and epoch.", "response_issues": "Could provide more detail on implications of overfitting.", "prompt_rewrite": "[MODE:summary] Jelaskan tentang overfitting dan epoch dalam konteks pembelajaran mesin.", "response_improvement_suggestions": "Include examples or implications of overfitting.", "verdict": "fair", "needs_human_review": false}</t>
  </si>
  <si>
    <t>[MODE:code]
---------------------------------------------------------------------------
Exception                                 Traceback (most recent call last)
Cell In[26], line 3
      1 # pastikan target tersedia
      2 if 'at_risk' not in df.columns:
----&gt; 3     raise Exception("Kolom at_risk belum dibuat")
      6 # ambil target sesuai index train dan test
      7 y = df['at_risk']
Exception: Kolom at_risk belum dibuat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</si>
  <si>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</si>
  <si>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0) LOAD DATA
# =========================
CSV_PATH = "student_exam_performance_dataset (1).csv"
df = pd.read_csv(CSV_PATH)
# =========================
# 1) FEATURE ENGINEERING (minimal 3 fitur turunan)
# =========================
def _find_col(candidates):
    for c in candidates:
        if c in df.columns:
            return c
    return None
attendance_col = _find_col(["attendance_rate", "attendance"])
assignment_col = _find_col(["assignment_completion_rate", "assignment_completion"])
participation_col = _find_col(["participation_score", "participation"])
social_col = _find_col(["social_media_hours", "social_media_hours_per_day"])
study_col = _find_col(["study_hours_per_day", "study_hours"])
online_courses_col = _find_col(["online_courses_completed", "online_courses"])
tutoring_col = _find_col(["tutoring", "tutoring_sessions", "received_tutoring", "tutoring_support"])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ValueError(
        "Kolom yang dibutuhkan untuk feature engineering tidak ditemukan: "
        + ", ".join(missing)
        + "\nKolom yang tersedia:\n"
        + ", ".join(df.columns)
    )
# engagement_index: rata-rata dari 3 komponen (robust terhadap skala berbeda jika sudah 0-100)
df["engagement_index"] = df[[attendance_col, assignment_col, participation_col]].mean(axis=1)
# digital_distraction_ratio: social_media_hours / (study_hours_per_day + 1e-6)
df["digital_distraction_ratio"] = df[social_col] / (df[study_col].replace(0, np.nan))
df["digital_distraction_ratio"] = df["digital_distraction_ratio"].replace([np.inf, -np.inf], np.nan)
# support_score: online_courses_completed + tutoring (dibuat numerik 0/1 jika tutoring kategorikal)
if pd.api.types.is_numeric_dtype(df[tutoring_col]):
    tutoring_num = df[tutoring_col]
else:
    tutoring_num = df[tutoring_col].astype(str).str.strip().str.lower().map(
        {"yes": 1, "y": 1, "true": 1, "1": 1, "no": 0, "n": 0, "false": 0, "0": 0}
    )
df["support_score"] = df[online_courses_col] + tutoring_num
# =========================
# 2) TARGET KLASIFIKASI at_risk (buat jika belum ada)
#    Prioritas:
#    - jika ada pass_fail -&gt; at_risk = (pass_fail == fail)
#    - else jika ada final_exam_score -&gt; at_risk = (final_exam_score &lt; median)
# =========================
if "at_risk" not in df.columns:
    if "pass_fail" in df.columns:
        s = df["pass_fail"].astype(str).str.strip().str.lower()
        df["at_risk"] = s.isin(["fail", "0", "false", "no"]).astype(int)
    elif "final_exam_score" in df.columns:
        thr = df["final_exam_score"].median()
        df["at_risk"] = (df["final_exam_score"] &lt; thr).astype(int)
    else:
        raise ValueError("Tidak bisa membuat at_risk: kolom 'pass_fail' atau 'final_exam_score' tidak ditemukan.")
# =========================
# 3) REGRESI: prediksi final_exam_score (tanpa leakage)
#    Hindari kolom yang langsung turunan/berkaitan dengan final_exam_score atau label.
# =========================
if "final_exam_score" not in df.columns:
    raise ValueError("Kolom target regresi 'final_exam_score' tidak ditemukan.")
leakage_cols = set([
    "final_exam_score",
    "pass_fail",
    "grade_category",</t>
  </si>
  <si>
    <t>Identifies a specific error in code.</t>
  </si>
  <si>
    <t>Lacks clarity and context for broader understanding.</t>
  </si>
  <si>
    <t>Includes relevant imports for machine learning.</t>
  </si>
  <si>
    <t>Incomplete and does not address the prompt's issue.</t>
  </si>
  <si>
    <t>Explain the error regarding the 'at_risk' column and suggest how to create it.</t>
  </si>
  <si>
    <t>Provide a complete code snippet that includes the creation of the 'at_risk' column.</t>
  </si>
  <si>
    <t>{"prompt_score": 3, "response_score": 2, "overall_score": 2, "prompt_strengths": "Identifies a specific error in code.", "prompt_issues": "Lacks clarity and context for broader understanding.", "response_strengths": "Includes relevant imports for machine learning.", "response_issues": "Incomplete and does not address the prompt's issue.", "prompt_rewrite": "Explain the error regarding the 'at_risk' column and suggest how to create it.", "response_improvement_suggestions": "Provide a complete code snippet that includes the creation of the 'at_risk' column.", "verdict": "fair", "needs_human_review": false}</t>
  </si>
  <si>
    <t>[MODE:code]
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</si>
  <si>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</si>
  <si>
    <t>```python
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
```</t>
  </si>
  <si>
    <t>Clear context and specific error message.</t>
  </si>
  <si>
    <t>Could provide more context on the expected outcome.</t>
  </si>
  <si>
    <t>Thorough, correct, and actionable steps provided.</t>
  </si>
  <si>
    <t>Could be slightly more concise.</t>
  </si>
  <si>
    <t>Bagaimana cara mengatasi error FileNotFoundError saat mencoba membaca file median_house_value.xlsx yang tidak ditemukan di folder kerja saat ini?</t>
  </si>
  <si>
    <t>Consider summarizing steps to enhance conciseness.</t>
  </si>
  <si>
    <t>{"prompt_score": 4, "response_score": 5, "overall_score": 5, "prompt_strengths": "Clear context and specific error message.", "prompt_issues": "Could provide more context on the expected outcome.", "response_strengths": "Thorough, correct, and actionable steps provided.", "response_issues": "Could be slightly more concise.", "prompt_rewrite": "Bagaimana cara mengatasi error FileNotFoundError saat mencoba membaca file median_house_value.xlsx yang tidak ditemukan di folder kerja saat ini?", "response_improvement_suggestions": "Consider summarizing steps to enhance conciseness.", "verdict": "excellent", "needs_human_review": false}</t>
  </si>
  <si>
    <t>[MODE:summary]
Saya mahasiswa semester 4 yang sedang mengerjakan soal kecerdasan mesin. berikan jawaban atas soal2 berikut:</t>
  </si>
  <si>
    <t>Silakan kirimkan daftar soal (teksnya) atau foto soal yang dimaksud. Setelah itu, saya akan merangkum jawaban inti untuk tiap soal secara singkat (2–3 kalimat per soal) dan fokus pada konsep/algoritma yang relevan.</t>
  </si>
  <si>
    <t>Clear request for assistance with specific context.</t>
  </si>
  <si>
    <t>Could specify the type of questions or topics.</t>
  </si>
  <si>
    <t>Offers a clear plan for addressing the questions.</t>
  </si>
  <si>
    <t>Lacks examples of potential questions to clarify scope.</t>
  </si>
  <si>
    <t>[MODE:summary] Saya mahasiswa semester 4 yang sedang mengerjakan soal kecerdasan mesin. Berikan jawaban atas soal-soal tentang algoritma pembelajaran mesin dan konsep terkait.</t>
  </si>
  <si>
    <t>Include examples of common machine learning questions to guide the user.</t>
  </si>
  <si>
    <t>{"prompt_score": 4, "response_score": 4, "overall_score": 4, "prompt_strengths": "Clear request for assistance with specific context.", "prompt_issues": "Could specify the type of questions or topics.", "response_strengths": "Offers a clear plan for addressing the questions.", "response_issues": "Lacks examples of potential questions to clarify scope.", "prompt_rewrite": "[MODE:summary] Saya mahasiswa semester 4 yang sedang mengerjakan soal kecerdasan mesin. Berikan jawaban atas soal-soal tentang algoritma pembelajaran mesin dan konsep terkait.", "response_improvement_suggestions": "Include examples of common machine learning questions to guide the user.", "verdict": "good", "needs_human_review": false}</t>
  </si>
  <si>
    <t>[MODE:summary]
beri jawaban yang benar untuk soal berikut dari pilihan di bawah. Diketahui y = θ₀ + θ₁x dan θ₀=1, θ₁=2 dan x=5; maka y = ?
*
13
11
12
10</t>
  </si>
  <si>
    <t>Substitusikan ke rumus y = θ₀ + θ₁x: y = 1 + 2×5 = 11. Jadi jawabannya: 11.</t>
  </si>
  <si>
    <t>Clear mathematical context and specific question.</t>
  </si>
  <si>
    <t>Could provide more context on the purpose of the question.</t>
  </si>
  <si>
    <t>Correct calculation and clear explanation.</t>
  </si>
  <si>
    <t>Beri jawaban yang benar untuk soal berikut: Diketahui y = θ₀ + θ₁x dengan θ₀=1, θ₁=2, dan x=5. Hitung nilai y.</t>
  </si>
  <si>
    <t>None needed; response is complete and clear.</t>
  </si>
  <si>
    <t>{"prompt_score": 4, "response_score": 5, "overall_score": 4, "prompt_strengths": "Clear mathematical context and specific question.", "prompt_issues": "Could provide more context on the purpose of the question.", "response_strengths": "Correct calculation and clear explanation.", "response_issues": "None.", "prompt_rewrite": "Beri jawaban yang benar untuk soal berikut: Diketahui y = θ₀ + θ₁x dengan θ₀=1, θ₁=2, dan x=5. Hitung nilai y.", "response_improvement_suggestions": "None needed; response is complete and clear.", "verdict": "good", "needs_human_review": false}</t>
  </si>
  <si>
    <t>[MODE:summary]
Apa tujuan imputation?
*
Mengganti model
Menghapus dataset
Mengisi missing value
Menghapus fitur
dari 4 jawaban diatas yang aman jawaban yang ebnar jelaskan kepada saya dan berikan persentase jawaban yg kamu beri berapa persen</t>
  </si>
  <si>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</si>
  <si>
    <t>Clear question about imputation purpose.</t>
  </si>
  <si>
    <t>Accurate, clear, and confident explanation.</t>
  </si>
  <si>
    <t>Apa tujuan dari imputation? Pilih jawaban yang benar dari opsi berikut: 1) Mengganti model 2) Menghapus dataset 3) Mengisi missing value 4) Menghapus fitur. Berikan persentase keyakinan Anda.</t>
  </si>
  <si>
    <t>{"prompt_score": 4, "response_score": 5, "overall_score": 4, "prompt_strengths": "Clear question about imputation purpose.", "prompt_issues": "Could be more concise and structured.", "response_strengths": "Accurate, clear, and confident explanation.", "response_issues": "None significant.", "prompt_rewrite": "Apa tujuan dari imputation? Pilih jawaban yang benar dari opsi berikut: 1) Mengganti model 2) Menghapus dataset 3) Mengisi missing value 4) Menghapus fitur. Berikan persentase keyakinan Anda.", "response_improvement_suggestions": "None needed; response is already strong.", "verdict": "good", "needs_human_review": false}</t>
  </si>
  <si>
    <t>[MODE:summary]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</si>
  <si>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</si>
  <si>
    <t>Includes specific code context and intended output.</t>
  </si>
  <si>
    <t>Lacks clarity in phrasing and structure.</t>
  </si>
  <si>
    <t>Accurate explanation of the code's functionality.</t>
  </si>
  <si>
    <t>Could provide more detail on the implications of the visualizations.</t>
  </si>
  <si>
    <t>Can you explain how this code compares the distributions of final_exam_score and previous_gpa between Pass and Fail groups using boxplots?</t>
  </si>
  <si>
    <t>Include examples of what the visualizations reveal about the data.</t>
  </si>
  <si>
    <t>{"prompt_score": 3, "response_score": 4, "overall_score": 3, "prompt_strengths": "Includes specific code context and intended output.", "prompt_issues": "Lacks clarity in phrasing and structure.", "response_strengths": "Accurate explanation of the code's functionality.", "response_issues": "Could provide more detail on the implications of the visualizations.", "prompt_rewrite": "Can you explain how this code compares the distributions of final_exam_score and previous_gpa between Pass and Fail groups using boxplots?", "response_improvement_suggestions": "Include examples of what the visualizations reveal about the data.", "verdict": "good", "needs_human_review": false}</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</si>
  <si>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t>
  </si>
  <si>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</si>
  <si>
    <t>Clear instruction to use RandomForestClassifier with specific parameters.</t>
  </si>
  <si>
    <t>Could provide more context on the purpose of the classifier.</t>
  </si>
  <si>
    <t>Accurate code and clear explanation of the random_state parameter.</t>
  </si>
  <si>
    <t>Implement a RandomForestClassifier with random_state=42. Explain its purpose in the context of model training.</t>
  </si>
  <si>
    <t>Include a brief mention of when to use RandomForestClassifier.</t>
  </si>
  <si>
    <t>{"prompt_score": 4, "response_score": 5, "overall_score": 4, "prompt_strengths": "Clear instruction to use RandomForestClassifier with specific parameters.", "prompt_issues": "Could provide more context on the purpose of the classifier.", "response_strengths": "Accurate code and clear explanation of the random_state parameter.", "response_issues": "None noted.", "prompt_rewrite": "Implement a RandomForestClassifier with random_state=42. Explain its purpose in the context of model training.", "response_improvement_suggestions": "Include a brief mention of when to use RandomForestClassifier.", "verdict": "good", "needs_human_review": false}</t>
  </si>
  <si>
    <t>[MODE:code]
Selanjutnya buat `Pipeline` dengan `preprocessing` dan `SVR()', buat berdasarkan kode yang telah saya berikan</t>
  </si>
  <si>
    <t>from sklearn.svm import SVR
model = Pipeline([
    ("preprocessing", preprocessing),
    ("svr", SVR())
])</t>
  </si>
  <si>
    <t>```python
from sklearn.svm import SVR
model = Pipeline([
    ("preprocessing", preprocessing),
    ("svr", SVR())
])
```</t>
  </si>
  <si>
    <t>Directly asks for a specific coding task.</t>
  </si>
  <si>
    <t>Lacks clarity on what 'preprocessing' entails.</t>
  </si>
  <si>
    <t>Correctly implements a Pipeline with SVR.</t>
  </si>
  <si>
    <t>Missing import for 'Pipeline' and 'preprocessing' definition.</t>
  </si>
  <si>
    <t>Buat `Pipeline` dengan `preprocessing` yang jelas dan `SVR()`, berdasarkan kode yang telah saya berikan.</t>
  </si>
  <si>
    <t>Include necessary imports and define 'preprocessing'.</t>
  </si>
  <si>
    <t>{"prompt_score": 3, "response_score": 4, "overall_score": 3, "prompt_strengths": "Directly asks for a specific coding task.", "prompt_issues": "Lacks clarity on what 'preprocessing' entails.", "response_strengths": "Correctly implements a Pipeline with SVR.", "response_issues": "Missing import for 'Pipeline' and 'preprocessing' definition.", "prompt_rewrite": "Buat `Pipeline` dengan `preprocessing` yang jelas dan `SVR()`, berdasarkan kode yang telah saya berikan.", "response_improvement_suggestions": "Include necessary imports and define 'preprocessing'.", "verdict": "fair", "needs_human_review": false}</t>
  </si>
  <si>
    <t>[MODE:summary]
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</si>
  <si>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</si>
  <si>
    <t>Clear and specific question about data distribution.</t>
  </si>
  <si>
    <t>Could provide more context on the data.</t>
  </si>
  <si>
    <t>Accurate, clear, and directly addresses the question.</t>
  </si>
  <si>
    <t>Oke terima kasih untuk jawabannya. Sekarang kita lanjut ke persoalan berikutnya mengenai Visualisasi distribusi fitur. Saya memiliki data dengan proporsi: Outcome 0: 65.10%, Outcome 1: 34.90%. Apakah persebaran datanya seimbang? Mana yang lebih banyak? Mohon jawab dengan penjelasan yang baik dan benar.</t>
  </si>
  <si>
    <t>Consider adding examples of implications of imbalanced data.</t>
  </si>
  <si>
    <t>{"prompt_score": 4, "response_score": 5, "overall_score": 5, "prompt_strengths": "Clear and specific question about data distribution.", "prompt_issues": "Could provide more context on the data.", "response_strengths": "Accurate, clear, and directly addresses the question.", "response_issues": "None.", "prompt_rewrite": "Oke terima kasih untuk jawabannya. Sekarang kita lanjut ke persoalan berikutnya mengenai Visualisasi distribusi fitur. Saya memiliki data dengan proporsi: Outcome 0: 65.10%, Outcome 1: 34.90%. Apakah persebaran datanya seimbang? Mana yang lebih banyak? Mohon jawab dengan penjelasan yang baik dan benar.", "response_improvement_suggestions": "Consider adding examples of implications of imbalanced data.", "verdict": "excellent", "needs_human_review": false}</t>
  </si>
  <si>
    <t>[MODE:code]
parameter (filename,names=names) tuh gimana?bukannya udah buat variabel filename doang yang berisi nama file datasetnya</t>
  </si>
  <si>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</si>
  <si>
    <t>```python
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
```</t>
  </si>
  <si>
    <t>Addresses a specific coding question.</t>
  </si>
  <si>
    <t>Provides a clear and relevant code example.</t>
  </si>
  <si>
    <t>Could include more explanation of the code.</t>
  </si>
  <si>
    <t>Bagaimana cara menggunakan parameter (filename, names=names) dalam fungsi read_csv di pandas?</t>
  </si>
  <si>
    <t>Add explanations for each step of the code to enhance understanding.</t>
  </si>
  <si>
    <t>{"prompt_score": 3, "response_score": 4, "overall_score": 3, "prompt_strengths": "Addresses a specific coding question.", "prompt_issues": "Lacks clarity and context for broader understanding.", "response_strengths": "Provides a clear and relevant code example.", "response_issues": "Could include more explanation of the code.", "prompt_rewrite": "Bagaimana cara menggunakan parameter (filename, names=names) dalam fungsi read_csv di pandas?", "response_improvement_suggestions": "Add explanations for each step of the code to enhance understanding.", "verdict": "good", "needs_human_review": false}</t>
  </si>
  <si>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</si>
  <si>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</si>
  <si>
    <t>Accurate implementation and thorough explanation.</t>
  </si>
  <si>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Lengkapi fungsi validation_curve dengan output yang sesuai: alpha_vec, error_train, error_val. Gunakan kandidat alpha berikut: {0, 0.001, 0.01, 0.1, 1, 10}. Instruksi Pengerjaan 4: - Loop seluruh nilai alpha pada alpha_vec. - Latih model untuk setiap alpha. - Hitung training error dan validation error tanpa regularisasi. - Gunakan hasil plot untuk memilih alpha terbaik.</t>
  </si>
  <si>
    <t>Consider adding a brief summary of the implications of choosing the best alpha.</t>
  </si>
  <si>
    <t>{"prompt_score": 4, "response_score": 5, "overall_score": 5, "prompt_strengths": "Clear instructions and context provided.", "prompt_issues": "Could specify the expected output format more clearly.", "response_strengths": "Accurate implementation and thorough explanation.", "response_issues": "None identified.", "prompt_rewrite": "[MODE:summary_code_explanation]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Lengkapi fungsi validation_curve dengan output yang sesuai: alpha_vec, error_train, error_val. Gunakan kandidat alpha berikut: {0, 0.001, 0.01, 0.1, 1, 10}. Instruksi Pengerjaan 4: - Loop seluruh nilai alpha pada alpha_vec. - Latih model untuk setiap alpha. - Hitung training error dan validation error tanpa regularisasi. - Gunakan hasil plot untuk memilih alpha terbaik.", "response_improvement_suggestions": "Consider adding a brief summary of the implications of choosing the best alpha.", "verdict": "excellent", "needs_human_review": false}</t>
  </si>
  <si>
    <t>[MODE:code]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</si>
  <si>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</si>
  <si>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
# =========================
# BAGIAN 3 &amp; 4 (PRASYARAT)
# - Load data
# - Feature engineering: engagement_index, digital_distraction_ratio, support_score
# - Buat target klasifikasi: at_risk
# - Tentukan fitur regresi (hindari leakage)
# - Split train-test 80:20 random_state=42
# - Train model regresi (Ridge) untuk menghasilkan:
#     y_pred_reg_train, y_pred_reg_test
# - Siapkan split klasifikasi:
#     X_train_cls, X_test_cls, y_train_cls, y_test_cls
# =========================
# 1) Load dataset
df = pd.read_csv("student_exam_performance_dataset (1).csv")
# 2) Helper: cari nama kolom (robust terhadap variasi penamaan)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final_exam_col = _find_col(df.columns, ["final_exam_score", "final_score", "final_exam", "finalexam_score"])
pass_fail_col = _find_col(df.columns, ["pass_fail", "pass/fail", "passfail", "passed"])
grade_cat_col = _find_col(df.columns, ["grade_category", "grade_cat", "gradecategory"])
required = {
    "attendance_rate": attendance_col,
    "assignment_completion_rate": assignment_col,
    "participation_score": participation_col,
    "social_media_hours": social_col,
    "study_hours_per_day": study_col,
    "online_courses_completed": online_courses_col,
    "tutoring": tutoring_col,
    "final_exam_score": final_exam_col,
}
missing = [k for k, v in required.items() if v is None]
if missing:
    raise KeyError(f"Kolom berikut tidak ditemukan di dataset: {missing}")
# 3) Pastikan numerik untuk kolom yang dibutuhkan
for c in [attendance_col, assignment_col, participation_col, social_col, study_col, online_courses_col, final_exam_col]:
    df[c] = pd.to_numeric(df[c], errors="coerce")
# 4) Feature engineering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t>
  </si>
  <si>
    <t>The prompt specifies prerequisites clearly.</t>
  </si>
  <si>
    <t>Lacks detail on what specific code is needed.</t>
  </si>
  <si>
    <t>The response includes relevant imports for data processing.</t>
  </si>
  <si>
    <t>Does not provide the actual code to create the required data structures.</t>
  </si>
  <si>
    <t>Berikan kode lengkap untuk membuat df dengan kolom: at_risk, engagement_index, digital_distraction_ratio, support_score, serta prediksi regresi y_pred_reg_train dan y_pred_reg_test, dan split klasifikasi X_train_cls, X_test_cls, y_train_cls, y_test_cls.</t>
  </si>
  <si>
    <t>Include code snippets that create the required DataFrame and perform the necessary splits.</t>
  </si>
  <si>
    <t>{"prompt_score": 3, "response_score": 4, "overall_score": 3, "prompt_strengths": "The prompt specifies prerequisites clearly.", "prompt_issues": "Lacks detail on what specific code is needed.", "response_strengths": "The response includes relevant imports for data processing.", "response_issues": "Does not provide the actual code to create the required data structures.", "prompt_rewrite": "Berikan kode lengkap untuk membuat df dengan kolom: at_risk, engagement_index, digital_distraction_ratio, support_score, serta prediksi regresi y_pred_reg_train dan y_pred_reg_test, dan split klasifikasi X_train_cls, X_test_cls, y_train_cls, y_test_cls.", "response_improvement_suggestions": "Include code snippets that create the required DataFrame and perform the necessary splits.", "verdict": "fair", "needs_human_review": false}</t>
  </si>
  <si>
    <t>[MODE:summary]
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</si>
  <si>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</si>
  <si>
    <t>Clear question with specific options.</t>
  </si>
  <si>
    <t>Could provide more context on the importance of preprocessing.</t>
  </si>
  <si>
    <t>Correct answer with a clear and detailed explanation.</t>
  </si>
  <si>
    <t>Dalam soal QUIZ, terdapat pertanyaan: Mengapa preprocessing dimasukkan dalam pipeline? Pilihan jawaban: 1. Agar mencegah data leakage 2. Agar model lambat 3. Agar dataset besar 4. Agar model sederhana. Apa jawaban yang tepat dan mengapa?</t>
  </si>
  <si>
    <t>Consider adding examples of preprocessing techniques.</t>
  </si>
  <si>
    <t>{"prompt_score": 4, "response_score": 5, "overall_score": 4, "prompt_strengths": "Clear question with specific options.", "prompt_issues": "Could provide more context on the importance of preprocessing.", "response_strengths": "Correct answer with a clear and detailed explanation.", "response_issues": "None.", "prompt_rewrite": "Dalam soal QUIZ, terdapat pertanyaan: Mengapa preprocessing dimasukkan dalam pipeline? Pilihan jawaban: 1. Agar mencegah data leakage 2. Agar model lambat 3. Agar dataset besar 4. Agar model sederhana. Apa jawaban yang tepat dan mengapa?", "response_improvement_suggestions": "Consider adding examples of preprocessing techniques.", "verdict": "excellent", "needs_human_review": false}</t>
  </si>
  <si>
    <t>[MODE:summary_code_explanation]
Buatlah `KFold` dengan parameter `n_splits=10` dan simpan dalam varibel `kfold`. untuk dataset yang saya miliki</t>
  </si>
  <si>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</si>
  <si>
    <t>Clear and specific request for KFold implementation.</t>
  </si>
  <si>
    <t>Accurate, complete, and clearly explains the code.</t>
  </si>
  <si>
    <t>Buatlah `KFold` dengan parameter `n_splits=10` untuk dataset yang saya miliki, sebutkan jenis datasetnya.</t>
  </si>
  <si>
    <t>Consider adding a brief explanation of how to use the `kfold` variable with the dataset.</t>
  </si>
  <si>
    <t>{"prompt_score": 4, "response_score": 5, "overall_score": 5, "prompt_strengths": "Clear and specific request for KFold implementation.", "prompt_issues": "Could provide more context about the dataset.", "response_strengths": "Accurate, complete, and clearly explains the code.", "response_issues": "None.", "prompt_rewrite": "Buatlah `KFold` dengan parameter `n_splits=10` untuk dataset yang saya miliki, sebutkan jenis datasetnya.", "response_improvement_suggestions": "Consider adding a brief explanation of how to use the `kfold` variable with the dataset.", "verdict": "excellent", "needs_human_review": false}</t>
  </si>
  <si>
    <t>[MODE:code]
Saya perlu bantuan untuk melakukan split database saya, dimana saya ingin charge sebagai kolom target berada di variable y, sedangkan kolom lainnya menjadi fitur berada di variabel x</t>
  </si>
  <si>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</si>
  <si>
    <t>```python
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
```</t>
  </si>
  <si>
    <t>Clear request for database splitting.</t>
  </si>
  <si>
    <t>Could specify the format of the database.</t>
  </si>
  <si>
    <t>Provides relevant code and clear steps.</t>
  </si>
  <si>
    <t>Assumes prior knowledge of pandas; lacks explanation.</t>
  </si>
  <si>
    <t>Bisa bantu saya melakukan split pada database saya? Saya ingin kolom 'charge' sebagai target (variabel y) dan kolom lainnya sebagai fitur (variabel x). Format database saya adalah CSV.</t>
  </si>
  <si>
    <t>Add comments explaining each step for clarity.</t>
  </si>
  <si>
    <t>{"prompt_score": 4, "response_score": 4, "overall_score": 4, "prompt_strengths": "Clear request for database splitting.", "prompt_issues": "Could specify the format of the database.", "response_strengths": "Provides relevant code and clear steps.", "response_issues": "Assumes prior knowledge of pandas; lacks explanation.", "prompt_rewrite": "Bisa bantu saya melakukan split pada database saya? Saya ingin kolom 'charge' sebagai target (variabel y) dan kolom lainnya sebagai fitur (variabel x). Format database saya adalah CSV.", "response_improvement_suggestions": "Add comments explaining each step for clarity.", "verdict": "good", "needs_human_review": false}</t>
  </si>
  <si>
    <t>[MODE:code]
bantu saya menyelesaikan paraktikum w4 dengan mengisi ### YOUR CODE HERE ### untuk melatih model dengan cara memanggil method fit dan diberi parameter X_train dan y_train. berikan code yang isngkat, padat, jelas, dan efisien</t>
  </si>
  <si>
    <t>model.fit(X_train, y_train)</t>
  </si>
  <si>
    <t>```python
model.fit(X_train, y_train)
```</t>
  </si>
  <si>
    <t>Clear request for code completion with specific parameters.</t>
  </si>
  <si>
    <t>Could provide more context about the model or framework being used.</t>
  </si>
  <si>
    <t>Directly addresses the prompt with a correct and concise code snippet.</t>
  </si>
  <si>
    <t>Lacks explanation or context for users who may need more guidance.</t>
  </si>
  <si>
    <t>Bantu saya menyelesaikan praktikum w4 dengan mengisi ### YOUR CODE HERE ### untuk melatih model (sebutkan jenis model) dengan cara memanggil method fit dan diberi parameter X_train dan y_train. Berikan kode yang singkat, padat, jelas, dan efisien.</t>
  </si>
  <si>
    <t>Add a brief explanation of what the code does or the context of the model.</t>
  </si>
  <si>
    <t>{"prompt_score": 4, "response_score": 5, "overall_score": 4, "prompt_strengths": "Clear request for code completion with specific parameters.", "prompt_issues": "Could provide more context about the model or framework being used.", "response_strengths": "Directly addresses the prompt with a correct and concise code snippet.", "response_issues": "Lacks explanation or context for users who may need more guidance.", "prompt_rewrite": "Bantu saya menyelesaikan praktikum w4 dengan mengisi ### YOUR CODE HERE ### untuk melatih model (sebutkan jenis model) dengan cara memanggil method fit dan diberi parameter X_train dan y_train. Berikan kode yang singkat, padat, jelas, dan efisien.", "response_improvement_suggestions": "Add a brief explanation of what the code does or the context of the model.", "verdict": "good", "needs_human_review": false}</t>
  </si>
  <si>
    <t>[LANG:Python]
[MODE:summary_code_explanation]
Saya sedang memprediksi nilai median harga rumah menggunakan Support Vector Regression. Sekarang ini saya sedang mencoba mendapatkan informasi mengenai nilai null dari sebuah csv, saya sedang menggunakan pandas. Bagaimana cara mendapatkan informasi nilai null tersebut</t>
  </si>
  <si>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</si>
  <si>
    <t>Comprehensive, clear, and actionable code examples.</t>
  </si>
  <si>
    <t>[LANG:Python] [MODE:summary_code_explanation] Saya sedang memprediksi nilai median harga rumah menggunakan Support Vector Regression. Saya ingin mendapatkan informasi mengenai nilai null dari dataset CSV yang berisi data harga rumah. Bagaimana cara mendapatkan informasi nilai null tersebut?</t>
  </si>
  <si>
    <t>Consider adding a brief explanation of why checking for null values is important.</t>
  </si>
  <si>
    <t>{"prompt_score": 4, "response_score": 5, "overall_score": 4, "prompt_strengths": "Clear and specific about the task.", "prompt_issues": "Could provide more context on the dataset.", "response_strengths": "Comprehensive, clear, and actionable code examples.", "response_issues": "None significant.", "prompt_rewrite": "[LANG:Python] [MODE:summary_code_explanation] Saya sedang memprediksi nilai median harga rumah menggunakan Support Vector Regression. Saya ingin mendapatkan informasi mengenai nilai null dari dataset CSV yang berisi data harga rumah. Bagaimana cara mendapatkan informasi nilai null tersebut?", "response_improvement_suggestions": "Consider adding a brief explanation of why checking for null values is important.", "verdict": "good", "needs_human_review": false}</t>
  </si>
  <si>
    <t>[MODE:code]
sekarang saya diminta untuk Gabungkan target y dan yval agar konsisten dengan data latih final. saya harus tuliskan apa di kode ini y_train_final = ...</t>
  </si>
  <si>
    <t>y_train_final = np.concatenate((y, yval), axis=0)</t>
  </si>
  <si>
    <t>```python
y_train_final = np.concatenate((y, yval), axis=0)
```</t>
  </si>
  <si>
    <t>Identifies a specific coding task.</t>
  </si>
  <si>
    <t>Lacks clarity and context for the variables involved.</t>
  </si>
  <si>
    <t>Correct and relevant code for the task.</t>
  </si>
  <si>
    <t>Could include a brief explanation of the code.</t>
  </si>
  <si>
    <t>Gabungkan target y dan yval menjadi y_train_final untuk konsistensi dengan data latih final. Apa kode yang tepat untuk ini?</t>
  </si>
  <si>
    <t>{"prompt_score": 3, "response_score": 5, "overall_score": 4, "prompt_strengths": "Identifies a specific coding task.", "prompt_issues": "Lacks clarity and context for the variables involved.", "response_strengths": "Correct and relevant code for the task.", "response_issues": "Could include a brief explanation of the code.", "prompt_rewrite": "Gabungkan target y dan yval menjadi y_train_final untuk konsistensi dengan data latih final. Apa kode yang tepat untuk ini?", "response_improvement_suggestions": "Add a brief explanation of what the code does.", "verdict": "good", "needs_human_review": false}</t>
  </si>
  <si>
    <t>[MODE:summary_code_explanation]
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</si>
  <si>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</si>
  <si>
    <t>Clear context about model training and specific question.</t>
  </si>
  <si>
    <t>Could provide more detail on what specific aspect of 'pred' is unclear.</t>
  </si>
  <si>
    <t>Thorough explanation with relevant code examples and metrics.</t>
  </si>
  <si>
    <t>Could simplify language for better accessibility.</t>
  </si>
  <si>
    <t>Jelaskan lebih lanjut tentang baris kode `pred = ...` dalam konteks model Linear Regression yang dilatih.</t>
  </si>
  <si>
    <t>Consider simplifying technical terms for broader understanding.</t>
  </si>
  <si>
    <t>{"prompt_score": 4, "response_score": 5, "overall_score": 4, "prompt_strengths": "Clear context about model training and specific question.", "prompt_issues": "Could provide more detail on what specific aspect of 'pred' is unclear.", "response_strengths": "Thorough explanation with relevant code examples and metrics.", "response_issues": "Could simplify language for better accessibility.", "prompt_rewrite": "Jelaskan lebih lanjut tentang baris kode `pred = ...` dalam konteks model Linear Regression yang dilatih.", "response_improvement_suggestions": "Consider simplifying technical terms for broader understanding.", "verdict": "good", "needs_human_review": false}</t>
  </si>
  <si>
    <t>[LANG:Python]
[MODE:summary_code_explanation]
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</si>
  <si>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</si>
  <si>
    <t>Could be more specific about the expected format of the code.</t>
  </si>
  <si>
    <t>Accurate and complete explanation of the code.</t>
  </si>
  <si>
    <t>[LANG:Python] [MODE:summary_code_explanation] Jelaskan cara membagi dataset MNIST menjadi 60.000 gambar untuk train set dan 10.000 untuk test set dengan kode yang sesuai.</t>
  </si>
  <si>
    <t>{"prompt_score": 4, "response_score": 5, "overall_score": 4, "prompt_strengths": "Clear instructions and context provided.", "prompt_issues": "Could be more specific about the expected format of the code.", "response_strengths": "Accurate and complete explanation of the code.", "response_issues": "None.", "prompt_rewrite": "[LANG:Python] [MODE:summary_code_explanation] Jelaskan cara membagi dataset MNIST menjadi 60.000 gambar untuk train set dan 10.000 untuk test set dengan kode yang sesuai.", "response_improvement_suggestions": "None needed; response is already clear and complete.", "verdict": "good", "needs_human_review": false}</t>
  </si>
  <si>
    <t>[LANG:Python]
[MODE:summary_code_explanation]
buatlah model yang merupakan model LogisticRegression dengan parameter solver adlaah liblinear. model =</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</si>
  <si>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</si>
  <si>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Minor grammatical error in 'adlaah'.</t>
  </si>
  <si>
    <t>[LANG:Python] [MODE:summary_code_explanation] Buatlah model LogisticRegression dengan parameter solver adalah 'liblinear'. Model =</t>
  </si>
  <si>
    <t>{"prompt_score": 4, "response_score": 5, "overall_score": 4, "prompt_strengths": "Clear and specific about the model and parameters.", "prompt_issues": "Minor grammatical error in 'adlaah'.", "response_strengths": "Accurate, complete, and clearly explains the code.", "response_issues": "None.", "prompt_rewrite": "[LANG:Python] [MODE:summary_code_explanation] Buatlah model LogisticRegression dengan parameter solver adalah 'liblinear'. Model =", "response_improvement_suggestions": "None needed; response is already strong.", "verdict": "excellent", "needs_human_review": false}</t>
  </si>
  <si>
    <t>[MODE:code]
sekarang terakhir saya diminta untuk Hitung test error model akhir pada X_poly_test dan ytest. Gunakan test set hanya setelah model final selesai dipilih.</t>
  </si>
  <si>
    <t>test_error, _ = linear_reg_cost_function(theta_final, X_poly_test, ytest, 0)</t>
  </si>
  <si>
    <t>```python
test_error, _ = linear_reg_cost_function(theta_final, X_poly_test, ytest, 0)
```</t>
  </si>
  <si>
    <t>The prompt specifies a clear task related to model evaluation.</t>
  </si>
  <si>
    <t>Lacks clarity in terms of expected output format and context.</t>
  </si>
  <si>
    <t>The response is relevant and correctly implements the task.</t>
  </si>
  <si>
    <t>Could provide more context or explanation for clarity.</t>
  </si>
  <si>
    <t>Hitung test error model akhir menggunakan X_poly_test dan ytest setelah model final dipilih. Sertakan format output yang diharapkan.</t>
  </si>
  <si>
    <t>Add a brief explanation of the function used and its parameters.</t>
  </si>
  <si>
    <t>{"prompt_score": 3, "response_score": 4, "overall_score": 3, "prompt_strengths": "The prompt specifies a clear task related to model evaluation.", "prompt_issues": "Lacks clarity in terms of expected output format and context.", "response_strengths": "The response is relevant and correctly implements the task.", "response_issues": "Could provide more context or explanation for clarity.", "prompt_rewrite": "Hitung test error model akhir menggunakan X_poly_test dan ytest setelah model final dipilih. Sertakan format output yang diharapkan.", "response_improvement_suggestions": "Add a brief explanation of the function used and its parameters.", "verdict": "good", "needs_human_review": false}</t>
  </si>
  <si>
    <t>[LANG:Python]
[MODE:code]
[ASSESSMENT_ID:1771cf7a-0a65-11f1-b762-3e0936ad7efb]
[FORCE_GPT:true]
[AUTO_FALLBACK:true]
saya akan lihat hasil dari model yang di train menggunakan `linear regression`
pred = ## YOUR CODE HERE ##
mae = mean_absolute_error(y_test, pred)
rmse = np.sqrt(mean_squared_error(y_test, pred))
r2 = r2_score(y_test, pred)
print("MAE :", mae)
print("RMSE:", rmse)
print("R2  :", r2)</t>
  </si>
  <si>
    <t>pred = lin_reg.predict(X_test)</t>
  </si>
  <si>
    <t>```python
pred = lin_reg.predict(X_test)
```</t>
  </si>
  <si>
    <t>Clear instructions and context for linear regression evaluation.</t>
  </si>
  <si>
    <t>Could specify the model training part for completeness.</t>
  </si>
  <si>
    <t>Directly addresses the prompt with a correct prediction code.</t>
  </si>
  <si>
    <t>Lacks explanation or context for the prediction line.</t>
  </si>
  <si>
    <t>Implement the prediction using a trained linear regression model and evaluate it with MAE, RMSE, and R2.</t>
  </si>
  <si>
    <t>Add a brief explanation of the prediction step and ensure the model is trained before predicting.</t>
  </si>
  <si>
    <t>{"prompt_score": 4, "response_score": 5, "overall_score": 4, "prompt_strengths": "Clear instructions and context for linear regression evaluation.", "prompt_issues": "Could specify the model training part for completeness.", "response_strengths": "Directly addresses the prompt with a correct prediction code.", "response_issues": "Lacks explanation or context for the prediction line.", "prompt_rewrite": "Implement the prediction using a trained linear regression model and evaluate it with MAE, RMSE, and R2.", "response_improvement_suggestions": "Add a brief explanation of the prediction step and ensure the model is trained before predicting.", "verdict": "good", "needs_human_review": false}</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</si>
  <si>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</si>
  <si>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</si>
  <si>
    <t>Clear explanation of the bug and solution with code context.</t>
  </si>
  <si>
    <t>Could be more concise; some details may overwhelm the reader.</t>
  </si>
  <si>
    <t>Addresses the issue directly and provides a corrected code example.</t>
  </si>
  <si>
    <t>Could clarify the reasoning behind the changes more explicitly.</t>
  </si>
  <si>
    <t>[MODE:summary_code_explanation] **Summary:** The bug is in `linear_reg_cost_function` due to a shape mismatch with `theta`. Flatten `theta` and `y` to 1D to fix the issue. **Explanation:** The error occurs when `reg_term @ reg_term` is invalid due to `reg_term` being 2D. Reshape `theta` to `(n,)` for correct computation.</t>
  </si>
  <si>
    <t>Clarify the reasoning behind the function signature change and its impact on the error.</t>
  </si>
  <si>
    <t>{"prompt_score": 4, "response_score": 4, "overall_score": 4, "prompt_strengths": "Clear explanation of the bug and solution with code context.", "prompt_issues": "Could be more concise; some details may overwhelm the reader.", "response_strengths": "Addresses the issue directly and provides a corrected code example.", "response_issues": "Could clarify the reasoning behind the changes more explicitly.", "prompt_rewrite": "[MODE:summary_code_explanation] **Summary:** The bug is in `linear_reg_cost_function` due to a shape mismatch with `theta`. Flatten `theta` and `y` to 1D to fix the issue. **Explanation:** The error occurs when `reg_term @ reg_term` is invalid due to `reg_term` being 2D. Reshape `theta` to `(n,)` for correct computation.", "response_improvement_suggestions": "Clarify the reasoning behind the function signature change and its impact on the error.", "verdict": "good", "needs_human_review": false}</t>
  </si>
  <si>
    <t>[MODE:summary_code_explanation]
rapihkan kode agar mudah di baca dan di copy untuk membantu saya menyelesaikan permasalahan saya. bagi dua section mana untuk tugas regresi dan mana untuk tugas klasifikasi</t>
  </si>
  <si>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</si>
  <si>
    <t>Clear request for code organization and separation of tasks.</t>
  </si>
  <si>
    <t>Could specify the programming language for clarity.</t>
  </si>
  <si>
    <t>Well-structured code with clear sections for regression and classification tasks.</t>
  </si>
  <si>
    <t>Response is cut off at the end, missing completion.</t>
  </si>
  <si>
    <t>[MODE:summary_code_explanation] Rapihkan kode Python agar mudah dibaca dan dicopy untuk membantu saya menyelesaikan permasalahan saya. Bagi dua section: satu untuk tugas regresi dan satu untuk tugas klasifikasi.</t>
  </si>
  <si>
    <t>Complete the response by including the missing parts of the classification task and any evaluation metrics.</t>
  </si>
  <si>
    <t>{"prompt_score": 4, "response_score": 4, "overall_score": 4, "prompt_strengths": "Clear request for code organization and separation of tasks.", "prompt_issues": "Could specify the programming language for clarity.", "response_strengths": "Well-structured code with clear sections for regression and classification tasks.", "response_issues": "Response is cut off at the end, missing completion.", "prompt_rewrite": "[MODE:summary_code_explanation] Rapihkan kode Python agar mudah dibaca dan dicopy untuk membantu saya menyelesaikan permasalahan saya. Bagi dua section: satu untuk tugas regresi dan satu untuk tugas klasifikasi.", "response_improvement_suggestions": "Complete the response by including the missing parts of the classification task and any evaluation metrics.", "verdict": "good", "needs_human_review": false}</t>
  </si>
  <si>
    <t>[MODE:summary_code_explanation]
setelah kode y_scores tersebut kita disuruh untuk  gambar kurva precision vs. recall dengan pertama-tama memanggil precision_recall_curve dan argumen sbb:
y dan
y_scores.</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</si>
  <si>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</si>
  <si>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Could provide more context on the data used.</t>
  </si>
  <si>
    <t>Accurate, complete, and well-structured explanation with code.</t>
  </si>
  <si>
    <t>[MODE:summary_code_explanation] Setelah kode y_scores, gambarkan kurva precision vs. recall dengan memanggil precision_recall_curve menggunakan argumen y dan y_scores. Berikan konteks tentang data yang digunakan.</t>
  </si>
  <si>
    <t>Consider adding a brief explanation of what precision and recall represent.</t>
  </si>
  <si>
    <t>{"prompt_score": 4, "response_score": 5, "overall_score": 4, "prompt_strengths": "Clear and specific about the task.", "prompt_issues": "Could provide more context on the data used.", "response_strengths": "Accurate, complete, and well-structured explanation with code.", "response_issues": "None significant.", "prompt_rewrite": "[MODE:summary_code_explanation] Setelah kode y_scores, gambarkan kurva precision vs. recall dengan memanggil precision_recall_curve menggunakan argumen y dan y_scores. Berikan konteks tentang data yang digunakan.", "response_improvement_suggestions": "Consider adding a brief explanation of what precision and recall represent.", "verdict": "good", "needs_human_review": false}</t>
  </si>
  <si>
    <t>[MODE:code]
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</si>
  <si>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</si>
  <si>
    <t>```python
#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
```</t>
  </si>
  <si>
    <t>Detailed and specific instructions for EDA.</t>
  </si>
  <si>
    <t>Could provide more context on the dataset's purpose.</t>
  </si>
  <si>
    <t>Comprehensive and well-structured EDA code.</t>
  </si>
  <si>
    <t>Berikan instruksi untuk melakukan EDA pada dataset yang berisi informasi siswa, termasuk analisis missing values, statistik deskriptif, visualisasi distribusi fitur penting, dan heatmap korelasi.</t>
  </si>
  <si>
    <t>Consider adding comments to explain each step of the analysis for clarity.</t>
  </si>
  <si>
    <t>{"prompt_score": 4, "response_score": 5, "overall_score": 5, "prompt_strengths": "Detailed and specific instructions for EDA.", "prompt_issues": "Could provide more context on the dataset's purpose.", "response_strengths": "Comprehensive and well-structured EDA code.", "response_issues": "None identified.", "prompt_rewrite": "Berikan instruksi untuk melakukan EDA pada dataset yang berisi informasi siswa, termasuk analisis missing values, statistik deskriptif, visualisasi distribusi fitur penting, dan heatmap korelasi.", "response_improvement_suggestions": "Consider adding comments to explain each step of the analysis for clarity.", "verdict": "excellent", "needs_human_review": false}</t>
  </si>
  <si>
    <t>[LANG:Python]
[MODE:summary_code_explanation]
[ASSESSMENT_ID:1771cf7d-0a65-11f1-b762-3e0936ad7efb]
[FORCE_GPT:true]
[AUTO_FALLBACK:true]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</si>
  <si>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</si>
  <si>
    <t>Clear and specific request for analysis of dataset features.</t>
  </si>
  <si>
    <t>Thorough explanation of features with minimum values and their implications.</t>
  </si>
  <si>
    <t>Could include more on how to handle the identified issues.</t>
  </si>
  <si>
    <t>Analyze the dataset features with minimum values of 0 and discuss their medical realism and potential causes.</t>
  </si>
  <si>
    <t>Add suggestions for handling missing values in the dataset.</t>
  </si>
  <si>
    <t>{"prompt_score": 4, "response_score": 5, "overall_score": 4, "prompt_strengths": "Clear and specific request for analysis of dataset features.", "prompt_issues": "Could provide more context on the dataset's purpose.", "response_strengths": "Thorough explanation of features with minimum values and their implications.", "response_issues": "Could include more on how to handle the identified issues.", "prompt_rewrite": "Analyze the dataset features with minimum values of 0 and discuss their medical realism and potential causes.", "response_improvement_suggestions": "Add suggestions for handling missing values in the dataset.", "verdict": "good", "needs_human_review": false}</t>
  </si>
  <si>
    <t>[MODE:code]
name error name"lin_reg" is not define. kenapa bisa error seperti lin_reg is not define padahal saya sudah sama lin_reg.predict(X_test)</t>
  </si>
  <si>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</si>
  <si>
    <t>```python
#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
```</t>
  </si>
  <si>
    <t>Identifies a specific error related to variable definition.</t>
  </si>
  <si>
    <t>Lacks clarity in language and context; mixed languages may confuse readers.</t>
  </si>
  <si>
    <t>Provides a clear and complete solution with relevant code examples.</t>
  </si>
  <si>
    <t>Could include more explanation of the code for better understanding.</t>
  </si>
  <si>
    <t>Mengapa saya mendapatkan error 'name "lin_reg" is not defined' saat mencoba menggunakan lin_reg.predict(X_test)?</t>
  </si>
  <si>
    <t>Add comments explaining each step of the code for clarity.</t>
  </si>
  <si>
    <t>{"prompt_score": 3, "response_score": 5, "overall_score": 4, "prompt_strengths": "Identifies a specific error related to variable definition.", "prompt_issues": "Lacks clarity in language and context; mixed languages may confuse readers.", "response_strengths": "Provides a clear and complete solution with relevant code examples.", "response_issues": "Could include more explanation of the code for better understanding.", "prompt_rewrite": "Mengapa saya mendapatkan error 'name \"lin_reg\" is not defined' saat mencoba menggunakan lin_reg.predict(X_test)?", "response_improvement_suggestions": "Add comments explaining each step of the code for clarity.", "verdict": "good", "needs_human_review": false}</t>
  </si>
  <si>
    <t>[MODE:code]
Tidak ada 'class' dalam csv hanya ada ini Pregnancies	Glucose	BloodPressure	SkinThickness	Insulin	BMI	DiabetesPedigreeFunction	Age	Outcome
. Tetapi di soal didefinisikan class apa maksdunya?</t>
  </si>
  <si>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</si>
  <si>
    <t>```python
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
```</t>
  </si>
  <si>
    <t>Identifies a specific issue regarding class definition.</t>
  </si>
  <si>
    <t>Lacks clarity and context about the dataset and the question.</t>
  </si>
  <si>
    <t>Provides a clear and relevant code solution with explanations.</t>
  </si>
  <si>
    <t>Could include more context about the dataset and its usage.</t>
  </si>
  <si>
    <t>Apa yang dimaksud dengan 'class' dalam konteks dataset ini yang memiliki kolom Pregnancies, Glucose, BloodPressure, SkinThickness, Insulin, BMI, DiabetesPedigreeFunction, Age, dan Outcome?</t>
  </si>
  <si>
    <t>Add a brief explanation of the dataset and its purpose to enhance understanding.</t>
  </si>
  <si>
    <t>{"prompt_score": 3, "response_score": 4, "overall_score": 3, "prompt_strengths": "Identifies a specific issue regarding class definition.", "prompt_issues": "Lacks clarity and context about the dataset and the question.", "response_strengths": "Provides a clear and relevant code solution with explanations.", "response_issues": "Could include more context about the dataset and its usage.", "prompt_rewrite": "Apa yang dimaksud dengan 'class' dalam konteks dataset ini yang memiliki kolom Pregnancies, Glucose, BloodPressure, SkinThickness, Insulin, BMI, DiabetesPedigreeFunction, Age, dan Outcome?", "response_improvement_suggestions": "Add a brief explanation of the dataset and its purpose to enhance understanding.", "verdict": "good", "needs_human_review": false}</t>
  </si>
  <si>
    <t>[MODE:code]
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</si>
  <si>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</si>
  <si>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</si>
  <si>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The prompt specifies a coding task with clear objectives.</t>
  </si>
  <si>
    <t>Lacks clarity in the initial question and context for the task.</t>
  </si>
  <si>
    <t>The response is relevant, correct, and complete, providing a functional code snippet.</t>
  </si>
  <si>
    <t>Could improve clarity with comments explaining each step.</t>
  </si>
  <si>
    <t>Can you complete the following loop to train a model for each alpha, and calculate the training and validation errors without regularization? Please provide your code.</t>
  </si>
  <si>
    <t>Add comments to explain the purpose of each line in the code for better clarity.</t>
  </si>
  <si>
    <t>{"prompt_score": 3, "response_score": 4, "overall_score": 4, "prompt_strengths": "The prompt specifies a coding task with clear objectives.", "prompt_issues": "Lacks clarity in the initial question and context for the task.", "response_strengths": "The response is relevant, correct, and complete, providing a functional code snippet.", "response_issues": "Could improve clarity with comments explaining each step.", "prompt_rewrite": "Can you complete the following loop to train a model for each alpha, and calculate the training and validation errors without regularization? Please provide your code.", "response_improvement_suggestions": "Add comments to explain the purpose of each line in the code for better clarity.", "verdict": "good", "needs_human_review": false}</t>
  </si>
  <si>
    <t>[MODE:summary_code_explanation]
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</si>
  <si>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</si>
  <si>
    <t>Buat variabel `correlation` yang berisi matriks korelasi dari kolom numerik pada dataset dan tampilkan sebagai heatmap.</t>
  </si>
  <si>
    <t>Consider adding an example dataset for clarity.</t>
  </si>
  <si>
    <t>{"prompt_score": 4, "response_score": 5, "overall_score": 5, "prompt_strengths": "Clear and specific about the task.", "prompt_issues": "Could provide more context on the dataset.", "response_strengths": "Accurate, complete, and well-explained.", "response_issues": "None.", "prompt_rewrite": "Buat variabel `correlation` yang berisi matriks korelasi dari kolom numerik pada dataset dan tampilkan sebagai heatmap.", "response_improvement_suggestions": "Consider adding an example dataset for clarity.", "verdict": "excellent", "needs_human_review": false}</t>
  </si>
  <si>
    <t>[MODE:summary]
di dalam sebuah dataset diabetes yang memiliki 768 sampel dan 9 fitur, saya menemukan nilai mean paling tinggi ada pada glucosenya, dan standar deviasi terbesar ada pada insulin. Jelaskan apa arti dari kedua temuan tersebut terhadap variasi dan distribusi data.</t>
  </si>
  <si>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</si>
  <si>
    <t>Clear and specific about the dataset and findings.</t>
  </si>
  <si>
    <t>Could provide more context on the significance of the findings.</t>
  </si>
  <si>
    <t>Thorough explanation of mean and standard deviation implications.</t>
  </si>
  <si>
    <t>None significant; well-articulated.</t>
  </si>
  <si>
    <t>Jelaskan arti dari nilai mean tertinggi pada glucose dan standar deviasi terbesar pada insulin dalam konteks variasi dan distribusi data pada dataset diabetes yang memiliki 768 sampel dan 9 fitur.</t>
  </si>
  <si>
    <t>Consider adding examples of how these findings might impact model performance.</t>
  </si>
  <si>
    <t>{"prompt_score": 4, "response_score": 5, "overall_score": 5, "prompt_strengths": "Clear and specific about the dataset and findings.", "prompt_issues": "Could provide more context on the significance of the findings.", "response_strengths": "Thorough explanation of mean and standard deviation implications.", "response_issues": "None significant; well-articulated.", "prompt_rewrite": "Jelaskan arti dari nilai mean tertinggi pada glucose dan standar deviasi terbesar pada insulin dalam konteks variasi dan distribusi data pada dataset diabetes yang memiliki 768 sampel dan 9 fitur.", "response_improvement_suggestions": "Consider adding examples of how these findings might impact model performance.", "verdict": "excellent", "needs_human_review": false}</t>
  </si>
  <si>
    <t>[MODE:code]
[ASSESSMENT_ID:1771cf8e-0a65-11f1-b762-3e0936ad7efb]
[FORCE_GPT:true]
[AUTO_FALLBACK:true]
Bagian 1 - Load Dataset
Lakukan langkah berikut:
Load dataset student_exam_performance_dataset (1).csv.
Tampilkan 5 baris pertama.
Tampilkan ukuran dataset (jumlah baris dan kolom).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</si>
  <si>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</si>
  <si>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</si>
  <si>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Correct and complete code with clear output statements.</t>
  </si>
  <si>
    <t>Bagian 1 - Load Dataset: Load dataset student_exam_performance_dataset (1).csv, which contains student exam performance data. Tampilkan 5 baris pertama, ukuran dataset (jumlah baris dan kolom), dan tipe data setiap kolom.</t>
  </si>
  <si>
    <t>None needed; response is already complete.</t>
  </si>
  <si>
    <t>{"prompt_score": 4, "response_score": 5, "overall_score": 5, "prompt_strengths": "Clear instructions with specific tasks.", "prompt_issues": "Could provide more context about the dataset.", "response_strengths": "Correct and complete code with clear output statements.", "response_issues": "None.", "prompt_rewrite": "Bagian 1 - Load Dataset: Load dataset student_exam_performance_dataset (1).csv, which contains student exam performance data. Tampilkan 5 baris pertama, ukuran dataset (jumlah baris dan kolom), dan tipe data setiap kolom.", "response_improvement_suggestions": "None needed; response is already complete.", "verdict": "excellent", "needs_human_review": false}</t>
  </si>
  <si>
    <t>[MODE:summary]
tolong berikan jawaban dibawah ini secara terstruktur dan tersusun rapih hasil jawabannya dan jawaban tersebut benar dan akurat
Outcome
0    65.104167
1    34.895833
Name: proportion, dtype: float64
apakah persebaran datanya seimbang? mana yang lebih banyak</t>
  </si>
  <si>
    <t>Persebaran data **tidak seimbang (imbalanced)**.
1) **Proporsi tiap kelas (Outcome)**
- **Outcome = 0**: **65.104167%**
- **Outcome = 1**: **34.895833%**
2) **Kelas yang lebih banyak**
- Yang **lebih banyak** adalah **Outcome = 0** (sekitar 65%), dibanding **Outcome = 1** (sekitar 35%).</t>
  </si>
  <si>
    <t>Clear request for structured and accurate response.</t>
  </si>
  <si>
    <t>Could specify the type of data or context for better clarity.</t>
  </si>
  <si>
    <t>Accurate, clear, and well-structured response.</t>
  </si>
  <si>
    <t>None significant; could include a brief explanation of 'imbalanced'.</t>
  </si>
  <si>
    <t>[MODE:summary] Berikan jawaban terstruktur dan akurat mengenai persebaran data Outcome 0 dan 1. Apakah seimbang? Mana yang lebih banyak?</t>
  </si>
  <si>
    <t>Add a brief explanation of what 'imbalanced' means.</t>
  </si>
  <si>
    <t>{"prompt_score": 4, "response_score": 5, "overall_score": 4, "prompt_strengths": "Clear request for structured and accurate response.", "prompt_issues": "Could specify the type of data or context for better clarity.", "response_strengths": "Accurate, clear, and well-structured response.", "response_issues": "None significant; could include a brief explanation of 'imbalanced'.", "prompt_rewrite": "[MODE:summary] Berikan jawaban terstruktur dan akurat mengenai persebaran data Outcome 0 dan 1. Apakah seimbang? Mana yang lebih banyak?", "response_improvement_suggestions": "Add a brief explanation of what 'imbalanced' means.", "verdict": "good", "needs_human_review": false}</t>
  </si>
  <si>
    <t>[MODE:code]
berikan codingan cara untuk load dataset insurance.csv. file insurance.csv saya berisi age,sex,bmi,children,smoker,region,charges</t>
  </si>
  <si>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</si>
  <si>
    <t>```python
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
```</t>
  </si>
  <si>
    <t>Clear request for coding assistance with specific dataset details.</t>
  </si>
  <si>
    <t>Correct and complete code for loading and checking the dataset.</t>
  </si>
  <si>
    <t>None identified; response is clear and helpful.</t>
  </si>
  <si>
    <t>Berikan codingan dalam Python untuk load dataset insurance.csv yang berisi age, sex, bmi, children, smoker, region, charges.</t>
  </si>
  <si>
    <t>Consider adding comments explaining each step for beginners.</t>
  </si>
  <si>
    <t>{"prompt_score": 4, "response_score": 5, "overall_score": 4, "prompt_strengths": "Clear request for coding assistance with specific dataset details.", "prompt_issues": "Could specify the programming language for clarity.", "response_strengths": "Correct and complete code for loading and checking the dataset.", "response_issues": "None identified; response is clear and helpful.", "prompt_rewrite": "Berikan codingan dalam Python untuk load dataset insurance.csv yang berisi age, sex, bmi, children, smoker, region, charges.", "response_improvement_suggestions": "Consider adding comments explaining each step for beginners.", "verdict": "good", "needs_human_review": false}</t>
  </si>
  <si>
    <t>[MODE:summary]
Konteks: Jelaskan konsep [Gradient Descent bekerja dengan
]: Level: pemula Minta: definisi singkat, analogi, contoh nyata, dan kapan konsep ini dipakai. Intisari 1 kalimat.</t>
  </si>
  <si>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</si>
  <si>
    <t>Clear and specific request for explanation.</t>
  </si>
  <si>
    <t>Could specify the desired length for the summary.</t>
  </si>
  <si>
    <t>Accurate, concise, and includes relevant examples.</t>
  </si>
  <si>
    <t>None significant; could elaborate slightly on real-world applications.</t>
  </si>
  <si>
    <t>[MODE:summary] Konteks: Jelaskan konsep [Gradient Descent bekerja dengan ]: Level: pemula Minta: definisi singkat, analogi, contoh nyata, dan kapan konsep ini dipakai. Intisari 1 kalimat, maksimal 50 kata.</t>
  </si>
  <si>
    <t>Consider adding more examples of real-world applications.</t>
  </si>
  <si>
    <t>{"prompt_score": 4, "response_score": 5, "overall_score": 5, "prompt_strengths": "Clear and specific request for explanation.", "prompt_issues": "Could specify the desired length for the summary.", "response_strengths": "Accurate, concise, and includes relevant examples.", "response_issues": "None significant; could elaborate slightly on real-world applications.", "prompt_rewrite": "[MODE:summary] Konteks: Jelaskan konsep [Gradient Descent bekerja dengan ]: Level: pemula Minta: definisi singkat, analogi, contoh nyata, dan kapan konsep ini dipakai. Intisari 1 kalimat, maksimal 50 kata.", "response_improvement_suggestions": "Consider adding more examples of real-world applications.", "verdict": "excellent", "needs_human_review": false}</t>
  </si>
  <si>
    <t>[MODE:code]
housing_labels = pd.read_csv('housing_labels.csv')
housing_labels = housing_labels["median_house_value"]</t>
  </si>
  <si>
    <t>import pandas as pd
housing_labels = pd.read_csv("housing_labels.csv")["median_house_value"]</t>
  </si>
  <si>
    <t>```python
import pandas as pd
housing_labels = pd.read_csv("housing_labels.csv")["median_house_value"]
```</t>
  </si>
  <si>
    <t>Lacks context on the purpose of the code.</t>
  </si>
  <si>
    <t>[MODE:code] Load the median house values from the housing_labels.csv file.</t>
  </si>
  <si>
    <t>Add comments to explain the code.</t>
  </si>
  <si>
    <t>{"prompt_score": 4, "response_score": 5, "overall_score": 4, "prompt_strengths": "Clear and specific about the task.", "prompt_issues": "Lacks context on the purpose of the code.", "response_strengths": "Correct and complete code implementation.", "response_issues": "Could include comments for clarity.", "prompt_rewrite": "[MODE:code] Load the median house values from the housing_labels.csv file.", "response_improvement_suggestions": "Add comments to explain the code.", "verdict": "good", "needs_human_review": false}</t>
  </si>
  <si>
    <t>[MODE:code]
Kita tampilkan best hyperparameter dari hasil grid_search sbb:
kalo untuk pengerjaan ini promt ai nya apa ya</t>
  </si>
  <si>
    <t># Tampilkan best hyperparameter dari GridSearchCV
print("Best hyperparameters:", grid_search.best_params_)</t>
  </si>
  <si>
    <t>```python
# Tampilkan best hyperparameter dari GridSearchCV
print("Best hyperparameters:", grid_search.best_params_)
```</t>
  </si>
  <si>
    <t>Identifies a specific task related to hyperparameters.</t>
  </si>
  <si>
    <t>Lacks clarity and specificity in asking for AI prompt.</t>
  </si>
  <si>
    <t>Provides a relevant and correct code snippet.</t>
  </si>
  <si>
    <t>Could include more context or explanation.</t>
  </si>
  <si>
    <t>Apa prompt AI yang tepat untuk menampilkan best hyperparameter dari grid_search?</t>
  </si>
  <si>
    <t>Add a brief explanation of the code snippet provided.</t>
  </si>
  <si>
    <t>{"prompt_score": 3, "response_score": 4, "overall_score": 3, "prompt_strengths": "Identifies a specific task related to hyperparameters.", "prompt_issues": "Lacks clarity and specificity in asking for AI prompt.", "response_strengths": "Provides a relevant and correct code snippet.", "response_issues": "Could include more context or explanation.", "prompt_rewrite": "Apa prompt AI yang tepat untuk menampilkan best hyperparameter dari grid_search?", "response_improvement_suggestions": "Add a brief explanation of the code snippet provided.", "verdict": "fair", "needs_human_review": false}</t>
  </si>
  <si>
    <t>[MODE:summary_code_explanation]
disuruhnya berbentuk teks gituu, apa ya kira kira yang harus aku tulisin, apa aja yah isinya yang harus aku tulis</t>
  </si>
  <si>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</si>
  <si>
    <t>The prompt indicates a need for a text summary and outlines the expected content.</t>
  </si>
  <si>
    <t>Lacks clarity and specificity in what is being asked; could be more structured.</t>
  </si>
  <si>
    <t>The response is comprehensive, relevant, and provides a clear structure for the summary.</t>
  </si>
  <si>
    <t>Could be slightly more concise; some points may be overwhelming for a beginner.</t>
  </si>
  <si>
    <t>Apa yang harus saya tulis dalam teks ringkasan tentang analisis data? Mohon berikan poin-poin penting yang harus dicakup.</t>
  </si>
  <si>
    <t>Consider summarizing key points more concisely and providing clearer examples for beginners.</t>
  </si>
  <si>
    <t>{"prompt_score": 3, "response_score": 5, "overall_score": 4, "prompt_strengths": "The prompt indicates a need for a text summary and outlines the expected content.", "prompt_issues": "Lacks clarity and specificity in what is being asked; could be more structured.", "response_strengths": "The response is comprehensive, relevant, and provides a clear structure for the summary.", "response_issues": "Could be slightly more concise; some points may be overwhelming for a beginner.", "prompt_rewrite": "Apa yang harus saya tulis dalam teks ringkasan tentang analisis data? Mohon berikan poin-poin penting yang harus dicakup.", "response_improvement_suggestions": "Consider summarizing key points more concisely and providing clearer examples for beginners.", "verdict": "good", "needs_human_review": false}</t>
  </si>
  <si>
    <t>[MODE:summary_code_explanation]
[ASSESSMENT_ID:1771cf81-0a65-11f1-b762-3e0936ad7efb]
[FORCE_GPT:true]
[AUTO_FALLBACK:true]
knn_clf = KNeighborsClassifier()
Kita _train_ `knn_clf` pada `X_train` dan `y_train`.
##### Your Code Here #####</t>
  </si>
  <si>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</si>
  <si>
    <t>Could specify the expected format for the code more clearly.</t>
  </si>
  <si>
    <t>Accurate, clear, and complete explanation of the code.</t>
  </si>
  <si>
    <t>[MODE:summary_code_explanation] [ASSESSMENT_ID:1771cf81-0a65-11f1-b762-3e0936ad7efb] [FORCE_GPT:true] [AUTO_FALLBACK:true] Implement the code to fit the KNeighborsClassifier `knn_clf` using the training data `X_train` and `y_train`. Please provide the code in Python format.</t>
  </si>
  <si>
    <t>{"prompt_score": 4, "response_score": 5, "overall_score": 4, "prompt_strengths": "Clear instructions and context provided.", "prompt_issues": "Could specify the expected format for the code more clearly.", "response_strengths": "Accurate, clear, and complete explanation of the code.", "response_issues": "None noted.", "prompt_rewrite": "[MODE:summary_code_explanation] [ASSESSMENT_ID:1771cf81-0a65-11f1-b762-3e0936ad7efb] [FORCE_GPT:true] [AUTO_FALLBACK:true] Implement the code to fit the KNeighborsClassifier `knn_clf` using the training data `X_train` and `y_train`. Please provide the code in Python format.", "response_improvement_suggestions": "None needed; response is already strong.", "verdict": "excellent", "needs_human_review": false}</t>
  </si>
  <si>
    <t>[MODE:code]
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</si>
  <si>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</si>
  <si>
    <t>```python
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
```</t>
  </si>
  <si>
    <t>Clear and specific request for implementation of regression evaluation functions.</t>
  </si>
  <si>
    <t>Correct implementation of all requested functions with appropriate error handling.</t>
  </si>
  <si>
    <t>Halo, saya mahasiswa semester 6, Teknik Informatika. Saya sedang mengerjakan praktikum Kecerdasan Mesin dan perlu bantuan untuk membuat fungsi evaluasi model regresi: mse(y_true, y_pred), rmse(y_true, y_pred), dan r2_score(y_true, y_pred) menggunakan numpy. Hasilnya harus berupa satu nilai skalar. Mohon contoh implementasi ketiga fungsi tersebut.</t>
  </si>
  <si>
    <t>Consider adding example usage for the functions to enhance clarity.</t>
  </si>
  <si>
    <t>{"prompt_score": 5, "response_score": 5, "overall_score": 5, "prompt_strengths": "Clear and specific request for implementation of regression evaluation functions.", "prompt_issues": "None.", "response_strengths": "Correct implementation of all requested functions with appropriate error handling.", "response_issues": "None.", "prompt_rewrite": "Halo, saya mahasiswa semester 6, Teknik Informatika. Saya sedang mengerjakan praktikum Kecerdasan Mesin dan perlu bantuan untuk membuat fungsi evaluasi model regresi: mse(y_true, y_pred), rmse(y_true, y_pred), dan r2_score(y_true, y_pred) menggunakan numpy. Hasilnya harus berupa satu nilai skalar. Mohon contoh implementasi ketiga fungsi tersebut.", "response_improvement_suggestions": "Consider adding example usage for the functions to enhance clarity.", "verdict": "excellent", "needs_human_review": false}</t>
  </si>
  <si>
    <t>[MODE:summary_code_explanation]
What will happen to the eta vs MSE cost diagram if added more iteration like to 1 million iterations?</t>
  </si>
  <si>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</si>
  <si>
    <t>Clear and specific about the scenario.</t>
  </si>
  <si>
    <t>Could provide more context on the significance of eta and MSE.</t>
  </si>
  <si>
    <t>Thorough explanation with relevant code example.</t>
  </si>
  <si>
    <t>Could be slightly more concise in some areas.</t>
  </si>
  <si>
    <t>[MODE:summary_code_explanation] How does increasing iterations to 1 million affect the eta vs MSE cost diagram in gradient descent optimization?</t>
  </si>
  <si>
    <t>{"prompt_score": 4, "response_score": 5, "overall_score": 5, "prompt_strengths": "Clear and specific about the scenario.", "prompt_issues": "Could provide more context on the significance of eta and MSE.", "response_strengths": "Thorough explanation with relevant code example.", "response_issues": "Could be slightly more concise in some areas.", "prompt_rewrite": "[MODE:summary_code_explanation] How does increasing iterations to 1 million affect the eta vs MSE cost diagram in gradient descent optimization?", "response_improvement_suggestions": "Consider summarizing key points more succinctly to enhance clarity.", "verdict": "excellent", "needs_human_review": false}</t>
  </si>
  <si>
    <t>[MODE:summary]
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</si>
  <si>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</si>
  <si>
    <t>Covers multiple relevant topics in machine learning.</t>
  </si>
  <si>
    <t>Accurate and concise explanation of key concepts.</t>
  </si>
  <si>
    <t>Could provide more detail on some points for completeness.</t>
  </si>
  <si>
    <t>Summarize the key concepts of Gradient Descent, Ridge vs Lasso, regularization, and decision boundaries in logistic regression.</t>
  </si>
  <si>
    <t>Expand on the implications of regularization techniques and provide examples.</t>
  </si>
  <si>
    <t>{"prompt_score": 3, "response_score": 4, "overall_score": 4, "prompt_strengths": "Covers multiple relevant topics in machine learning.", "prompt_issues": "Lacks clarity and structure, making it hard to follow.", "response_strengths": "Accurate and concise explanation of key concepts.", "response_issues": "Could provide more detail on some points for completeness.", "prompt_rewrite": "Summarize the key concepts of Gradient Descent, Ridge vs Lasso, regularization, and decision boundaries in logistic regression.", "response_improvement_suggestions": "Expand on the implications of regularization techniques and provide examples.", "verdict": "good", "needs_human_review": false}</t>
  </si>
  <si>
    <t>[MODE:code]
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</si>
  <si>
    <t>from sklearn.linear_model import LogisticRegression
from sklearn.model_selection import cross_val_score
model = LogisticRegression(solver="liblinear")
results = cross_val_score(model, X, y, cv=loocv)
print(f"Accuracy: {results.mean()*100:.2f}% ({results.std()*100:.2f}%)")</t>
  </si>
  <si>
    <t>```python
from sklearn.linear_model import LogisticRegression
from sklearn.model_selection import cross_val_score
model = LogisticRegression(solver="liblinear")
results = cross_val_score(model, X, y, cv=loocv)
print(f"Accuracy: {results.mean()*100:.2f}% ({results.std()*100:.2f}%)")
```</t>
  </si>
  <si>
    <t>Could specify the expected format for 'loocv'.</t>
  </si>
  <si>
    <t>Buat model LogisticRegression dengan solver 'liblinear', gunakan cross_val_score dengan model, X, y, dan cv=loocv. Simpan hasilnya dalam 'results' dan cetak 'Accuracy: &lt;Nilai Rata-Rata&gt;% (&lt;Nilai Simpangan Baku&gt;%)'.</t>
  </si>
  <si>
    <t>Ensure 'loocv' is defined or clarify its expected value.</t>
  </si>
  <si>
    <t>{"prompt_score": 4, "response_score": 5, "overall_score": 5, "prompt_strengths": "Clear instructions with specific requirements.", "prompt_issues": "Could specify the expected format for 'loocv'.", "response_strengths": "Correct implementation of the prompt requirements.", "response_issues": "None.", "prompt_rewrite": "Buat model LogisticRegression dengan solver 'liblinear', gunakan cross_val_score dengan model, X, y, dan cv=loocv. Simpan hasilnya dalam 'results' dan cetak 'Accuracy: &lt;Nilai Rata-Rata&gt;% (&lt;Nilai Simpangan Baku&gt;%)'.", "response_improvement_suggestions": "Ensure 'loocv' is defined or clarify its expected value.", "verdict": "excellent", "needs_human_review": false}</t>
  </si>
  <si>
    <t>[MODE:summary_code_explanation]
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</si>
  <si>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</si>
  <si>
    <t>Clear and specific request for code and explanation.</t>
  </si>
  <si>
    <t>Thorough explanation and complete code implementation.</t>
  </si>
  <si>
    <t>Minor clarity issues in the explanation of model evaluation.</t>
  </si>
  <si>
    <t>Jelaskan apakah bagian 3 sudah benar dan buatkan kode untuk bagian 4: pemodelan regresi dengan LinearRegression, Ridge (alpha=1.0), dan Lasso (alpha=0.1). Gunakan pipeline untuk fitur numerik dan kategorikal, serta evaluasi dengan RMSE dan MAE.</t>
  </si>
  <si>
    <t>Clarify the evaluation metrics and their significance in the context of the models.</t>
  </si>
  <si>
    <t>{"prompt_score": 4, "response_score": 5, "overall_score": 5, "prompt_strengths": "Clear and specific request for code and explanation.", "prompt_issues": "Could provide more context about the dataset.", "response_strengths": "Thorough explanation and complete code implementation.", "response_issues": "Minor clarity issues in the explanation of model evaluation.", "prompt_rewrite": "Jelaskan apakah bagian 3 sudah benar dan buatkan kode untuk bagian 4: pemodelan regresi dengan LinearRegression, Ridge (alpha=1.0), dan Lasso (alpha=0.1). Gunakan pipeline untuk fitur numerik dan kategorikal, serta evaluasi dengan RMSE dan MAE.", "response_improvement_suggestions": "Clarify the evaluation metrics and their significance in the context of the models.", "verdict": "excellent", "needs_human_review": false}</t>
  </si>
  <si>
    <t>[MODE:summary_code_explanation]
x dan y nya tuh ini tadi perintahnya Extract semua baris dan kolom ke-1 s.d. ke-7 ke dalam variabel `X`.Simpan semua baris dari kolom ke-7 ke dalam variabel `y`.</t>
  </si>
  <si>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</si>
  <si>
    <t>Clear instructions with specific variable assignments.</t>
  </si>
  <si>
    <t>Accurate, detailed explanation with code example.</t>
  </si>
  <si>
    <t>Could briefly mention potential errors in dataset assumptions.</t>
  </si>
  <si>
    <t>Extract all rows and columns 1 to 7 into variable `X` and save all rows from column 8 into variable `y` for the Pima Indians Diabetes dataset.</t>
  </si>
  <si>
    <t>Include a note on common dataset structures to avoid confusion.</t>
  </si>
  <si>
    <t>{"prompt_score": 4, "response_score": 5, "overall_score": 4, "prompt_strengths": "Clear instructions with specific variable assignments.", "prompt_issues": "Could provide more context about the dataset.", "response_strengths": "Accurate, detailed explanation with code example.", "response_issues": "Could briefly mention potential errors in dataset assumptions.", "prompt_rewrite": "Extract all rows and columns 1 to 7 into variable `X` and save all rows from column 8 into variable `y` for the Pima Indians Diabetes dataset.", "response_improvement_suggestions": "Include a note on common dataset structures to avoid confusion.", "verdict": "good", "needs_human_review": false}</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</si>
  <si>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</si>
  <si>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t>
  </si>
  <si>
    <t>```python
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
```</t>
  </si>
  <si>
    <t>Clear and specific about EDA requirements.</t>
  </si>
  <si>
    <t>Relevant, correct, and complete visualizations provided.</t>
  </si>
  <si>
    <t>Setelah membuat ringkasan data dan mencari null, buat 2 visualisasi data yang diperlukan untuk memahami dataset ini lebih dalam, termasuk konteks dataset.</t>
  </si>
  <si>
    <t>Consider adding comments to explain each visualization step.</t>
  </si>
  <si>
    <t>{"prompt_score": 4, "response_score": 5, "overall_score": 5, "prompt_strengths": "Clear and specific about EDA requirements.", "prompt_issues": "Could provide more context on the dataset.", "response_strengths": "Relevant, correct, and complete visualizations provided.", "response_issues": "None identified.", "prompt_rewrite": "Setelah membuat ringkasan data dan mencari null, buat 2 visualisasi data yang diperlukan untuk memahami dataset ini lebih dalam, termasuk konteks dataset.", "response_improvement_suggestions": "Consider adding comments to explain each visualization step.", "verdict": "excellent", "needs_human_review": false}</t>
  </si>
  <si>
    <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</si>
  <si>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</si>
  <si>
    <t>Clear request for code and explanation.</t>
  </si>
  <si>
    <t>Could specify the type of model (regression or classification) more explicitly.</t>
  </si>
  <si>
    <t>Comprehensive explanation with clear code structure.</t>
  </si>
  <si>
    <t>Could include more context on the preprocessor used.</t>
  </si>
  <si>
    <t>Tolong buatkan kode untuk melatih model Random Forest (regresi) dengan random_state 42, sertai penjelasan per line.</t>
  </si>
  <si>
    <t>Add details about the preprocessor's configuration and its components.</t>
  </si>
  <si>
    <t>{"prompt_score": 4, "response_score": 5, "overall_score": 4, "prompt_strengths": "Clear request for code and explanation.", "prompt_issues": "Could specify the type of model (regression or classification) more explicitly.", "response_strengths": "Comprehensive explanation with clear code structure.", "response_issues": "Could include more context on the preprocessor used.", "prompt_rewrite": "Tolong buatkan kode untuk melatih model Random Forest (regresi) dengan random_state 42, sertai penjelasan per line.", "response_improvement_suggestions": "Add details about the preprocessor's configuration and its components.", "verdict": "good", "needs_human_review": false}</t>
  </si>
  <si>
    <t>[MODE:code]
[ASSESSMENT_ID:1771cf7a-0a65-11f1-b762-3e0936ad7efb]
[FORCE_GPT:true]
[AUTO_FALLBACK:true]
bagaimana cara melihat hasil dari model yang di train menggunakan linear regression yang kode nya seperti di bawah
pred = ....
mae = mean_absolute_error(y_test, pred)
rmse = np.sqrt(mean_squared_error(y_test, pred)
r2 = r2_score(y_test, pred)
print("MAE :", mae)
print("RMSE :", rmse)
print("R2:", r2)</t>
  </si>
  <si>
    <t>pred = lin_reg.predict(X_test)
mae = mean_absolute_error(y_test, pred)
rmse = np.sqrt(mean_squared_error(y_test, pred))
r2 = r2_score(y_test, pred)
print("MAE :", mae)
print("RMSE :", rmse)
print("R2:", r2)
# Lihat beberapa hasil prediksi vs aktual
hasil = pd.DataFrame({"y_actual": y_test, "y_pred": pred})
print(hasil.head(10))</t>
  </si>
  <si>
    <t>```python
pred = lin_reg.predict(X_test)
mae = mean_absolute_error(y_test, pred)
rmse = np.sqrt(mean_squared_error(y_test, pred))
r2 = r2_score(y_test, pred)
print("MAE :", mae)
print("RMSE :", rmse)
print("R2:", r2)
# Lihat beberapa hasil prediksi vs aktual
hasil = pd.DataFrame({"y_actual": y_test, "y_pred": pred})
print(hasil.head(10))
```</t>
  </si>
  <si>
    <t>Correct and complete with additional useful output.</t>
  </si>
  <si>
    <t>Could improve clarity by explaining the output DataFrame.</t>
  </si>
  <si>
    <t>Bagaimana cara melihat hasil dari model linear regression yang telah dilatih, termasuk cara menampilkan hasil prediksi dan perbandingan dengan nilai aktual?</t>
  </si>
  <si>
    <t>Add a brief explanation of the output DataFrame to enhance clarity.</t>
  </si>
  <si>
    <t>{"prompt_score": 4, "response_score": 5, "overall_score": 4, "prompt_strengths": "Clear and specific about the task.", "prompt_issues": "Could provide more context on the dataset.", "response_strengths": "Correct and complete with additional useful output.", "response_issues": "Could improve clarity by explaining the output DataFrame.", "prompt_rewrite": "Bagaimana cara melihat hasil dari model linear regression yang telah dilatih, termasuk cara menampilkan hasil prediksi dan perbandingan dengan nilai aktual?", "response_improvement_suggestions": "Add a brief explanation of the output DataFrame to enhance clarity.", "verdict": "good", "needs_human_review": false}</t>
  </si>
  <si>
    <t>[MODE:summary_code_explanation]
Bagian 1 - Load Dataset
Lakukan langkah berikut:
Load dataset student_exam_performance_dataset (1).csv.
Tampilkan 5 baris pertama.
Tampilkan ukuran dataset (jumlah baris dan kolom).
Tampilkan tipe data setiap kolom.
# Tulis jawaban Anda di sini</t>
  </si>
  <si>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</si>
  <si>
    <t>Clear instructions and specific tasks.</t>
  </si>
  <si>
    <t>Correct, complete, and clearly explained code.</t>
  </si>
  <si>
    <t>Bagian 1 - Load Dataset: Muat dataset student_exam_performance_dataset (1).csv, tampilkan 5 baris pertama, ukuran dataset, dan tipe data setiap kolom. Dataset ini berisi informasi tentang kinerja ujian siswa.</t>
  </si>
  <si>
    <t>{"prompt_score": 4, "response_score": 5, "overall_score": 5, "prompt_strengths": "Clear instructions and specific tasks.", "prompt_issues": "Could provide more context about the dataset.", "response_strengths": "Correct, complete, and clearly explained code.", "response_issues": "None.", "prompt_rewrite": "Bagian 1 - Load Dataset: Muat dataset student_exam_performance_dataset (1).csv, tampilkan 5 baris pertama, ukuran dataset, dan tipe data setiap kolom. Dataset ini berisi informasi tentang kinerja ujian siswa.", "response_improvement_suggestions": "None needed; response is already excellent.", "verdict": "excellent", "needs_human_review": false}</t>
  </si>
  <si>
    <t>[MODE:summary_code_explanation]
apa itu Hyperparameter berikan saya penjelasan nya untuk jawaban nya apakah, Output model?
Parameter yang dipelajari model?
Dataset?
Parameter sebelum training?
berikan saya jawaban nya</t>
  </si>
  <si>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</si>
  <si>
    <t>The prompt is clear in asking for an explanation of hyperparameters.</t>
  </si>
  <si>
    <t>Lacks specificity in the request for examples or context.</t>
  </si>
  <si>
    <t>The response is relevant, correct, and provides a clear explanation with examples.</t>
  </si>
  <si>
    <t>Could be more concise and structured for better readability.</t>
  </si>
  <si>
    <t>Jelaskan apa itu hyperparameter dan berikan contoh serta perbedaan dengan parameter lain seperti output model dan dataset.</t>
  </si>
  <si>
    <t>Consider breaking down the explanation into bullet points for easier reading.</t>
  </si>
  <si>
    <t>{"prompt_score": 3, "response_score": 4, "overall_score": 4, "prompt_strengths": "The prompt is clear in asking for an explanation of hyperparameters.", "prompt_issues": "Lacks specificity in the request for examples or context.", "response_strengths": "The response is relevant, correct, and provides a clear explanation with examples.", "response_issues": "Could be more concise and structured for better readability.", "prompt_rewrite": "Jelaskan apa itu hyperparameter dan berikan contoh serta perbedaan dengan parameter lain seperti output model dan dataset.", "response_improvement_suggestions": "Consider breaking down the explanation into bullet points for easier reading.", "verdict": "good", "needs_human_review": false}</t>
  </si>
  <si>
    <t>[MODE:summary_code_explanation]
[ASSESSMENT_ID:1771cf81-0a65-11f1-b762-3e0936ad7efb]
[FORCE_GPT:true]
[AUTO_FALLBACK:true]
sekarang, buat 2 lagi visualisasi data yang menurut anda diperlukan untuk lebih memahami dataset ini (pima)</t>
  </si>
  <si>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</si>
  <si>
    <t>Clear and specific request for additional visualizations.</t>
  </si>
  <si>
    <t>Relevant visualizations with clear explanations and code examples.</t>
  </si>
  <si>
    <t>Could include more context on the dataset for better understanding.</t>
  </si>
  <si>
    <t>Buat 2 visualisasi data tambahan untuk dataset Pima yang dapat membantu memahami distribusi dan pola data.</t>
  </si>
  <si>
    <t>Add a brief description of the Pima dataset for context.</t>
  </si>
  <si>
    <t>{"prompt_score": 4, "response_score": 5, "overall_score": 4, "prompt_strengths": "Clear and specific request for additional visualizations.", "prompt_issues": "Could provide more context about the dataset.", "response_strengths": "Relevant visualizations with clear explanations and code examples.", "response_issues": "Could include more context on the dataset for better understanding.", "prompt_rewrite": "Buat 2 visualisasi data tambahan untuk dataset Pima yang dapat membantu memahami distribusi dan pola data.", "response_improvement_suggestions": "Add a brief description of the Pima dataset for context.", "verdict": "good", "needs_human_review": false}</t>
  </si>
  <si>
    <t>[MODE:summary]
dari semua fungsi lasso. apa yang akan dihasilkan dari lasso tersebut? a. seleksi fitur b. overfit c. random d. semua fitur aktif?</t>
  </si>
  <si>
    <t>Lasso menghasilkan a. seleksi fitur, karena regularisasi L1 dapat membuat sebagian koefisien menjadi tepat 0 sehingga fitur-fitur tersebut “dimatikan.”</t>
  </si>
  <si>
    <t>Clear and specific question about lasso functions.</t>
  </si>
  <si>
    <t>Could provide more context on lasso's application.</t>
  </si>
  <si>
    <t>Accurate and clear explanation of lasso's effect.</t>
  </si>
  <si>
    <t>Could elaborate on implications of feature selection.</t>
  </si>
  <si>
    <t>[MODE:summary] Apa hasil utama dari penggunaan lasso dalam analisis regresi? a. seleksi fitur b. overfit c. random d. semua fitur aktif?</t>
  </si>
  <si>
    <t>Include examples of how feature selection impacts model performance.</t>
  </si>
  <si>
    <t>{"prompt_score": 4, "response_score": 5, "overall_score": 4, "prompt_strengths": "Clear and specific question about lasso functions.", "prompt_issues": "Could provide more context on lasso's application.", "response_strengths": "Accurate and clear explanation of lasso's effect.", "response_issues": "Could elaborate on implications of feature selection.", "prompt_rewrite": "[MODE:summary] Apa hasil utama dari penggunaan lasso dalam analisis regresi? a. seleksi fitur b. overfit c. random d. semua fitur aktif?", "response_improvement_suggestions": "Include examples of how feature selection impacts model performance.", "verdict": "good", "needs_human_review": false}</t>
  </si>
  <si>
    <t>[MODE:summary_code_explanation]
[ASSESSMENT_ID:1771cf81-0a65-11f1-b762-3e0936ad7efb]
[FORCE_GPT:true]
[AUTO_FALLBACK:true]
tolong bantu saya Buatlah model yang merupakan model LogisticRegression dengan parameter solver adalah liblinear.</t>
  </si>
  <si>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</si>
  <si>
    <t>Clear request for a specific model creation.</t>
  </si>
  <si>
    <t>Could provide more context on the dataset or intended use.</t>
  </si>
  <si>
    <t>Correctly provides code and a clear explanation of the solver.</t>
  </si>
  <si>
    <t>Could include more details on when to use this solver.</t>
  </si>
  <si>
    <t>Bantu saya membuat model LogisticRegression dengan solver liblinear untuk dataset kecil/menengah.</t>
  </si>
  <si>
    <t>Add examples of when to use liblinear and its advantages.</t>
  </si>
  <si>
    <t>{"prompt_score": 4, "response_score": 5, "overall_score": 4, "prompt_strengths": "Clear request for a specific model creation.", "prompt_issues": "Could provide more context on the dataset or intended use.", "response_strengths": "Correctly provides code and a clear explanation of the solver.", "response_issues": "Could include more details on when to use this solver.", "prompt_rewrite": "Bantu saya membuat model LogisticRegression dengan solver liblinear untuk dataset kecil/menengah.", "response_improvement_suggestions": "Add examples of when to use liblinear and its advantages.", "verdict": "good", "needs_human_review": false}</t>
  </si>
  <si>
    <t>[MODE:summary_code_explanation]
# YOUR CODE is HERE
housing_6000 = df.iloc[:6000].copy()
objek saya menggunakan housing dan gunakan semua objek jadi housing</t>
  </si>
  <si>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</si>
  <si>
    <t>Provides a clear instruction to summarize code.</t>
  </si>
  <si>
    <t>Lacks specificity in the expected output format and context.</t>
  </si>
  <si>
    <t>Correctly explains the code and provides a complete example.</t>
  </si>
  <si>
    <t>Could improve clarity by breaking down complex parts further.</t>
  </si>
  <si>
    <t>[MODE:summary_code_explanation] # Provide a summary and explanation of the following code snippet: housing_6000 = df.iloc[:6000].copy()</t>
  </si>
  <si>
    <t>Consider simplifying explanations and using bullet points for clarity.</t>
  </si>
  <si>
    <t>{"prompt_score": 3, "response_score": 4, "overall_score": 4, "prompt_strengths": "Provides a clear instruction to summarize code.", "prompt_issues": "Lacks specificity in the expected output format and context.", "response_strengths": "Correctly explains the code and provides a complete example.", "response_issues": "Could improve clarity by breaking down complex parts further.", "prompt_rewrite": "[MODE:summary_code_explanation] # Provide a summary and explanation of the following code snippet: housing_6000 = df.iloc[:6000].copy()", "response_improvement_suggestions": "Consider simplifying explanations and using bullet points for clarity.", "verdict": "good", "needs_human_review": false}</t>
  </si>
  <si>
    <t>[LANG:Python]
[MODE:summary_code_explanation]
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</si>
  <si>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</si>
  <si>
    <t>Clear context and specific request for help.</t>
  </si>
  <si>
    <t>Could provide more detail on the structure of the label file.</t>
  </si>
  <si>
    <t>Could include more explanation on merging datasets.</t>
  </si>
  <si>
    <t>Saya mahasiswa teknik informatika yang belajar kecerdasan mesin. Saya menggunakan Jupyter Notebook dan sudah membaca dataset housing_dataset.csv. Saya ingin tahu cara membaca label dari housing_labels.csv, yang hanya memiliki satu kolom. Apakah Anda bisa memberikan contoh kode?</t>
  </si>
  <si>
    <t>Add more details on how to safely merge datasets if they have different structures.</t>
  </si>
  <si>
    <t>{"prompt_score": 4, "response_score": 5, "overall_score": 4, "prompt_strengths": "Clear context and specific request for help.", "prompt_issues": "Could provide more detail on the structure of the label file.", "response_strengths": "Highly relevant, correct, and complete with clear code examples.", "response_issues": "Could include more explanation on merging datasets.", "prompt_rewrite": "Saya mahasiswa teknik informatika yang belajar kecerdasan mesin. Saya menggunakan Jupyter Notebook dan sudah membaca dataset housing_dataset.csv. Saya ingin tahu cara membaca label dari housing_labels.csv, yang hanya memiliki satu kolom. Apakah Anda bisa memberikan contoh kode?", "response_improvement_suggestions": "Add more details on how to safely merge datasets if they have different structures.", "verdict": "good", "needs_human_review": false}</t>
  </si>
  <si>
    <t>[LANG:Python]
[MODE:code]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</si>
  <si>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grid_search.fit(X_train, y_train)
print(grid_search.best_params_)</t>
  </si>
  <si>
    <t>```python
grid_search.fit(X_train, y_train)
print(grid_search.best_params_)
```</t>
  </si>
  <si>
    <t>Could be more specific about the expected output format.</t>
  </si>
  <si>
    <t>Directly addresses the prompt with correct code.</t>
  </si>
  <si>
    <t>Latih grid_search menggunakan `X_train` dan `y_train`, lalu munculkan best parameter dalam format dictionary.</t>
  </si>
  <si>
    <t>{"prompt_score": 4, "response_score": 5, "overall_score": 4, "prompt_strengths": "Clear instructions and context provided.", "prompt_issues": "Could be more specific about the expected output format.", "response_strengths": "Directly addresses the prompt with correct code.", "response_issues": "Lacks explanation or comments for clarity.", "prompt_rewrite": "Latih grid_search menggunakan `X_train` dan `y_train`, lalu munculkan best parameter dalam format dictionary.", "response_improvement_suggestions": "Add comments to explain each step of the code.", "verdict": "good", "needs_human_review": false}</t>
  </si>
  <si>
    <t>[MODE:code]
buatkan kode untuk melatih grid menggunakan .fit, menggunakan bahasa python di jupyternotebook........</t>
  </si>
  <si>
    <t>grid.fit(X_train, y_train)</t>
  </si>
  <si>
    <t>```python
grid.fit(X_train, y_train)
```</t>
  </si>
  <si>
    <t>The prompt specifies the use of Python and Jupyter Notebook.</t>
  </si>
  <si>
    <t>Lacks clarity and specificity regarding the type of grid and additional context.</t>
  </si>
  <si>
    <t>The response is relevant to the prompt.</t>
  </si>
  <si>
    <t>Incomplete and lacks explanation or context for the code provided.</t>
  </si>
  <si>
    <t>Buatkan kode Python untuk melatih model grid search menggunakan .fit() di Jupyter Notebook, sertakan penjelasan.</t>
  </si>
  <si>
    <t>Provide a complete code snippet with context and explanation.</t>
  </si>
  <si>
    <t>{"prompt_score": 3, "response_score": 2, "overall_score": 2, "prompt_strengths": "The prompt specifies the use of Python and Jupyter Notebook.", "prompt_issues": "Lacks clarity and specificity regarding the type of grid and additional context.", "response_strengths": "The response is relevant to the prompt.", "response_issues": "Incomplete and lacks explanation or context for the code provided.", "prompt_rewrite": "Buatkan kode Python untuk melatih model grid search menggunakan .fit() di Jupyter Notebook, sertakan penjelasan.", "response_improvement_suggestions": "Provide a complete code snippet with context and explanation.", "verdict": "fair", "needs_human_review": false}</t>
  </si>
  <si>
    <t>[MODE:summary]
Jika model overfit * Tambah fitur Stop Hapus data Tambah regularization Learning rate kecil * Stabil Divergen Lambat Cepat SGD menggunakan * Tidak ada data Semua data Batch besar 1 sampel</t>
  </si>
  <si>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</si>
  <si>
    <t>Addresses overfitting solutions.</t>
  </si>
  <si>
    <t>Lacks clarity and structure.</t>
  </si>
  <si>
    <t>Relevant and mostly correct solutions provided.</t>
  </si>
  <si>
    <t>Could be more detailed in explaining concepts.</t>
  </si>
  <si>
    <t>[MODE:summary] Apa solusi untuk model yang mengalami overfitting?</t>
  </si>
  <si>
    <t>Include more detailed explanations of each solution.</t>
  </si>
  <si>
    <t>{"prompt_score": 3, "response_score": 4, "overall_score": 4, "prompt_strengths": "Addresses overfitting solutions.", "prompt_issues": "Lacks clarity and structure.", "response_strengths": "Relevant and mostly correct solutions provided.", "response_issues": "Could be more detailed in explaining concepts.", "prompt_rewrite": "[MODE:summary] Apa solusi untuk model yang mengalami overfitting?", "response_improvement_suggestions": "Include more detailed explanations of each solution.", "verdict": "good", "needs_human_review": false}</t>
  </si>
  <si>
    <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</si>
  <si>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</si>
  <si>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```python
#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
```</t>
  </si>
  <si>
    <t>Clear structure and specific feature engineering tasks.</t>
  </si>
  <si>
    <t>Could provide more context on the dataset and its purpose.</t>
  </si>
  <si>
    <t>Relevant and correctly implements the feature engineering steps.</t>
  </si>
  <si>
    <t>Some minor inconsistencies in variable naming and comments.</t>
  </si>
  <si>
    <t>Provide a detailed feature engineering task for a dataset related to student performance, including specific metrics and expected outcomes.</t>
  </si>
  <si>
    <t>Ensure consistent variable naming and clarify comments for better understanding.</t>
  </si>
  <si>
    <t>{"prompt_score": 4, "response_score": 4, "overall_score": 4, "prompt_strengths": "Clear structure and specific feature engineering tasks.", "prompt_issues": "Could provide more context on the dataset and its purpose.", "response_strengths": "Relevant and correctly implements the feature engineering steps.", "response_issues": "Some minor inconsistencies in variable naming and comments.", "prompt_rewrite": "Provide a detailed feature engineering task for a dataset related to student performance, including specific metrics and expected outcomes.", "response_improvement_suggestions": "Ensure consistent variable naming and clarify comments for better understanding.", "verdict": "good", "needs_human_review": false}</t>
  </si>
  <si>
    <t>[MODE:summary_code_explanation]
Kita buat classifier dari kelas KNeighborsClassifier.
knn_clf = KNeighborsClassifier()
Kita train knn_clf pada X_train dan y_train
apakah sudah benar untuk perintah pertama, jika sudah apa langkah selanjutnya</t>
  </si>
  <si>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</si>
  <si>
    <t>Accurate, complete, and well-structured explanation.</t>
  </si>
  <si>
    <t>Could include more details on model evaluation metrics.</t>
  </si>
  <si>
    <t>Jelaskan langkah-langkah untuk membuat dan melatih KNeighborsClassifier, termasuk konteks dataset yang digunakan.</t>
  </si>
  <si>
    <t>Add more details on model evaluation metrics and their significance.</t>
  </si>
  <si>
    <t>{"prompt_score": 4, "response_score": 5, "overall_score": 4, "prompt_strengths": "Clear and specific about the task.", "prompt_issues": "Could provide more context on the dataset.", "response_strengths": "Accurate, complete, and well-structured explanation.", "response_issues": "Could include more details on model evaluation metrics.", "prompt_rewrite": "Jelaskan langkah-langkah untuk membuat dan melatih KNeighborsClassifier, termasuk konteks dataset yang digunakan.", "response_improvement_suggestions": "Add more details on model evaluation metrics and their significance.", "verdict": "good", "needs_human_review": false}</t>
  </si>
  <si>
    <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</si>
  <si>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</si>
  <si>
    <t>[MODE:summary_code_explanation] 2. Statistik deskriptif clue : use describe() in Python. ## YOUR CODES HERE ## ...</t>
  </si>
  <si>
    <t>{"prompt_score": 4, "response_score": 5, "overall_score": 4, "prompt_strengths": "Clear request for code and explanation.", "prompt_issues": "Could specify the programming language for clarity.", "response_strengths": "Correct and complete explanation with relevant code.", "response_issues": "None.", "prompt_rewrite": "[MODE:summary_code_explanation] 2. Statistik deskriptif clue : use describe() in Python. ## YOUR CODES HERE ## ...", "response_improvement_suggestions": "None needed; response is already clear and complete.", "verdict": "good", "needs_human_review": false}</t>
  </si>
  <si>
    <t>[MODE:summary]
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</si>
  <si>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</si>
  <si>
    <t>The prompt is specific about the request for an explanation.</t>
  </si>
  <si>
    <t>The prompt is somewhat convoluted and could be clearer.</t>
  </si>
  <si>
    <t>The response could be simplified for better clarity.</t>
  </si>
  <si>
    <t>Tolong berikan penjelasan lengkap dan mudah dimengerti tentang `handle_unknown='ignore'` dalam konteks OneHotEncoder di scikit-learn.</t>
  </si>
  <si>
    <t>Simplify the explanation and use more straightforward language.</t>
  </si>
  <si>
    <t>{"prompt_score": 3, "response_score": 4, "overall_score": 4, "prompt_strengths": "The prompt is specific about the request for an explanation.", "prompt_issues": "The prompt is somewhat convoluted and could be clearer.", "response_strengths": "The response is relevant, correct, and provides a complete explanation.", "response_issues": "The response could be simplified for better clarity.", "prompt_rewrite": "Tolong berikan penjelasan lengkap dan mudah dimengerti tentang `handle_unknown='ignore'` dalam konteks OneHotEncoder di scikit-learn.", "response_improvement_suggestions": "Simplify the explanation and use more straightforward language.", "verdict": "good", "needs_human_review": false}</t>
  </si>
  <si>
    <t>[MODE:code]
cpba tolong jawab ini 
Mengapa feature scaling penting ketika fitur punya skala berbeda jauh??????????</t>
  </si>
  <si>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</si>
  <si>
    <t>Clear and specific question about feature scaling.</t>
  </si>
  <si>
    <t>Could provide more context on the audience's knowledge level.</t>
  </si>
  <si>
    <t>Thorough explanation of the importance of feature scaling with relevant examples.</t>
  </si>
  <si>
    <t>None identified; response is comprehensive.</t>
  </si>
  <si>
    <t>Mengapa feature scaling penting dalam pembelajaran mesin, terutama ketika fitur memiliki skala yang sangat berbeda?</t>
  </si>
  <si>
    <t>Consider adding a brief example of feature scaling methods.</t>
  </si>
  <si>
    <t>{"prompt_score": 4, "response_score": 5, "overall_score": 5, "prompt_strengths": "Clear and specific question about feature scaling.", "prompt_issues": "Could provide more context on the audience's knowledge level.", "response_strengths": "Thorough explanation of the importance of feature scaling with relevant examples.", "response_issues": "None identified; response is comprehensive.", "prompt_rewrite": "Mengapa feature scaling penting dalam pembelajaran mesin, terutama ketika fitur memiliki skala yang sangat berbeda?", "response_improvement_suggestions": "Consider adding a brief example of feature scaling methods.", "verdict": "excellent", "needs_human_review": false}</t>
  </si>
  <si>
    <t>[LANG:Python]
[MODE:summary]
jawablah pertanyaan pertanyaan berikut:
1. overfitting terjadi ketika
2. cross-entropy digunakan untuk</t>
  </si>
  <si>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</si>
  <si>
    <t>Accurate, complete, and clear explanations.</t>
  </si>
  <si>
    <t>[LANG:Python] [MODE:summary] Jawablah pertanyaan berikut dengan jelas: 1. Apa yang dimaksud dengan overfitting? 2. Untuk apa cross-entropy digunakan dalam machine learning?</t>
  </si>
  <si>
    <t>{"prompt_score": 4, "response_score": 5, "overall_score": 5, "prompt_strengths": "Clear and specific questions.", "prompt_issues": "Could provide more context on the audience or purpose.", "response_strengths": "Accurate, complete, and clear explanations.", "response_issues": "None significant.", "prompt_rewrite": "[LANG:Python] [MODE:summary] Jawablah pertanyaan berikut dengan jelas: 1. Apa yang dimaksud dengan overfitting? 2. Untuk apa cross-entropy digunakan dalam machine learning?", "response_improvement_suggestions": "None needed; response is already strong.", "verdict": "excellent", "needs_human_review": false}</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</si>
  <si>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</si>
  <si>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</si>
  <si>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pandas as pd
import matplotlib.pyplot as plt
import seaborn as sns
# =========================
# Bagian 2 -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def distribution_insight(series: pd.Series, col_name: str) -&gt; str:
    s = series.dropna()
    if s.empty:
        return f"Insight {col_name}: tidak ada data (semua NaN)."
    min_ = float(s.min())
    max_ = float(s.max())
    mean_ = float(s.mean())
    median_ = float(s.median())
    std_ = float(s.std(ddof=1)) if len(s) &gt; 1 else 0.0
    q1_ = float(s.quantile(0.25))
    q3_ = float(s.quantile(0.75))
    iqr_ = q3_ - q1_
    skew_ = float(s.skew()) if len(s) &gt; 2 else 0.0
    # Center comparison
    if np.isclose(mean_, median_, rtol=0.02, atol=1e-9):
        center_text = "mean ~ median (cukup simetris)"
    elif mean_ &gt; median_:
        center_text = "mean &gt; median (indikasi skew ke kanan)"
    else:
        center_text = "mean &lt; median (indikasi skew ke kiri)"
    # Spread text
    if iqr_ == 0:
        spread_text = "IQR=0 (banyak nilai sama/konstan)"
    else:
        spread_text = "IQR menunjukkan sebaran tengah data"
    # Shape text
    if skew_ &gt; 0.5:
        shape_text = "miring ke kanan (right-skewed)"
    elif skew_ &lt; -0.5:
        shape_text = "miring ke kiri (left-skewed)"
    else:
        shape_text = "relatif simetris"
    # Outliers via IQR rule
    lower = q1_ - 1.5 * iqr_
    upper = q3_ + 1.5 * iqr_
    outliers = int(((s &lt; lower) | (s &gt; upper)).sum()) if iqr_ &gt; 0 else 0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Kolom distribusi yang diminta (pastikan ada di dataset)
requested_cols = [
    "age",
    "study_hours_per_day",
    "attendance_rate",
    "sleep_hours",
    "social_media_hours",
    "assignment_completion_rate",
]
missing_requested = [c for c in requested_cols if c not in df.columns]
if missing_requested:
    print("\nPERINGATAN: Kolom berikut tidak ditemukan di df dan akan dilewati:")
    print(missing_requested)
cols_to_plot = [c for c in requested_cols if c in df.columns]
if len(cols_to_plot) == 0:
    print("\nTidak ada kolom numerik yang diminta tersedia untuk divisualisasikan.")
else:
    sns.set(style="whitegrid")
    n = len(cols_to_plot)
    ncols = 3
    nrows = int(np.ceil(n / ncols))
    fig, axes = plt.subplots(nrows=nrows, ncols=ncols, figsize=(5 * ncols, 4 * nrows))
    axes = np.array(axes).reshape(-1)
    for i, col in enumerate(cols_to_plot):
        ax</t>
  </si>
  <si>
    <t>Detailed and specific instructions for data analysis.</t>
  </si>
  <si>
    <t>Could be clearer on the expected format for insights.</t>
  </si>
  <si>
    <t>Provides a structured format for insights.</t>
  </si>
  <si>
    <t>Lacks completeness; does not include all necessary calculations or context.</t>
  </si>
  <si>
    <t>Saya sedang mengerjakan Praktikum Kecerdasan Mesin mengenai analisis performa akademik mahasiswa. Gunakan dataset student_exam_performance_dataset. Lakukan EDA dengan langkah-langkah berikut: 1. Cek missing value. 2. Tampilkan statistik deskriptif. 3. Visualisasikan distribusi fitur numerik penting dan tambahkan insight di bawah setiap tabel distribusi. Pastikan untuk menyertakan informasi seperti rentang nilai, pusat data, sebaran, bentuk distribusi, dan outlier.</t>
  </si>
  <si>
    <t>Include calculations for min, max, mean, median, std, Q1, Q3, IQR, skewness, and outlier detection in the response.</t>
  </si>
  <si>
    <t>{"prompt_score": 4, "response_score": 3, "overall_score": 3, "prompt_strengths": "Detailed and specific instructions for data analysis.", "prompt_issues": "Could be clearer on the expected format for insights.", "response_strengths": "Provides a structured format for insights.", "response_issues": "Lacks completeness; does not include all necessary calculations or context.", "prompt_rewrite": "Saya sedang mengerjakan Praktikum Kecerdasan Mesin mengenai analisis performa akademik mahasiswa. Gunakan dataset student_exam_performance_dataset. Lakukan EDA dengan langkah-langkah berikut: 1. Cek missing value. 2. Tampilkan statistik deskriptif. 3. Visualisasikan distribusi fitur numerik penting dan tambahkan insight di bawah setiap tabel distribusi. Pastikan untuk menyertakan informasi seperti rentang nilai, pusat data, sebaran, bentuk distribusi, dan outlier.", "response_improvement_suggestions": "Include calculations for min, max, mean, median, std, Q1, Q3, IQR, skewness, and outlier detection in the response.", "verdict": "fair", "needs_human_review": false}</t>
  </si>
  <si>
    <t>[MODE:summary_code_explanation]
bagaimana cara untuk membuat variabel dengan nama test_size dan isi dengan nilai 0.33 pada mata kuliah kecerdasan mesin</t>
  </si>
  <si>
    <t>**SUMMARY:** Buat variabel `test_size` dan isi dengan nilai `0.33` untuk dipakai saat membagi data train/test.
```python
test_size = 0.33
```
**EXPLANATION:** Nilai `0.33` berarti 33% data akan digunakan sebagai data uji (test set) saat Anda memanggil `train_test_split(..., test_size=test_size, ...)`.</t>
  </si>
  <si>
    <t>Clear and specific request for variable creation.</t>
  </si>
  <si>
    <t>Could provide more context on the programming language.</t>
  </si>
  <si>
    <t>Accurate, clear, and provides necessary context for usage.</t>
  </si>
  <si>
    <t>Jelaskan cara membuat variabel bernama test_size dengan nilai 0.33 dalam konteks pemrograman Python untuk kecerdasan mesin.</t>
  </si>
  <si>
    <t>Consider adding an example of how to use the variable in a function.</t>
  </si>
  <si>
    <t>{"prompt_score": 4, "response_score": 5, "overall_score": 5, "prompt_strengths": "Clear and specific request for variable creation.", "prompt_issues": "Could provide more context on the programming language.", "response_strengths": "Accurate, clear, and provides necessary context for usage.", "response_issues": "None identified.", "prompt_rewrite": "Jelaskan cara membuat variabel bernama test_size dengan nilai 0.33 dalam konteks pemrograman Python untuk kecerdasan mesin.", "response_improvement_suggestions": "Consider adding an example of how to use the variable in a function.", "verdict": "excellent", "needs_human_review": false}</t>
  </si>
  <si>
    <t>[MODE:summary_code_explanation]
plt.figure()
plt.imshow(correlation)
plt.xticks(range(len(correlation.columns)), correlation.columns, rotation=90)
plt.yticks(range(len(correlation.columns)), correlation.columns)
plt.colorbar()
plt.title("Correlation Matrix")
plt.show()
NameError: name 'plt' is not defined</t>
  </si>
  <si>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</si>
  <si>
    <t>Could provide more context on the expected input.</t>
  </si>
  <si>
    <t>Accurate, complete, and clearly explains the error and solution.</t>
  </si>
  <si>
    <t>Explain the error 'NameError: name 'plt' is not defined' in the context of missing imports in Python code.</t>
  </si>
  <si>
    <t>{"prompt_score": 4, "response_score": 5, "overall_score": 4, "prompt_strengths": "Clear and specific about the error context.", "prompt_issues": "Could provide more context on the expected input.", "response_strengths": "Accurate, complete, and clearly explains the error and solution.", "response_issues": "None.", "prompt_rewrite": "Explain the error 'NameError: name 'plt' is not defined' in the context of missing imports in Python code.", "response_improvement_suggestions": "None needed; response is already strong.", "verdict": "excellent", "needs_human_review": false}</t>
  </si>
  <si>
    <t>[MODE:code]
Cannot have number of splits n_splits=10 greater than the number of samples: n_samples=7.
402 n_samples = _num_samples(X)
    403 if self.n_splits &gt; n_samples:
--&gt; 404     raise ValueError(
    405         (
    406             "Cannot have number of splits n_splits={0} greater"
    407             " than the number of samples: n_samples={1}."
    408         ).format(self.n_splits, n_samples)
    409     )
    411 for train, test in super().split(X, y, groups):
    412     yield train, test
ValueError: Cannot have number of splits n_splits=10 greater than the number of samples: n_samples=7.</t>
  </si>
  <si>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</si>
  <si>
    <t>```python
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
```</t>
  </si>
  <si>
    <t>Identifies a specific error related to data splitting.</t>
  </si>
  <si>
    <t>Lacks clarity on the context and what the user should do next.</t>
  </si>
  <si>
    <t>Provides a relevant code solution that addresses the error.</t>
  </si>
  <si>
    <t>Could include more explanation of the changes made.</t>
  </si>
  <si>
    <t>Explain the error encountered when using KFold with insufficient samples and ask for a solution.</t>
  </si>
  <si>
    <t>Add comments to the code to explain each step and why it resolves the issue.</t>
  </si>
  <si>
    <t>{"prompt_score": 3, "response_score": 4, "overall_score": 4, "prompt_strengths": "Identifies a specific error related to data splitting.", "prompt_issues": "Lacks clarity on the context and what the user should do next.", "response_strengths": "Provides a relevant code solution that addresses the error.", "response_issues": "Could include more explanation of the changes made.", "prompt_rewrite": "Explain the error encountered when using KFold with insufficient samples and ask for a solution.", "response_improvement_suggestions": "Add comments to the code to explain each step and why it resolves the issue.", "verdict": "good", "needs_human_review": false}</t>
  </si>
  <si>
    <t>[MODE:code]
disini kita bisa tau, bahwa ukuran dataset adalah 1 (6512,9). yang artinya dataset memiliki 16512 data dan memiliki 9 fitur
selanjutanya kita cek tipe data dari dataset</t>
  </si>
  <si>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</si>
  <si>
    <t>```python
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
```</t>
  </si>
  <si>
    <t>Provides basic context about the dataset.</t>
  </si>
  <si>
    <t>Lacks clarity and specificity in instructions.</t>
  </si>
  <si>
    <t>Relevant code that addresses the prompt's context.</t>
  </si>
  <si>
    <t>Could include comments for better clarity.</t>
  </si>
  <si>
    <t>Jelaskan ukuran dataset dan minta kode untuk memeriksa tipe data dari dataset.</t>
  </si>
  <si>
    <t>{"prompt_score": 3, "response_score": 4, "overall_score": 4, "prompt_strengths": "Provides basic context about the dataset.", "prompt_issues": "Lacks clarity and specificity in instructions.", "response_strengths": "Relevant code that addresses the prompt's context.", "response_issues": "Could include comments for better clarity.", "prompt_rewrite": "Jelaskan ukuran dataset dan minta kode untuk memeriksa tipe data dari dataset.", "response_improvement_suggestions": "Add comments to explain each step of the code.", "verdict": "good", "needs_human_review": false}</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</si>
  <si>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</si>
  <si>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print(f"Accuracy : {acc:.4f}")
print(f"Precision: {prec:.4f}")
print(f"Recall   : {rec:.4f}")</t>
  </si>
  <si>
    <t>```python
# =========================
# KLASIFIKASI: pass_fail
# - encode label ke numerik
# - gunakan prediksi regresi (final_exam_score) sebagai fitur tambahan
# - split 80:20
# =========================
target_reg = "final_exam_score"
target_clf = "pass_fail"
# Fitur dasar (hindari leakage: jangan pakai final_exam_score, pass_fail, grade_category, student_id)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1) Encode pass_fail -&gt; 0/1
map_pf = {"pass": 1, "fail": 0, "Pass": 1, "Fail": 0, "PASS": 1, "FAIL": 0}
y_clf = y_clf_raw.map(map_pf)
if y_clf.isna().any():
    y_clf, classes_ = pd.factorize(y_clf_raw)
    print("pass_fail difactorize. Urutan kelas:", list(classes_))
else:
    y_clf = y_clf.astype(int)
# 2) Split 80:20 (stratify untuk menjaga proporsi kelas)
X_train, X_test, y_reg_train, y_reg_test, y_clf_train, y_clf_test = train_test_split(
    X, y_reg, y_clf, test_size=0.2, random_state=42, stratify=y_clf
)
# 3) Preprocess untuk regresi
num_cols = X.select_dtypes(include=[np.number]).columns.tolist()
cat_cols = X.select_dtypes(exclude=[np.number]).columns.tolist()
preprocess_reg = ColumnTransformer(
    transformers=[
        ("num", StandardScaler(), num_cols),
        ("cat", OneHotEncoder(handle_unknown="ignore"), cat_cols),
    ],
    remainder="drop",
)
# 4) Model regresi -&gt; prediksi final_exam_score
reg_model = Pipeline(steps=[
    ("preprocess", preprocess_reg),
    ("model", Ridge(alpha=1.0))
])
reg_model.fit(X_train, y_reg_train)
pred_reg_train = reg_model.predict(X_train)
pred_reg_test = reg_model.predict(X_test)
# (opsional) evaluasi regresi
rmse = mean_squared_error(y_reg_test, pred_reg_test) ** 0.5
mae = mean_absolute_error(y_reg_test, pred_reg_test)
print("=== REGRESI (final_exam_score) ===")
print(f"RMSE: {rmse:.4f}")
print(f"MAE : {mae:.4f}")
# 5) Tambahkan prediksi regresi sebagai fitur untuk klasifikasi
X_train_clf = X_train.copy()
X_test_clf = X_test.copy()
X_train_clf["pred_final_exam_score"] = pred_reg_train
X_test_clf["pred_final_exam_score"] = pred_reg_test
# 6) Preprocess untuk klasifikasi (termasuk fitur pred_final_exam_score)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7) Model klasifikasi -&gt; pass_fail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
print("\n=== KLASIFIKASI (pass_fail) ===")
print(f"Accuracy : {acc:.4f}")
print(f"Precision: {prec:.4f}")
print(f"Recall   : {rec:.4f}")
print("Confusion Matrix:\</t>
  </si>
  <si>
    <t>Includes relevant libraries and context for classification task.</t>
  </si>
  <si>
    <t>Lacks clarity and structure; mixed languages and unclear instructions.</t>
  </si>
  <si>
    <t>Provides relevant output format for model evaluation metrics.</t>
  </si>
  <si>
    <t>Incomplete; lacks context and necessary code for model predictions.</t>
  </si>
  <si>
    <t>Using the provided dataset, implement a classification task to predict 'pass_fail' using regression model outputs. Ensure to convert target labels to numeric format if needed.</t>
  </si>
  <si>
    <t>Include the complete code for model training and predictions before printing metrics.</t>
  </si>
  <si>
    <t>{"prompt_score": 3, "response_score": 2, "overall_score": 2, "prompt_strengths": "Includes relevant libraries and context for classification task.", "prompt_issues": "Lacks clarity and structure; mixed languages and unclear instructions.", "response_strengths": "Provides relevant output format for model evaluation metrics.", "response_issues": "Incomplete; lacks context and necessary code for model predictions.", "prompt_rewrite": "Using the provided dataset, implement a classification task to predict 'pass_fail' using regression model outputs. Ensure to convert target labels to numeric format if needed.", "response_improvement_suggestions": "Include the complete code for model training and predictions before printing metrics.", "verdict": "fair", "needs_human_review": false}</t>
  </si>
  <si>
    <t>[MODE:code]
Selanjutnya, kita lakukan _Grid Search_ dengan menggunakan kelas `GridSearchCV` dan 5-fold cross-validation.   bagaimana caranya</t>
  </si>
  <si>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</si>
  <si>
    <t>```python
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
```</t>
  </si>
  <si>
    <t>Clear and specific about using GridSearchCV.</t>
  </si>
  <si>
    <t>Could provide more context on the dataset or model.</t>
  </si>
  <si>
    <t>Correct implementation of GridSearchCV with clear code.</t>
  </si>
  <si>
    <t>Bagaimana cara melakukan _Grid Search_ dengan `GridSearchCV` dan 5-fold cross-validation pada model KNN?</t>
  </si>
  <si>
    <t>Add comments in the code to explain each step.</t>
  </si>
  <si>
    <t>{"prompt_score": 4, "response_score": 5, "overall_score": 5, "prompt_strengths": "Clear and specific about using GridSearchCV.", "prompt_issues": "Could provide more context on the dataset or model.", "response_strengths": "Correct implementation of GridSearchCV with clear code.", "response_issues": "None significant; could include comments for clarity.", "prompt_rewrite": "Bagaimana cara melakukan _Grid Search_ dengan `GridSearchCV` dan 5-fold cross-validation pada model KNN?", "response_improvement_suggestions": "Add comments in the code to explain each step.", "verdict": "excellent", "needs_human_review": false}</t>
  </si>
  <si>
    <t>[LANG:Python]
[MODE:code]
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</si>
  <si>
    <t>Clear instructions and constraints provided.</t>
  </si>
  <si>
    <t>No issues; response is complete and clear.</t>
  </si>
  <si>
    <t>After creating the Random Forest pipeline, test the model by training the grid search with the provided code. Use X_train and y_train to fit the model and display the best parameters. ## YOUR CODE HERE ##</t>
  </si>
  <si>
    <t>None; the response is already optimal.</t>
  </si>
  <si>
    <t>{"prompt_score": 4, "response_score": 5, "overall_score": 4, "prompt_strengths": "Clear instructions and constraints provided.", "prompt_issues": "Could benefit from more context on the dataset.", "response_strengths": "Directly addresses the prompt with correct code.", "response_issues": "No issues; response is complete and clear.", "prompt_rewrite": "After creating the Random Forest pipeline, test the model by training the grid search with the provided code. Use X_train and y_train to fit the model and display the best parameters. ## YOUR CODE HERE ##", "response_improvement_suggestions": "None; the response is already optimal.", "verdict": "good", "needs_human_review": false}</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</si>
  <si>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</si>
  <si>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</si>
  <si>
    <t>Clear and specific instructions for EDA tasks.</t>
  </si>
  <si>
    <t>Comprehensive and well-structured code with explanations.</t>
  </si>
  <si>
    <t>None significant; all tasks addressed effectively.</t>
  </si>
  <si>
    <t>Bagian 2 - Exploratory Data Analysis (EDA) pada dataset 'student_exam_performance'. Kerjakan analisis berikut: Cek apakah terdapat missing value, tampilkan statistik deskriptif untuk kolom numerik, visualisasikan distribusi fitur numerik penting, dan buat heatmap korelasi untuk fitur numerik. Tulis jawaban Anda di sini.</t>
  </si>
  <si>
    <t>Include a brief introduction to the dataset and its significance.</t>
  </si>
  <si>
    <t>{"prompt_score": 4, "response_score": 5, "overall_score": 5, "prompt_strengths": "Clear and specific instructions for EDA tasks.", "prompt_issues": "Could provide more context on the dataset.", "response_strengths": "Comprehensive and well-structured code with explanations.", "response_issues": "None significant; all tasks addressed effectively.", "prompt_rewrite": "Bagian 2 - Exploratory Data Analysis (EDA) pada dataset 'student_exam_performance'. Kerjakan analisis berikut: Cek apakah terdapat missing value, tampilkan statistik deskriptif untuk kolom numerik, visualisasikan distribusi fitur numerik penting, dan buat heatmap korelasi untuk fitur numerik. Tulis jawaban Anda di sini.", "response_improvement_suggestions": "Include a brief introduction to the dataset and its significance.", "verdict": "excellent", "needs_human_review": false}</t>
  </si>
  <si>
    <t>[MODE:code]
buatkan kode untuk membuat statistik deskriptif, clue : use describe() dengan menggunakan bahasa python
untuk menghasilkan
print("Jumlah nilai 0 pada tiap kolom:")
print((dataframe[['Pregnancies','Glucose','BloodPressure','SkinThickness','Insulin','BMI','DiabetesPedigreeFunction','Age','Outcome']] == 0).sum())</t>
  </si>
  <si>
    <t>print("Statistik deskriptif:")
print(dataframe.describe())
print("Jumlah nilai 0 pada tiap kolom:")
print((dataframe[['Pregnancies','Glucose','BloodPressure','SkinThickness','Insulin','BMI','DiabetesPedigreeFunction','Age','Outcome']] == 0).sum())</t>
  </si>
  <si>
    <t>```python
print("Statistik deskriptif:")
print(dataframe.describe())
print("Jumlah nilai 0 pada tiap kolom:")
print((dataframe[['Pregnancies','Glucose','BloodPressure','SkinThickness','Insulin','BMI','DiabetesPedigreeFunction','Age','Outcome']] == 0).sum())
```</t>
  </si>
  <si>
    <t>Clear instructions and specific requirements.</t>
  </si>
  <si>
    <t>None, response is complete and clear.</t>
  </si>
  <si>
    <t>Buatkan kode Python untuk menghasilkan statistik deskriptif menggunakan describe() dan menghitung jumlah nilai 0 pada kolom tertentu dalam dataframe.</t>
  </si>
  <si>
    <t>None needed, response is already complete.</t>
  </si>
  <si>
    <t>{"prompt_score": 4, "response_score": 5, "overall_score": 4, "prompt_strengths": "Clear instructions and specific requirements.", "prompt_issues": "Could provide more context on the dataset.", "response_strengths": "Directly addresses the prompt with correct code.", "response_issues": "None, response is complete and clear.", "prompt_rewrite": "Buatkan kode Python untuk menghasilkan statistik deskriptif menggunakan describe() dan menghitung jumlah nilai 0 pada kolom tertentu dalam dataframe.", "response_improvement_suggestions": "None needed, response is already complete.", "verdict": "excellent", "needs_human_review": false}</t>
  </si>
  <si>
    <t>[MODE:summary_code_explanation]
Your request is being processed (queued). job_id: 54a3aacb-a5d9-4faa-a54f-7a255c9bab5e. I will check for up to 24 seconds, or type "status 54a3aacb-a5d9-4faa-a54f-7a255c9bab5e" to check manually.
status 54a3aacb-a5d9-4faa-a54f-7a255c9bab5e</t>
  </si>
  <si>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</si>
  <si>
    <t>Provides context and specific job ID for tracking.</t>
  </si>
  <si>
    <t>Lacks clarity on what specific information is needed from the user.</t>
  </si>
  <si>
    <t>Detailed explanation with relevant code and clear steps.</t>
  </si>
  <si>
    <t>Could be more concise and focused on the user's immediate needs.</t>
  </si>
  <si>
    <t>Please provide the status of job ID 54a3aacb-a5d9-4faa-a54f-7a255c9bab5e or let me know if you need help with the code to analyze the results.</t>
  </si>
  <si>
    <t>Summarize the key points and focus on the most relevant code snippets for the user's request.</t>
  </si>
  <si>
    <t>{"prompt_score": 3, "response_score": 4, "overall_score": 3, "prompt_strengths": "Provides context and specific job ID for tracking.", "prompt_issues": "Lacks clarity on what specific information is needed from the user.", "response_strengths": "Detailed explanation with relevant code and clear steps.", "response_issues": "Could be more concise and focused on the user's immediate needs.", "prompt_rewrite": "Please provide the status of job ID 54a3aacb-a5d9-4faa-a54f-7a255c9bab5e or let me know if you need help with the code to analyze the results.", "response_improvement_suggestions": "Summarize the key points and focus on the most relevant code snippets for the user's request.", "verdict": "fair", "needs_human_review": false}</t>
  </si>
  <si>
    <t>[MODE:summary_code_explanation]
Cobalah hitung recall dari classifier Anda. from sklearn.metrics import recall_score ##### Your Code Here #####</t>
  </si>
  <si>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</si>
  <si>
    <t>Could provide more context on the classifier.</t>
  </si>
  <si>
    <t>Correct, complete, and clearly explains recall calculation.</t>
  </si>
  <si>
    <t>Cobalah hitung recall dari classifier Anda menggunakan `recall_score` dari sklearn.metrics. Sertakan label asli dan prediksi.</t>
  </si>
  <si>
    <t>Consider adding an example with sample data for clarity.</t>
  </si>
  <si>
    <t>{"prompt_score": 4, "response_score": 5, "overall_score": 5, "prompt_strengths": "Clear and specific about the task.", "prompt_issues": "Could provide more context on the classifier.", "response_strengths": "Correct, complete, and clearly explains recall calculation.", "response_issues": "None significant.", "prompt_rewrite": "Cobalah hitung recall dari classifier Anda menggunakan `recall_score` dari sklearn.metrics. Sertakan label asli dan prediksi.", "response_improvement_suggestions": "Consider adding an example with sample data for clarity.", "verdict": "excellent", "needs_human_review": false}</t>
  </si>
  <si>
    <t>[LANG:Python]
[MODE:code]
saya ingin melatih`grid_search` tersebut pada 6000 data pertama. coba anda tuliskan kodenya dan jangan lupa validasi agar tidak error</t>
  </si>
  <si>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</si>
  <si>
    <t>```python
#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
```</t>
  </si>
  <si>
    <t>Clear request for code with specific data size and validation.</t>
  </si>
  <si>
    <t>Could provide more context about the data and grid_search.</t>
  </si>
  <si>
    <t>Correctly implements the request with relevant code.</t>
  </si>
  <si>
    <t>Lacks comments or explanations for clarity.</t>
  </si>
  <si>
    <t>Tolong berikan kode Python untuk melatih `grid_search` pada 6000 data pertama dari dataset yang diberikan, dan sertakan validasi untuk mencegah error.</t>
  </si>
  <si>
    <t>Add comments to explain each step of the code for better understanding.</t>
  </si>
  <si>
    <t>{"prompt_score": 4, "response_score": 4, "overall_score": 4, "prompt_strengths": "Clear request for code with specific data size and validation.", "prompt_issues": "Could provide more context about the data and grid_search.", "response_strengths": "Correctly implements the request with relevant code.", "response_issues": "Lacks comments or explanations for clarity.", "prompt_rewrite": "Tolong berikan kode Python untuk melatih `grid_search` pada 6000 data pertama dari dataset yang diberikan, dan sertakan validasi untuk mencegah error.", "response_improvement_suggestions": "Add comments to explain each step of the code for better understanding.", "verdict": "good", "needs_human_review": false}</t>
  </si>
  <si>
    <t>[LANG:Python]
[MODE:code]
Kita latih grid_search tersebut pada 6000 data pertama.
setelah itu dimanta code tentang ini apa codenya</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</si>
  <si>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</si>
  <si>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```python
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
```</t>
  </si>
  <si>
    <t>The prompt specifies the task and context clearly.</t>
  </si>
  <si>
    <t>Lacks specificity in terms of what 'code' refers to and the exact nature of the task.</t>
  </si>
  <si>
    <t>The response provides a relevant and correct code snippet for the task.</t>
  </si>
  <si>
    <t>Could include more explanation or comments for clarity.</t>
  </si>
  <si>
    <t>[LANG:Python] [MODE:code] Latih grid_search pada 6000 data pertama dan jelaskan setiap langkah dalam kode.</t>
  </si>
  <si>
    <t>Add comments to explain each part of the code for better understanding.</t>
  </si>
  <si>
    <t>{"prompt_score": 3, "response_score": 4, "overall_score": 3, "prompt_strengths": "The prompt specifies the task and context clearly.", "prompt_issues": "Lacks specificity in terms of what 'code' refers to and the exact nature of the task.", "response_strengths": "The response provides a relevant and correct code snippet for the task.", "response_issues": "Could include more explanation or comments for clarity.", "prompt_rewrite": "[LANG:Python] [MODE:code] Latih grid_search pada 6000 data pertama dan jelaskan setiap langkah dalam kode.", "response_improvement_suggestions": "Add comments to explain each part of the code for better understanding.", "verdict": "good", "needs_human_review": false}</t>
  </si>
  <si>
    <t>[MODE:summary]
sebutkan jawaban dari soal berikut di bawah ini Cross-entropy digunakan untuk
*
Clustering
Klasifikasi
Regresi
PCA</t>
  </si>
  <si>
    <t>Jawabannya: Klasifikasi. Cross-entropy adalah loss yang umum dipakai untuk tugas klasifikasi (terutama klasifikasi probabilistik seperti logistic regression dan neural network).</t>
  </si>
  <si>
    <t>Clear and specific question format.</t>
  </si>
  <si>
    <t>Could provide more context about cross-entropy.</t>
  </si>
  <si>
    <t>Accurate, relevant, and well-explained answer.</t>
  </si>
  <si>
    <t>[MODE:summary] Sebutkan jawaban dari soal berikut di bawah ini: Apa fungsi dari cross-entropy dalam konteks pembelajaran mesin? Pilihan: Clustering, Klasifikasi, Regresi, PCA.</t>
  </si>
  <si>
    <t>None needed; the response is already complete and clear.</t>
  </si>
  <si>
    <t>{"prompt_score": 4, "response_score": 5, "overall_score": 5, "prompt_strengths": "Clear and specific question format.", "prompt_issues": "Could provide more context about cross-entropy.", "response_strengths": "Accurate, relevant, and well-explained answer.", "response_issues": "None.", "prompt_rewrite": "[MODE:summary] Sebutkan jawaban dari soal berikut di bawah ini: Apa fungsi dari cross-entropy dalam konteks pembelajaran mesin? Pilihan: Clustering, Klasifikasi, Regresi, PCA.", "response_improvement_suggestions": "None needed; the response is already complete and clear.", "verdict": "excellent", "needs_human_review": false}</t>
  </si>
  <si>
    <t>[MODE:summary_code_explanation]
sekarang task kamu berikutnya adalah Kita tampilkan score terbaik dari hasil grid_search berdasarkan RMSE.</t>
  </si>
  <si>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</si>
  <si>
    <t>Clear and specific task request.</t>
  </si>
  <si>
    <t>Could provide more context on grid_search.</t>
  </si>
  <si>
    <t>Accurate, clear, and complete explanation with code example.</t>
  </si>
  <si>
    <t>Tampilkan score terbaik dari hasil grid_search berdasarkan RMSE dengan penjelasan.</t>
  </si>
  <si>
    <t>{"prompt_score": 4, "response_score": 5, "overall_score": 5, "prompt_strengths": "Clear and specific task request.", "prompt_issues": "Could provide more context on grid_search.", "response_strengths": "Accurate, clear, and complete explanation with code example.", "response_issues": "None identified.", "prompt_rewrite": "Tampilkan score terbaik dari hasil grid_search berdasarkan RMSE dengan penjelasan.", "response_improvement_suggestions": "None needed; response is already strong.", "verdict": "excellent", "needs_human_review": false}</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</si>
  <si>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</si>
  <si>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import numpy as np
import pandas as pd
import matplotlib.pyplot as plt
import seaborn as sns</t>
  </si>
  <si>
    <t>```python
# =========================
# Tugas 2: Exploratory Data Analysis (EDA) + Insight
# =========================
import numpy as np
import pandas as pd
import matplotlib.pyplot as plt
import seaborn as sns
# Helper: ringkas insight distribusi numerik
def distribution_insight(series: pd.Series, name: str) -&gt; str:
    s = pd.to_numeric(series, errors="coerce").dropna()
    if s.empty:
        return f"Insight {name}: tidak ada data numerik valid."
    n = s.shape[0]
    mean = s.mean()
    median = s.median()
    std = s.std(ddof=1) if n &gt; 1 else 0.0
    q1, q3 = s.quantile(0.25), s.quantile(0.75)
    iqr = q3 - q1
    low, high = q1 - 1.5 * iqr, q3 + 1.5 * iqr
    outliers = ((s &lt; low) | (s &gt; high)).sum()
    outlier_pct = (outliers / n) * 100
    # Skewness heuristic
    skew = s.skew() if n &gt; 2 else 0.0
    if skew &gt; 0.5:
        skew_txt = "condong ke kanan (right-skewed)"
    elif skew &lt; -0.5:
        skew_txt = "condong ke kiri (left-skewed)"
    else:
        skew_txt = "relatif simetris"
    # Mean vs median heuristic
    if mean &gt; median * 1.02:
        mm_txt = "mean &gt; median (indikasi right-skew / nilai tinggi dominan)"
    elif median &gt; mean * 1.02:
        mm_txt = "median &gt; mean (indikasi left-skew / nilai rendah dominan)"
    else:
        mm_txt = "mean ~ median (sebaran cukup seimbang)"
    return (
        f"Insight {name}: n={n}, mean={mean:.2f}, median={median:.2f}, std={std:.2f}, "
        f"IQR={iqr:.2f}, outlier≈{outliers} ({outlier_pct:.1f}%), sebaran {skew_txt}; {mm_txt}."
    )
# a) Cek missing value
missing_count = df.isna().sum().sort_values(ascending=False)
missing_pct = (df.isna().mean() * 100).sort_values(ascending=False)
print("Missing value (jumlah) per kolom:")
display(missing_count.to_frame("missing_count"))
print("Missing value (persentase %) per kolom:")
display(missing_pct.round(2).to_frame("missing_pct"))
# b) Statistik deskriptif untuk kolom numerik
num_cols = df.select_dtypes(include=[np.number]).columns.tolist()
print("Kolom numerik terdeteksi:", num_cols)
if len(num_cols) &gt; 0:
    desc_num = df[num_cols].describe().T
    display(desc_num)
else:
    print("Tidak ada kolom numerik pada dataset.")
# c) Visualisasi distribusi beberapa fitur numerik penting + insight di bawah tiap plot
# Pilih beberapa kolom numerik (maks 6) agar plot tidak terlalu ramai
cols_to_plot = num_cols[: min(6, len(num_cols))]
if len(cols_to_plot) == 0:
    print("Tidak ada kolom numerik untuk divisualisasikan.")
else:
    for col in cols_to_plot:
        fig, axes = plt.subplots(2, 1, figsize=(8, 6), gridspec_kw={"height_ratios": [4, 1]})
        # Plot distribusi
        sns.histplot(df[col].dropna(), bins=30, kde=True, ax=axes[0])
        axes[0].set_title(f"Distribusi: {col}")
        axes[0].set_xlabel(col)
        axes[0].set_ylabel("Count")
        # Insight text (di bawah plot)
        insight_text = distribution_insight(df[col], col)
        axes[1].axis("off")
        axes[1].text(
            0.01,
            0.5,
            insight_text,
            va="center",
            ha="left",
            fontsize=10,
            wrap=True,
        )
        plt.tight_layout()
        plt.show()
    # (Opsional) Boxplot ringkas untuk subset fitur numerik
    fig, axes = plt.subplots(2, 1, figsize=(10, 6), gridspec_kw={"height_ratios": [4, 1]})
    sns.boxplot(data=df[cols_to_plot], orient="h", ax=axes[0])
    axes[0].set_title("Box</t>
  </si>
  <si>
    <t>Provides a clear context and specific tasks.</t>
  </si>
  <si>
    <t>Includes necessary imports for data analysis.</t>
  </si>
  <si>
    <t>Incomplete; does not address the tasks outlined in the prompt.</t>
  </si>
  <si>
    <t>Saya sedang mengerjakan Praktikum Kecerdasan Mesin mengenai analisis performa akademik mahasiswa. Gunakan dataset student_exam_performance_dataset. Tugas: 1. Load dataset. 2. Lakukan EDA: a. Cek missing value. b. Tampilkan statistik deskriptif. c. Visualisasikan distribusi fitur numerik. d. Buat heatmap korelasi. Berikan insight di bawah visualisasi.</t>
  </si>
  <si>
    <t>Expand the response to include EDA steps and visualizations as requested in the prompt.</t>
  </si>
  <si>
    <t>{"prompt_score": 3, "response_score": 2, "overall_score": 2, "prompt_strengths": "Provides a clear context and specific tasks.", "prompt_issues": "Could be more concise and structured for better readability.", "response_strengths": "Includes necessary imports for data analysis.", "response_issues": "Incomplete; does not address the tasks outlined in the prompt.", "prompt_rewrite": "Saya sedang mengerjakan Praktikum Kecerdasan Mesin mengenai analisis performa akademik mahasiswa. Gunakan dataset student_exam_performance_dataset. Tugas: 1. Load dataset. 2. Lakukan EDA: a. Cek missing value. b. Tampilkan statistik deskriptif. c. Visualisasikan distribusi fitur numerik. d. Buat heatmap korelasi. Berikan insight di bawah visualisasi.", "response_improvement_suggestions": "Expand the response to include EDA steps and visualizations as requested in the prompt.", "verdict": "weak", "needs_human_review": false}</t>
  </si>
  <si>
    <t>[MODE:summary]
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</si>
  <si>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</si>
  <si>
    <t>Clear structure and specific questions.</t>
  </si>
  <si>
    <t>Could provide more context on eta.</t>
  </si>
  <si>
    <t>Thorough, accurate, and well-structured answers.</t>
  </si>
  <si>
    <t>[MODE:summary] Please answer the following questions clearly and in an organized manner, with answers numbered. Reflection Questions: 1. Which eta value converges the fastest? 2. Is there an eta that causes instability in optimization? 3. What happens to the MSE curve if the number of iterations is increased?</t>
  </si>
  <si>
    <t>{"prompt_score": 4, "response_score": 5, "overall_score": 5, "prompt_strengths": "Clear structure and specific questions.", "prompt_issues": "Could provide more context on eta.", "response_strengths": "Thorough, accurate, and well-structured answers.", "response_issues": "None significant.", "prompt_rewrite": "[MODE:summary] Please answer the following questions clearly and in an organized manner, with answers numbered. Reflection Questions: 1. Which eta value converges the fastest? 2. Is there an eta that causes instability in optimization? 3. What happens to the MSE curve if the number of iterations is increased?", "response_improvement_suggestions": "None needed; response is comprehensive.", "verdict": "excellent", "needs_human_review": false}</t>
  </si>
  <si>
    <t>[MODE:code]
---------------------------------------------------------------------------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</si>
  <si>
    <t># Opsi 1 (disarankan): install kagglehub di Jupyter
%pip install -q kagglehub
import kagglehub
print("kagglehub version:", kagglehub.__version__)</t>
  </si>
  <si>
    <t>```python
# Opsi 1 (disarankan): install kagglehub di Jupyter
%pip install -q kagglehub
import kagglehub
print("kagglehub version:", kagglehub.__version__)
```</t>
  </si>
  <si>
    <t>Clear error message and request for a solution.</t>
  </si>
  <si>
    <t>Could provide more context about the environment or setup.</t>
  </si>
  <si>
    <t>Directly addresses the error with a clear solution.</t>
  </si>
  <si>
    <t>Could include additional troubleshooting steps or explanations.</t>
  </si>
  <si>
    <t>Saya mengalami error 'ModuleNotFoundError: No module named 'kagglehub' saat menjalankan kode di Jupyter. Apa solusinya?</t>
  </si>
  <si>
    <t>Add more context on what 'kagglehub' is and alternative solutions if installation fails.</t>
  </si>
  <si>
    <t>{"prompt_score": 4, "response_score": 4, "overall_score": 4, "prompt_strengths": "Clear error message and request for a solution.", "prompt_issues": "Could provide more context about the environment or setup.", "response_strengths": "Directly addresses the error with a clear solution.", "response_issues": "Could include additional troubleshooting steps or explanations.", "prompt_rewrite": "Saya mengalami error 'ModuleNotFoundError: No module named 'kagglehub' saat menjalankan kode di Jupyter. Apa solusinya?", "response_improvement_suggestions": "Add more context on what 'kagglehub' is and alternative solutions if installation fails.", "verdict": "good", "needs_human_review": false}</t>
  </si>
  <si>
    <t>[MODE:summary_code_explanation]
saya sudah load dataset tentang data isuransi dan juga melakukan exploratory data analyst apa kode untuk membuat scatter plot untuk melihat pengaruh bmi terhadap charges</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</si>
  <si>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</si>
  <si>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</si>
  <si>
    <t>Detailed and specific about the task requirements.</t>
  </si>
  <si>
    <t>Could be more concise and organized.</t>
  </si>
  <si>
    <t>Accurate explanation of precision and recall concepts.</t>
  </si>
  <si>
    <t>Could provide more context or examples for clarity.</t>
  </si>
  <si>
    <t>Buat implementasi praktikum Kecerdasan Mesin untuk menggambar grafik Precision-Recall dan membangun classifier untuk dataset MNIST dan Pima Indian Diabetes. Sertakan kode Python yang diperlukan.</t>
  </si>
  <si>
    <t>Include examples or visual aids to enhance understanding.</t>
  </si>
  <si>
    <t>{"prompt_score": 4, "response_score": 4, "overall_score": 4, "prompt_strengths": "Detailed and specific about the task requirements.", "prompt_issues": "Could be more concise and organized.", "response_strengths": "Accurate explanation of precision and recall concepts.", "response_issues": "Could provide more context or examples for clarity.", "prompt_rewrite": "Buat implementasi praktikum Kecerdasan Mesin untuk menggambar grafik Precision-Recall dan membangun classifier untuk dataset MNIST dan Pima Indian Diabetes. Sertakan kode Python yang diperlukan.", "response_improvement_suggestions": "Include examples or visual aids to enhance understanding.", "verdict": "good", "needs_human_review": false}</t>
  </si>
  <si>
    <t>[LANG:Python]
[MODE:code]
berdasarkan hasil statik, apa pengaruh mean dan std(standar deviasi data) terhadap variasi dan distribusi data</t>
  </si>
  <si>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</si>
  <si>
    <t>```python
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
```</t>
  </si>
  <si>
    <t>Clear and specific about the statistical concepts.</t>
  </si>
  <si>
    <t>Could provide more context on the dataset or application.</t>
  </si>
  <si>
    <t>Comprehensive explanation with relevant code and comments.</t>
  </si>
  <si>
    <t>None significant; well-structured and informative.</t>
  </si>
  <si>
    <t>[LANG:Python] [MODE:code] Jelaskan pengaruh mean dan standar deviasi terhadap variasi dan distribusi data dalam konteks analisis statistik.</t>
  </si>
  <si>
    <t>Consider adding examples of output or visualizations to enhance understanding.</t>
  </si>
  <si>
    <t>{"prompt_score": 4, "response_score": 5, "overall_score": 5, "prompt_strengths": "Clear and specific about the statistical concepts.", "prompt_issues": "Could provide more context on the dataset or application.", "response_strengths": "Comprehensive explanation with relevant code and comments.", "response_issues": "None significant; well-structured and informative.", "prompt_rewrite": "[LANG:Python] [MODE:code] Jelaskan pengaruh mean dan standar deviasi terhadap variasi dan distribusi data dalam konteks analisis statistik.", "response_improvement_suggestions": "Consider adding examples of output or visualizations to enhance understanding.", "verdict": "excellent", "needs_human_review": false}</t>
  </si>
  <si>
    <t>[MODE:code]
saya sebagai mahasiswa semester 6 akan mengerjakan sebuah praktikum untuk soal yang akan di berikan berikut
 Extract semua baris dan kolom ke-1 s.d. ke-7 ke dalam variabel `X`.</t>
  </si>
  <si>
    <t>X = array[:, 0:8]</t>
  </si>
  <si>
    <t>```python
X = array[:, 0:8]
```</t>
  </si>
  <si>
    <t>The prompt specifies the task clearly.</t>
  </si>
  <si>
    <t>Lacks detail on the data structure and programming language.</t>
  </si>
  <si>
    <t>Attempts to provide a solution.</t>
  </si>
  <si>
    <t>Incorrect indexing; should be 0:7 for columns 1 to 7.</t>
  </si>
  <si>
    <t>[MODE:code] Saya sebagai mahasiswa semester 6 akan mengerjakan sebuah praktikum untuk soal yang akan diberikan berikut: Ekstrak semua baris dan kolom ke-1 hingga ke-7 dari array dua dimensi ke dalam variabel `X` menggunakan Python.</t>
  </si>
  <si>
    <t>Correct the indexing to X = array[:, 0:7] to extract columns 1 to 7.</t>
  </si>
  <si>
    <t>{"prompt_score": 3, "response_score": 2, "overall_score": 2, "prompt_strengths": "The prompt specifies the task clearly.", "prompt_issues": "Lacks detail on the data structure and programming language.", "response_strengths": "Attempts to provide a solution.", "response_issues": "Incorrect indexing; should be 0:7 for columns 1 to 7.", "prompt_rewrite": "[MODE:code] Saya sebagai mahasiswa semester 6 akan mengerjakan sebuah praktikum untuk soal yang akan diberikan berikut: Ekstrak semua baris dan kolom ke-1 hingga ke-7 dari array dua dimensi ke dalam variabel `X` menggunakan Python.", "response_improvement_suggestions": "Correct the indexing to X = array[:, 0:7] to extract columns 1 to 7.", "verdict": "fair", "needs_human_review": false}</t>
  </si>
  <si>
    <t>[MODE:summary_code_explanation]
selanjutnya tolong bantu saya berikan code untuk cek jika ada nilai Null di dataset berdasarkan dataset</t>
  </si>
  <si>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</si>
  <si>
    <t>Clear request for code to check for null values.</t>
  </si>
  <si>
    <t>Could be more specific about the dataset type.</t>
  </si>
  <si>
    <t>Tolong berikan kode Python untuk mengecek nilai Null di dataset DataFrame.</t>
  </si>
  <si>
    <t>{"prompt_score": 4, "response_score": 5, "overall_score": 4, "prompt_strengths": "Clear request for code to check for null values.", "prompt_issues": "Could be more specific about the dataset type.", "response_strengths": "Correct and complete code with clear explanations.", "response_issues": "None.", "prompt_rewrite": "Tolong berikan kode Python untuk mengecek nilai Null di dataset DataFrame.", "response_improvement_suggestions": "None needed; response is already clear and complete.", "verdict": "excellent", "needs_human_review": false}</t>
  </si>
  <si>
    <t>[MODE:code]
---------------------------------------------------------------------------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</si>
  <si>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</si>
  <si>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</si>
  <si>
    <t>The prompt clearly describes the error and requests a fix.</t>
  </si>
  <si>
    <t>Could provide more context about the function's intended use.</t>
  </si>
  <si>
    <t>The response correctly identifies and fixes the error, providing a complete function.</t>
  </si>
  <si>
    <t>Could include comments for clarity on the logic.</t>
  </si>
  <si>
    <t>Please help me fix the following TypeError in my r2_score function: TypeError: asarray() got an unexpected keyword argument 'dtSype'.</t>
  </si>
  <si>
    <t>Add comments to explain each step of the r2_score function.</t>
  </si>
  <si>
    <t>{"prompt_score": 4, "response_score": 5, "overall_score": 4, "prompt_strengths": "The prompt clearly describes the error and requests a fix.", "prompt_issues": "Could provide more context about the function's intended use.", "response_strengths": "The response correctly identifies and fixes the error, providing a complete function.", "response_issues": "Could include comments for clarity on the logic.", "prompt_rewrite": "Please help me fix the following TypeError in my r2_score function: TypeError: asarray() got an unexpected keyword argument 'dtSype'.", "response_improvement_suggestions": "Add comments to explain each step of the r2_score function.", "verdict": "good", "needs_human_review": false}</t>
  </si>
  <si>
    <t>[LANG:Python]
[MODE:summary_code_explanation]
saya sudah memasukan semuanya yaitu
housing = pd.read_csv('housing_dataset.csv')
housing_labels = pd.read_csv('housing_labels.csv')"
housing.shape
housing.info()
housing.describe()
housing_labels.describe()
nah sekarang saya disuruh mencari tahu tentang nilai null, gimana caranya</t>
  </si>
  <si>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</si>
  <si>
    <t>Clear request for help with null values in a dataset.</t>
  </si>
  <si>
    <t>Could provide more context on what specific analysis is needed.</t>
  </si>
  <si>
    <t>Comprehensive and clear explanation with relevant code examples.</t>
  </si>
  <si>
    <t>None significant; all aspects of the question are addressed.</t>
  </si>
  <si>
    <t>Saya sudah memasukkan data ke dalam variabel housing dan housing_labels. Sekarang, saya perlu mencari tahu tentang nilai null dalam dataset housing. Bagaimana cara melakukannya?</t>
  </si>
  <si>
    <t>{"prompt_score": 4, "response_score": 5, "overall_score": 4, "prompt_strengths": "Clear request for help with null values in a dataset.", "prompt_issues": "Could provide more context on what specific analysis is needed.", "response_strengths": "Comprehensive and clear explanation with relevant code examples.", "response_issues": "None significant; all aspects of the question are addressed.", "prompt_rewrite": "Saya sudah memasukkan data ke dalam variabel housing dan housing_labels. Sekarang, saya perlu mencari tahu tentang nilai null dalam dataset housing. Bagaimana cara melakukannya?", "response_improvement_suggestions": "Consider adding a brief explanation of why checking for null values is important.", "verdict": "good", "needs_human_review": false}</t>
  </si>
  <si>
    <t>[MODE:summary]
Buatkan syntax Latihlah model dengan best hyperparameter pada train set. ##### Your Code Here #####,</t>
  </si>
  <si>
    <t>best_knn_clf = grid_search.best_estimator_
best_knn_clf.fit(X_train, y_train)</t>
  </si>
  <si>
    <t>The prompt is clear about the task.</t>
  </si>
  <si>
    <t>Lacks specificity and context for the model and hyperparameters.</t>
  </si>
  <si>
    <t>The response is relevant and correctly fits the model.</t>
  </si>
  <si>
    <t>Incomplete; lacks context and explanation.</t>
  </si>
  <si>
    <t>Buatkan syntax untuk melatih model KNN dengan hyperparameter terbaik pada dataset pelatihan yang diberikan.</t>
  </si>
  <si>
    <t>Include comments explaining the code and specify the hyperparameters used.</t>
  </si>
  <si>
    <t>{"prompt_score": 3, "response_score": 4, "overall_score": 3, "prompt_strengths": "The prompt is clear about the task.", "prompt_issues": "Lacks specificity and context for the model and hyperparameters.", "response_strengths": "The response is relevant and correctly fits the model.", "response_issues": "Incomplete; lacks context and explanation.", "prompt_rewrite": "Buatkan syntax untuk melatih model KNN dengan hyperparameter terbaik pada dataset pelatihan yang diberikan.", "response_improvement_suggestions": "Include comments explaining the code and specify the hyperparameters used.", "verdict": "fair", "needs_human_review": false}</t>
  </si>
  <si>
    <t>[MODE:code]
tuliskan bagian" nya seperti bagian satu LOAD DATASET bagian dua EDA lalu buatkan juga catatan catatan di setiap code</t>
  </si>
  <si>
    <t>import pandas as pd
import numpy as np
import matplotlib.pyplot as plt
import seaborn as sns</t>
  </si>
  <si>
    <t>```python
# =========================
# BAGIAN 1 — LOAD DATASET
# =========================
import pandas as pd
import numpy as np
import matplotlib.pyplot as plt
import seaborn as sns
from pathlib import Path
# Catatan: Supaya plot lebih rapi (opsional)
sns.set_theme(style="whitegrid")
# Catatan: Ganti path ini sesuai lokasi file dataset kamu
DATA_PATH = "data.csv"
def load_dataset(path: str) -&gt; pd.DataFrame:
    """
    Catatan:
    - Fungsi ini membaca dataset dari file .csv atau .xlsx/.xls.
    - Jika format file tidak didukung, akan error.
    """
    p = Path(path)
    # Catatan: Validasi file ada atau tidak
    if not p.exists():
        raise FileNotFoundError(f"File tidak ditemukan: {path}")
    # Catatan: Baca sesuai ekstensi file
    ext = p.suffix.lower()
    if ext == ".csv":
        df = pd.read_csv(p)
    elif ext in [".xlsx", ".xls"]:
        df = pd.read_excel(p)
    else:
        raise ValueError("Format file tidak didukung. Gunakan .csv atau .xlsx/.xls")
    return df
# Catatan: Load dataset ke DataFrame
df = load_dataset(DATA_PATH)
# Catatan: Cek cepat 5 baris pertama untuk memastikan data terbaca benar
print("=== HEAD (5 baris pertama) ===")
print(df.head())
# Catatan: Cek ukuran data (baris, kolom)
print("\n=== SHAPE (jumlah baris, jumlah kolom) ===")
print(df.shape)
# Catatan: Cek nama kolom
print("\n=== COLUMNS (nama kolom) ===")
print(list(df.columns))
# Catatan: Cek tipe data tiap kolom
print("\n=== DTYPES (tipe data) ===")
print(df.dtypes)
# Catatan: Info ringkas (jumlah non-null, tipe data, memory usage)
print("\n=== INFO (ringkasan struktur data) ===")
df.info()
# =========================
# BAGIAN 2 — EDA (Exploratory Data Analysis)
# =========================
# ---- 2.1 Missing Value Check ----
# Catatan:
# - Mengecek apakah ada nilai kosong (NaN) di setiap kolom.
# - Jika ada, biasanya perlu ditangani (imputasi/hapus), tapi kamu bilang datanya bersih.
missing_count = df.isna().sum().sort_values(ascending=False)
missing_pct = (missing_count / len(df) * 100).round(2)
missing_report = pd.DataFrame({
    "missing_count": missing_count,
    "missing_pct": missing_pct
})
print("\n=== MISSING VALUE REPORT ===")
if (missing_report["missing_count"] &gt; 0).any():
    print(missing_report[missing_report["missing_count"] &gt; 0])
else:
    print("Tidak ada missing value.")
# ---- 2.2 Statistik Deskriptif ----
# Catatan:
# - describe() untuk numerik: count, mean, std, min, quartile, max
# - include="all" juga menampilkan ringkasan untuk kolom kategorikal (unique, top, freq)
print("\n=== DESCRIPTIVE STATISTICS ===")
desc = df.describe(include="all").T
print(desc)
# ---- 2.3 Visualisasi Distribusi Fitur ----
# Catatan:
# - Sesuaikan daftar kolom di bawah dengan nama kolom dataset kamu.
# - Jika kolom tidak ada, otomatis di-skip.
candidate_features = [
    "jam_belajar",
    "tingkat_kehadiran",
    "penyelesaian_tugas",
    "partisipasi",
    "nilai_ujian_akhir",
]
features = [c for c in candidate_features if c in df.columns]
# Catatan: Plot histogram untuk fitur numerik
if features:
    n = len(features)
    ncols = 3
    nrows = int(np.ceil(n / ncols))
    fig, axes = plt.subplots(nrows, ncols, figsize=(5 * ncols, 4 * nrows))
    axes = np.array(axes).reshape(-1)
    for i, col in enumerate(features):
        ax = axes[i]
        # Catatan: Pastikan kolom numerik sebelum histogram
        if pd.api.types.is_numeric_dtype(df[col]):
            sns.histplot(df[col].dropna(), bins=30, kde=True, ax=ax)
            ax.set_title(f"Distribusi: {col}")
            ax.set_xlabel(col)
            ax.set_ylabel("Frekuensi")
        else:
            # Catatan: Jika kolom kategorikal, tampilkan barplot top kategori
            vc = df[col].astype("string").value_counts().head</t>
  </si>
  <si>
    <t>Identifies specific tasks (LOAD DATASET, EDA).</t>
  </si>
  <si>
    <t>Lacks clarity and detail on what is needed in each section.</t>
  </si>
  <si>
    <t>Includes relevant libraries for data analysis.</t>
  </si>
  <si>
    <t>Incomplete; does not address the prompt's request for code sections and notes.</t>
  </si>
  <si>
    <t>Tulis kode untuk bagian LOAD DATASET dan EDA, sertakan catatan penjelasan di setiap bagian.</t>
  </si>
  <si>
    <t>Provide complete code for loading a dataset and performing EDA, with comments explaining each step.</t>
  </si>
  <si>
    <t>{"prompt_score": 3, "response_score": 2, "overall_score": 2, "prompt_strengths": "Identifies specific tasks (LOAD DATASET, EDA).", "prompt_issues": "Lacks clarity and detail on what is needed in each section.", "response_strengths": "Includes relevant libraries for data analysis.", "response_issues": "Incomplete; does not address the prompt's request for code sections and notes.", "prompt_rewrite": "Tulis kode untuk bagian LOAD DATASET dan EDA, sertakan catatan penjelasan di setiap bagian.", "response_improvement_suggestions": "Provide complete code for loading a dataset and performing EDA, with comments explaining each step.", "verdict": "fair", "needs_human_review": false}</t>
  </si>
  <si>
    <t>[MODE:summary]
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</si>
  <si>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</si>
  <si>
    <t>Provides a detailed description of the data.</t>
  </si>
  <si>
    <t>Thorough analysis with clear insights and connections.</t>
  </si>
  <si>
    <t>Could be more concise and focused on key points.</t>
  </si>
  <si>
    <t>Buat ringkasan grafik BMI vs charges, fokus pada pola dan hubungan antara BMI dan charges.</t>
  </si>
  <si>
    <t>Summarize key findings more succinctly and highlight the most significant trends.</t>
  </si>
  <si>
    <t>{"prompt_score": 3, "response_score": 4, "overall_score": 4, "prompt_strengths": "Provides a detailed description of the data.", "prompt_issues": "Lacks clarity and structure, making it hard to follow.", "response_strengths": "Thorough analysis with clear insights and connections.", "response_issues": "Could be more concise and focused on key points.", "prompt_rewrite": "Buat ringkasan grafik BMI vs charges, fokus pada pola dan hubungan antara BMI dan charges.", "response_improvement_suggestions": "Summarize key findings more succinctly and highlight the most significant trends.", "verdict": "good", "needs_human_review": false}</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</si>
  <si>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</si>
  <si>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</si>
  <si>
    <t>Provides a detailed context and specific requirements.</t>
  </si>
  <si>
    <t>Lacks clarity in some areas and has minor grammatical errors.</t>
  </si>
  <si>
    <t>Relevant and correct code snippet with clear explanation.</t>
  </si>
  <si>
    <t>Could provide more detail on the implications of the hyperparameter tuning.</t>
  </si>
  <si>
    <t>Summarize the regression and SVM problem using Python, detailing the imported libraries, data shape, preprocessing steps, and the creation of a pipeline for hyperparameter tuning with GridSearchCV. Ensure clarity and correct any grammatical errors.</t>
  </si>
  <si>
    <t>Include a brief explanation of the importance of each hyperparameter in the context of SVM.</t>
  </si>
  <si>
    <t>{"prompt_score": 3, "response_score": 4, "overall_score": 3, "prompt_strengths": "Provides a detailed context and specific requirements.", "prompt_issues": "Lacks clarity in some areas and has minor grammatical errors.", "response_strengths": "Relevant and correct code snippet with clear explanation.", "response_issues": "Could provide more detail on the implications of the hyperparameter tuning.", "prompt_rewrite": "Summarize the regression and SVM problem using Python, detailing the imported libraries, data shape, preprocessing steps, and the creation of a pipeline for hyperparameter tuning with GridSearchCV. Ensure clarity and correct any grammatical errors.", "response_improvement_suggestions": "Include a brief explanation of the importance of each hyperparameter in the context of SVM.", "verdict": "good", "needs_human_review": false}</t>
  </si>
  <si>
    <t>[LANG:Python]
[MODE:code]
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</si>
  <si>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</si>
  <si>
    <t>```python
import pandas as pd
import matplotlib.pyplot as plt
import seaborn as sns
df = pd.read_csv("your_file.csv")
x_col = "bmi"
y_col = "charges"
plot_df = df[[x_col, y_col]].dropna()
plt.figure(figsize=(10, 6))
sns.scatterplot(data=plot_df, x=x_col, y=y_col, alpha=0.6)
plt.xlabel(x_col)
plt.ylabel(y_col)
plt.tight_layout()
plt.show()
```</t>
  </si>
  <si>
    <t>Clear request for a specific analysis and visualization.</t>
  </si>
  <si>
    <t>Could provide more detail on the dataset structure.</t>
  </si>
  <si>
    <t>Correct and complete code for creating a scatter plot.</t>
  </si>
  <si>
    <t>Please provide a Python code template for creating a scatter plot to analyze the effect of BMI on insurance charges, using the provided insurance dataset.</t>
  </si>
  <si>
    <t>Consider adding comments to the code for better understanding.</t>
  </si>
  <si>
    <t>{"prompt_score": 4, "response_score": 5, "overall_score": 5, "prompt_strengths": "Clear request for a specific analysis and visualization.", "prompt_issues": "Could provide more detail on the dataset structure.", "response_strengths": "Correct and complete code for creating a scatter plot.", "response_issues": "None.", "prompt_rewrite": "Please provide a Python code template for creating a scatter plot to analyze the effect of BMI on insurance charges, using the provided insurance dataset.", "response_improvement_suggestions": "Consider adding comments to the code for better understanding.", "verdict": "excellent", "needs_human_review": false}</t>
  </si>
  <si>
    <t>[MODE:summary]
beri jawaban yang benar untuk soal berikut dari pilihan di bawah. Lasso Regression menggunakan penalti
*
L0
L1
MSE
L2</t>
  </si>
  <si>
    <t>Lasso Regression menggunakan penalti L1. Jadi jawabannya: L1.</t>
  </si>
  <si>
    <t>Clear and specific question about Lasso Regression.</t>
  </si>
  <si>
    <t>Could provide more context on the options.</t>
  </si>
  <si>
    <t>Correct and concise answer.</t>
  </si>
  <si>
    <t>Could elaborate on why L1 is the correct choice.</t>
  </si>
  <si>
    <t>Beri jawaban yang benar untuk soal berikut dari pilihan di bawah: Lasso Regression menggunakan penalti L0, L1, MSE, atau L2?</t>
  </si>
  <si>
    <t>Add a brief explanation of L1 penalty in Lasso Regression.</t>
  </si>
  <si>
    <t>{"prompt_score": 4, "response_score": 5, "overall_score": 4, "prompt_strengths": "Clear and specific question about Lasso Regression.", "prompt_issues": "Could provide more context on the options.", "response_strengths": "Correct and concise answer.", "response_issues": "Could elaborate on why L1 is the correct choice.", "prompt_rewrite": "Beri jawaban yang benar untuk soal berikut dari pilihan di bawah: Lasso Regression menggunakan penalti L0, L1, MSE, atau L2?", "response_improvement_suggestions": "Add a brief explanation of L1 penalty in Lasso Regression.", "verdict": "good", "needs_human_review": false}</t>
  </si>
  <si>
    <t>[LANG:Python]
[MODE:code]
Pregnancies	Glucose	BloodPressure	SkinThickness	Insulin	BMI	DiabetesPedigreeFunction	Age	Outcome
berikut adalah kolom di dataset 'pima-indians-diabetes.data.csv</t>
  </si>
  <si>
    <t>names = [
    "Pregnancies",
    "Glucose",
    "BloodPressure",
    "SkinThickness",
    "Insulin",
    "BMI",
    "DiabetesPedigreeFunction",
    "Age",
    "Outcome",
]</t>
  </si>
  <si>
    <t>```python
names = [
    "Pregnancies",
    "Glucose",
    "BloodPressure",
    "SkinThickness",
    "Insulin",
    "BMI",
    "DiabetesPedigreeFunction",
    "Age",
    "Outcome",
]
```</t>
  </si>
  <si>
    <t>Identifies dataset columns clearly.</t>
  </si>
  <si>
    <t>Lacks specific instructions on what to do with the columns.</t>
  </si>
  <si>
    <t>Correctly lists the column names in a Python list format.</t>
  </si>
  <si>
    <t>Does not provide context or further explanation.</t>
  </si>
  <si>
    <t>List the columns in the dataset 'pima-indians-diabetes.data.csv' and explain their significance.</t>
  </si>
  <si>
    <t>Add a brief explanation of each column's purpose in the dataset.</t>
  </si>
  <si>
    <t>{"prompt_score": 3, "response_score": 4, "overall_score": 3, "prompt_strengths": "Identifies dataset columns clearly.", "prompt_issues": "Lacks specific instructions on what to do with the columns.", "response_strengths": "Correctly lists the column names in a Python list format.", "response_issues": "Does not provide context or further explanation.", "prompt_rewrite": "List the columns in the dataset 'pima-indians-diabetes.data.csv' and explain their significance.", "response_improvement_suggestions": "Add a brief explanation of each column's purpose in the dataset.", "verdict": "fair", "needs_human_review": false}</t>
  </si>
  <si>
    <t>[MODE:code]
6. Bonus
Contoh bonus berikut memakai hasil regresi yang sama, tetapi target klasifikasinya diganti menjadi grade_category untuk klasifikasi multikelas.</t>
  </si>
  <si>
    <t>import numpy as np
import matplotlib.pyplot as plt</t>
  </si>
  <si>
    <t>```python
import numpy as np
import matplotlib.pyplot as plt
from sklearn.linear_model import LogisticRegression
from sklearn.metrics import (
    confusion_matrix, ConfusionMatrixDisplay,
    accuracy_score, precision_score, recall_score,
    roc_curve, roc_auc_score
)
from sklearn.preprocessing import label_binarize
# Asumsi dari bagian sebelumnya sudah ada:
# - reg_pipe (model regresi yang sudah fit)
# - X_train, X_test
# - df (DataFrame asli)
# - indeks train/test (opsional). Jika belum ada, gunakan y_grade_train/y_grade_test dari split yang sama.
#
# Wajib ada kolom target multikelas:
# - grade_category
# =========================
# BONUS: Multiclass classification (grade_category)
# Input fitur = prediksi final_exam_score dari regresi
# =========================
target_multi = "grade_category"
if target_multi not in df.columns:
    raise ValueError(f"Kolom '{target_multi}' tidak ditemukan. Kolom tersedia: {list(df.columns)}")
# Jika Anda sudah split sebelumnya, pastikan split grade_category konsisten dengan X_train/X_test.
# Cara paling aman: lakukan split bersamaan di Bagian 3 (y_reg &amp; y_clf &amp; y_grade).
# Di sini diasumsikan Anda sudah punya:
# y_grade_train, y_grade_test
try:
    y_grade_train
    y_grade_test
except NameError:
    raise NameError(
        "Variabel y_grade_train dan y_grade_test belum ada. "
        "Pastikan saat train_test_split Anda ikut menyertakan df['grade_category']."
    )
# 1) Prediksi regresi -&gt; jadi fitur tunggal untuk klasifikasi multikelas
reg_pred_train = reg_pipe.predict(X_train).reshape(-1, 1)
reg_pred_test  = reg_pipe.predict(X_test).reshape(-1, 1)
# 2) Logistic Regression multikelas (softmax)
multi_clf = LogisticRegression(
    max_iter=2000,
    multi_class="multinomial",
    solver="lbfgs",
    random_state=42
)
multi_clf.fit(reg_pred_train, y_grade_train)
y_pred_multi = multi_clf.predict(reg_pred_test)
y_proba_multi = multi_clf.predict_proba(reg_pred_test)  # shape: (n_samples, n_classes)
classes = multi_clf.classes_
# 3) Evaluasi: Confusion Matrix + Accuracy + Precision/Recall (macro)
cm = confusion_matrix(y_grade_test, y_pred_multi, labels=classes)
print("Classes:", list(classes))
print("Confusion Matrix:\n", cm)
print("Accuracy        :", accuracy_score(y_grade_test, y_pred_multi))
print("Precision (macro):", precision_score(y_grade_test, y_pred_multi, average="macro", zero_division=0))
print("Recall (macro)   :", recall_score(y_grade_test, y_pred_multi, average="macro", zero_division=0))
disp = ConfusionMatrixDisplay(confusion_matrix=cm, display_labels=classes)
disp.plot(values_format="d", xticks_rotation=45)
plt.title("Confusion Matrix - Multiclass Logistic Regression (grade_category)")
plt.tight_layout()
plt.show()
# 4) ROC Curve &amp; AUC untuk multikelas (One-vs-Rest)
#    - Binarize label y_test menjadi matriks (n_samples, n_classes)
y_test_bin = label_binarize(y_grade_test, classes=classes)
# Jika ternyata hanya ada 2 kelas, label_binarize menghasilkan 1 kolom; tangani khusus
if y_test_bin.shape[1] == 1 and len(classes) == 2:
    # Binary ROC
    fpr, tpr, _ = roc_curve(y_test_bin.ravel(), y_proba_multi[:, 1])
    auc = roc_auc_score(y_test_bin.ravel(), y_proba_multi[:, 1])
    print("AUC (binary):", auc)
    plt.figure(figsize=(6, 5))
    plt.plot(fpr, tpr, label=f"ROC (AUC = {auc:.3f})")
    plt.plot([0, 1], [0, 1], "--", color="gray")
    plt.xlabel("False Positive Rate")
    plt.ylabel("True Positive Rate")
    plt.title("ROC Curve - grade_category (binary)")
    plt.legend(loc="lower right")
    plt.tight_layout()
    plt.show()
else:
    # Multiclass ROC per kelas + macro-average AUC
    auc_macro = roc_auc_score(y_test_bin, y_proba_multi, average="macro", multi_class="ovr")
    auc_weighted = roc_auc_score(y_test_bin, y_proba_multi, average="weighted", multi_class="ovr")
    print("AUC (macro, OVR)   :", auc_macro)
    print("AUC</t>
  </si>
  <si>
    <t>The prompt specifies a task related to regression and classification.</t>
  </si>
  <si>
    <t>Lacks clarity on the expected output and context for the code.</t>
  </si>
  <si>
    <t>Includes relevant libraries for data visualization.</t>
  </si>
  <si>
    <t>Does not address the prompt's request for a classification model or provide any relevant code.</t>
  </si>
  <si>
    <t>Provide a code example for a classification model using grade_category as the target variable.</t>
  </si>
  <si>
    <t>Include a complete code snippet that demonstrates a classification model for the specified target variable.</t>
  </si>
  <si>
    <t>{"prompt_score": 3, "response_score": 2, "overall_score": 2, "prompt_strengths": "The prompt specifies a task related to regression and classification.", "prompt_issues": "Lacks clarity on the expected output and context for the code.", "response_strengths": "Includes relevant libraries for data visualization.", "response_issues": "Does not address the prompt's request for a classification model or provide any relevant code.", "prompt_rewrite": "Provide a code example for a classification model using grade_category as the target variable.", "response_improvement_suggestions": "Include a complete code snippet that demonstrates a classification model for the specified target variable.", "verdict": "weak", "needs_human_review": false}</t>
  </si>
  <si>
    <t>[MODE:summary]
jika kolomnya seperti ini bagaimana
names = ["Pregnancies","Glukose","BloodPressure","SkinThickness","Insulin","BMI","DiabetesPedigreeFuntion","Age","Outcome"]</t>
  </si>
  <si>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</si>
  <si>
    <t>Clear and specific about the column names.</t>
  </si>
  <si>
    <t>Could provide more context on the intended use of the data.</t>
  </si>
  <si>
    <t>Accurate, complete, and clearly explains the process.</t>
  </si>
  <si>
    <t>Bagaimana cara menggunakan daftar kolom names = ["Pregnancies","Glukose","BloodPressure","SkinThickness","Insulin","BMI","DiabetesPedigreeFuntion","Age","Outcome"] saat membaca file CSV?</t>
  </si>
  <si>
    <t>Consider adding an example of the CSV file structure for clarity.</t>
  </si>
  <si>
    <t>{"prompt_score": 4, "response_score": 5, "overall_score": 5, "prompt_strengths": "Clear and specific about the column names.", "prompt_issues": "Could provide more context on the intended use of the data.", "response_strengths": "Accurate, complete, and clearly explains the process.", "response_issues": "None significant.", "prompt_rewrite": "Bagaimana cara menggunakan daftar kolom names = [\"Pregnancies\",\"Glukose\",\"BloodPressure\",\"SkinThickness\",\"Insulin\",\"BMI\",\"DiabetesPedigreeFuntion\",\"Age\",\"Outcome\"] saat membaca file CSV?", "response_improvement_suggestions": "Consider adding an example of the CSV file structure for clarity.", "verdict": "excellent", "needs_human_review": false}</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</si>
  <si>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</si>
  <si>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</si>
  <si>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```python
#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
```</t>
  </si>
  <si>
    <t>Clear and specific about the tasks and requirements.</t>
  </si>
  <si>
    <t>Comprehensive, correct, and well-structured code addressing all tasks.</t>
  </si>
  <si>
    <t>Saya sedang mengerjakan Praktikum Kecerdasan Mesin mengenai analisis performa akademik mahasiswa menggunakan dataset student_exam_performance_dataset. Tugas yang harus dilakukan: Persiapan fitur dan target untuk regresi dan klasifikasi dengan penjelasan lebih lanjut tentang dataset.</t>
  </si>
  <si>
    <t>Add comments to explain each step of the code for better clarity.</t>
  </si>
  <si>
    <t>{"prompt_score": 4, "response_score": 5, "overall_score": 5, "prompt_strengths": "Clear and specific about the tasks and requirements.", "prompt_issues": "Could provide more context on the dataset.", "response_strengths": "Comprehensive, correct, and well-structured code addressing all tasks.", "response_issues": "None significant; could include comments for clarity.", "prompt_rewrite": "Saya sedang mengerjakan Praktikum Kecerdasan Mesin mengenai analisis performa akademik mahasiswa menggunakan dataset student_exam_performance_dataset. Tugas yang harus dilakukan: Persiapan fitur dan target untuk regresi dan klasifikasi dengan penjelasan lebih lanjut tentang dataset.", "response_improvement_suggestions": "Add comments to explain each step of the code for better clarity.", "verdict": "excellent", "needs_human_review": false}</t>
  </si>
  <si>
    <t>[LANG:Python]
[MODE:summary_code_explanation]
sudah saya check lagi dari awal sampai akhir, tetapi accuracy yang saya dapat masih 11%, apakah ada yang saya salah juga diawal awalnya?</t>
  </si>
  <si>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</si>
  <si>
    <t>Clear and specific about the issue with accuracy.</t>
  </si>
  <si>
    <t>Thorough, relevant, and provides actionable steps.</t>
  </si>
  <si>
    <t>Saya mengalami masalah dengan akurasi model Logistic Regression yang hanya 11%. Apa yang mungkin salah dalam proses awal, dan bagaimana cara memperbaikinya?</t>
  </si>
  <si>
    <t>Consider summarizing key points to enhance clarity.</t>
  </si>
  <si>
    <t>{"prompt_score": 4, "response_score": 5, "overall_score": 5, "prompt_strengths": "Clear and specific about the issue with accuracy.", "prompt_issues": "Could provide more context about the dataset.", "response_strengths": "Thorough, relevant, and provides actionable steps.", "response_issues": "Could be slightly more concise.", "prompt_rewrite": "Saya mengalami masalah dengan akurasi model Logistic Regression yang hanya 11%. Apa yang mungkin salah dalam proses awal, dan bagaimana cara memperbaikinya?", "response_improvement_suggestions": "Consider summarizing key points to enhance clarity.", "verdict": "excellent", "needs_human_review": false}</t>
  </si>
  <si>
    <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</si>
  <si>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</si>
  <si>
    <t>Provides a detailed code context and specific error scenario.</t>
  </si>
  <si>
    <t>Could be clearer in specifying the expected output format.</t>
  </si>
  <si>
    <t>Addresses the error correctly and provides a comprehensive solution.</t>
  </si>
  <si>
    <t>Response is lengthy and could be more concise.</t>
  </si>
  <si>
    <t>[MODE:summary_code_explanation] # Explain the error related to 'y_pred_reg_train' and provide a solution with code examples.</t>
  </si>
  <si>
    <t>Summarize the solution more succinctly and highlight key steps.</t>
  </si>
  <si>
    <t>{"prompt_score": 3, "response_score": 4, "overall_score": 4, "prompt_strengths": "Provides a detailed code context and specific error scenario.", "prompt_issues": "Could be clearer in specifying the expected output format.", "response_strengths": "Addresses the error correctly and provides a comprehensive solution.", "response_issues": "Response is lengthy and could be more concise.", "prompt_rewrite": "[MODE:summary_code_explanation] # Explain the error related to 'y_pred_reg_train' and provide a solution with code examples.", "response_improvement_suggestions": "Summarize the solution more succinctly and highlight key steps.", "verdict": "good", "needs_human_review": false}</t>
  </si>
  <si>
    <t>[MODE:summary_code_explanation]
pipe = Pipeline([('scaler', StandardScaler()), ('svc', SVC())]) ubah dari sini saja sesuai yang tadi</t>
  </si>
  <si>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</si>
  <si>
    <t>The prompt specifies a clear task related to modifying a pipeline.</t>
  </si>
  <si>
    <t>Lacks clarity on what specific changes are needed beyond 'ubah dari sini saja'.</t>
  </si>
  <si>
    <t>The response provides a detailed and correct code modification with explanations.</t>
  </si>
  <si>
    <t>Could be more concise and focused on the specific changes requested in the prompt.</t>
  </si>
  <si>
    <t>[MODE:summary_code_explanation] Modify the pipeline to replace StandardScaler and SVC with preprocessing and SVR. Please provide the updated code.</t>
  </si>
  <si>
    <t>Summarize the changes more succinctly and directly relate them to the prompt's request.</t>
  </si>
  <si>
    <t>{"prompt_score": 3, "response_score": 4, "overall_score": 4, "prompt_strengths": "The prompt specifies a clear task related to modifying a pipeline.", "prompt_issues": "Lacks clarity on what specific changes are needed beyond 'ubah dari sini saja'.", "response_strengths": "The response provides a detailed and correct code modification with explanations.", "response_issues": "Could be more concise and focused on the specific changes requested in the prompt.", "prompt_rewrite": "[MODE:summary_code_explanation] Modify the pipeline to replace StandardScaler and SVC with preprocessing and SVR. Please provide the updated code.", "response_improvement_suggestions": "Summarize the changes more succinctly and directly relate them to the prompt's request.", "verdict": "good", "needs_human_review": false}</t>
  </si>
  <si>
    <t>[MODE:summary_code_explanation]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</si>
  <si>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</si>
  <si>
    <t>Clear and specific instructions for modeling scenarios.</t>
  </si>
  <si>
    <t>Relevant code provided with clear explanations of each step.</t>
  </si>
  <si>
    <t>Response is incomplete and cuts off before finishing the evaluation function.</t>
  </si>
  <si>
    <t>Build two logistic regression models to predict 'at_risk': 1. Scenario A: using only 'predicted_final_exam_score'. 2. Scenario B: using 'predicted_final_exam_score' plus additional engineered features. Display confusion matrix, accuracy, precision, recall, and F1-score for each scenario. Provide context on the dataset used.</t>
  </si>
  <si>
    <t>Complete the response by finishing the evaluation function and including the output of the metrics for both scenarios.</t>
  </si>
  <si>
    <t>{"prompt_score": 4, "response_score": 4, "overall_score": 4, "prompt_strengths": "Clear and specific instructions for modeling scenarios.", "prompt_issues": "Could provide more context on the dataset and expected output format.", "response_strengths": "Relevant code provided with clear explanations of each step.", "response_issues": "Response is incomplete and cuts off before finishing the evaluation function.", "prompt_rewrite": "Build two logistic regression models to predict 'at_risk': 1. Scenario A: using only 'predicted_final_exam_score'. 2. Scenario B: using 'predicted_final_exam_score' plus additional engineered features. Display confusion matrix, accuracy, precision, recall, and F1-score for each scenario. Provide context on the dataset used.", "response_improvement_suggestions": "Complete the response by finishing the evaluation function and including the output of the metrics for both scenarios.", "verdict": "good", "needs_human_review": false}</t>
  </si>
  <si>
    <t>[LANG:Python]
[MODE:summary_code_explanation]
sepertinya ada yang salah, "preprocessing" adalah sebuah variabel yang berisi banyak pipeline dalam satu kelas ColumnTransformer.</t>
  </si>
  <si>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</si>
  <si>
    <t>Clear context and specific request for explanation.</t>
  </si>
  <si>
    <t>Could provide more detail on what specifically seems wrong.</t>
  </si>
  <si>
    <t>Highly relevant, correct, and comprehensive explanation with code example.</t>
  </si>
  <si>
    <t>Could be slightly more concise in some explanations.</t>
  </si>
  <si>
    <t>[LANG:Python] [MODE:summary_code_explanation] Ada yang salah dengan penggunaan variabel "preprocessing" dalam ColumnTransformer. Bisa jelaskan lebih detail?</t>
  </si>
  <si>
    <t>{"prompt_score": 4, "response_score": 5, "overall_score": 4, "prompt_strengths": "Clear context and specific request for explanation.", "prompt_issues": "Could provide more detail on what specifically seems wrong.", "response_strengths": "Highly relevant, correct, and comprehensive explanation with code example.", "response_issues": "Could be slightly more concise in some explanations.", "prompt_rewrite": "[LANG:Python] [MODE:summary_code_explanation] Ada yang salah dengan penggunaan variabel \"preprocessing\" dalam ColumnTransformer. Bisa jelaskan lebih detail?", "response_improvement_suggestions": "Consider summarizing key points more succinctly to enhance clarity.", "verdict": "good", "needs_human_review": false}</t>
  </si>
  <si>
    <t>[MODE:summary_code_explanation]
dengan output program tersebut, apakah kita bisa menjawab pertanyaan ini:
Apakah nilai 0 dalam dataset tersebut wajar? atau harus anda hilangkan? jika ya kenapa</t>
  </si>
  <si>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</si>
  <si>
    <t>Clear and specific question about dataset handling.</t>
  </si>
  <si>
    <t>Thorough explanation with relevant code and reasoning.</t>
  </si>
  <si>
    <t>[MODE:summary_code_explanation] Dengan output program tersebut, apakah nilai 0 dalam dataset medis ini wajar? Jika tidak, bagaimana sebaiknya menanganinya?</t>
  </si>
  <si>
    <t>Summarize key points more succinctly to enhance clarity.</t>
  </si>
  <si>
    <t>{"prompt_score": 4, "response_score": 5, "overall_score": 4, "prompt_strengths": "Clear and specific question about dataset handling.", "prompt_issues": "Could provide more context on the dataset.", "response_strengths": "Thorough explanation with relevant code and reasoning.", "response_issues": "Could be more concise in some areas.", "prompt_rewrite": "[MODE:summary_code_explanation] Dengan output program tersebut, apakah nilai 0 dalam dataset medis ini wajar? Jika tidak, bagaimana sebaiknya menanganinya?", "response_improvement_suggestions": "Summarize key points more succinctly to enhance clarity.", "verdict": "good", "needs_human_review": false}</t>
  </si>
  <si>
    <t>[MODE:summary_code_explanation]
[ASSESSMENT_ID:1771cf81-0a65-11f1-b762-3e0936ad7efb]
[FORCE_GPT:true]
[AUTO_FALLBACK:true]
tolong bantu saya menjawab pertnyaan dibawah ini dengan benar dan terstruktur
Pertanyaan Refleksi
Apakah nilai precision lebih besar daripada nilai recall? Ataukah sebaliknya?
Jika nilai precision lebih besar daripada nilai recall atau sebaliknya, apakah artinya?</t>
  </si>
  <si>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</si>
  <si>
    <t>Clear and structured request for a specific analysis.</t>
  </si>
  <si>
    <t>Thorough explanation with relevant code and clear distinctions between precision and recall.</t>
  </si>
  <si>
    <t>Could include examples or scenarios for better understanding.</t>
  </si>
  <si>
    <t>Bantu saya menjawab pertanyaan refleksi tentang perbandingan nilai precision dan recall dengan jelas dan terstruktur.</t>
  </si>
  <si>
    <t>Add examples or scenarios to illustrate the concepts of precision and recall.</t>
  </si>
  <si>
    <t>{"prompt_score": 4, "response_score": 5, "overall_score": 4, "prompt_strengths": "Clear and structured request for a specific analysis.", "prompt_issues": "Could provide more context on the audience's knowledge level.", "response_strengths": "Thorough explanation with relevant code and clear distinctions between precision and recall.", "response_issues": "Could include examples or scenarios for better understanding.", "prompt_rewrite": "Bantu saya menjawab pertanyaan refleksi tentang perbandingan nilai precision dan recall dengan jelas dan terstruktur.", "response_improvement_suggestions": "Add examples or scenarios to illustrate the concepts of precision and recall.", "verdict": "good", "needs_human_review": false}</t>
  </si>
  <si>
    <t>[MODE:summary_code_explanation]
[ASSESSMENT_ID:1771cf8b-0a65-11f1-b762-3e0936ad7efb]
[FORCE_GPT:true]
[AUTO_FALLBACK:true]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</si>
  <si>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</si>
  <si>
    <t>Clear and specific about the bug and solution.</t>
  </si>
  <si>
    <t>Could provide more context on the function's purpose.</t>
  </si>
  <si>
    <t>Accurate, relevant, and provides a clear solution.</t>
  </si>
  <si>
    <t>None significant; well-structured explanation.</t>
  </si>
  <si>
    <t>Explain the bug in `linear_reg_cost_function` and how to fix it, including context on the function's role in the learning process.</t>
  </si>
  <si>
    <t>Consider adding a brief example of how the corrected function would be used.</t>
  </si>
  <si>
    <t>{"prompt_score": 4, "response_score": 5, "overall_score": 5, "prompt_strengths": "Clear and specific about the bug and solution.", "prompt_issues": "Could provide more context on the function's purpose.", "response_strengths": "Accurate, relevant, and provides a clear solution.", "response_issues": "None significant; well-structured explanation.", "prompt_rewrite": "Explain the bug in `linear_reg_cost_function` and how to fix it, including context on the function's role in the learning process.", "response_improvement_suggestions": "Consider adding a brief example of how the corrected function would be used.", "verdict": "excellent", "needs_human_review": false}</t>
  </si>
  <si>
    <t>[MODE:code]
saya sebagai mahasiswa semester 6 dengan matakuliah kecerdasan mesin akan melakaukan quiz dalam forum gform untuk soalnya yaitu Apa fungsi pipeline.predict(X_test)?
*
Prediksi data test
Training model
Menghapus dataset
Scaling data</t>
  </si>
  <si>
    <t>Prediksi data test</t>
  </si>
  <si>
    <t>```text
Prediksi data test
```</t>
  </si>
  <si>
    <t>Clear and specific question about a machine learning concept.</t>
  </si>
  <si>
    <t>Could provide more context about the quiz format.</t>
  </si>
  <si>
    <t>Directly answers the question correctly.</t>
  </si>
  <si>
    <t>Could elaborate on why 'Prediksi data test' is the correct answer.</t>
  </si>
  <si>
    <t>[MODE:code] Sebagai mahasiswa semester 6 dalam matakuliah kecerdasan mesin, saya akan mengikuti quiz di forum gform. Soal yang diberikan adalah: Apa fungsi pipeline.predict(X_test)? Pilihan jawaban: 1. Prediksi data test 2. Training model 3. Menghapus dataset 4. Scaling data. Mohon jelaskan pilihan yang benar.</t>
  </si>
  <si>
    <t>Provide a brief explanation of the answer to enhance understanding.</t>
  </si>
  <si>
    <t>{"prompt_score": 4, "response_score": 5, "overall_score": 4, "prompt_strengths": "Clear and specific question about a machine learning concept.", "prompt_issues": "Could provide more context about the quiz format.", "response_strengths": "Directly answers the question correctly.", "response_issues": "Could elaborate on why 'Prediksi data test' is the correct answer.", "prompt_rewrite": "[MODE:code] Sebagai mahasiswa semester 6 dalam matakuliah kecerdasan mesin, saya akan mengikuti quiz di forum gform. Soal yang diberikan adalah: Apa fungsi pipeline.predict(X_test)? Pilihan jawaban: 1. Prediksi data test 2. Training model 3. Menghapus dataset 4. Scaling data. Mohon jelaskan pilihan yang benar.", "response_improvement_suggestions": "Provide a brief explanation of the answer to enhance understanding.", "verdict": "good", "needs_human_review": false}</t>
  </si>
  <si>
    <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</si>
  <si>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</si>
  <si>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
```</t>
  </si>
  <si>
    <t>Could be clearer in separating the two parts of the task.</t>
  </si>
  <si>
    <t>Correctly implements the required code with clarity and completeness.</t>
  </si>
  <si>
    <t>Could include comments for better understanding of each step.</t>
  </si>
  <si>
    <t>Buatlah implementasi untuk menggambar grafik Precision-Recall dan membangun classifier untuk dataset MNIST. Pertama, gunakan dataset Pima Indian Diabetes untuk menggambar kurva precision dan recall. Kedua, implementasikan classifier yang mencapai akurasi 97% pada dataset MNIST. Sertakan semua kode yang diperlukan dalam Python.</t>
  </si>
  <si>
    <t>Add comments to explain each section of the code for better clarity.</t>
  </si>
  <si>
    <t>{"prompt_score": 4, "response_score": 5, "overall_score": 4, "prompt_strengths": "Detailed and specific about the task requirements.", "prompt_issues": "Could be clearer in separating the two parts of the task.", "response_strengths": "Correctly implements the required code with clarity and completeness.", "response_issues": "Could include comments for better understanding of each step.", "prompt_rewrite": "Buatlah implementasi untuk menggambar grafik Precision-Recall dan membangun classifier untuk dataset MNIST. Pertama, gunakan dataset Pima Indian Diabetes untuk menggambar kurva precision dan recall. Kedua, implementasikan classifier yang mencapai akurasi 97% pada dataset MNIST. Sertakan semua kode yang diperlukan dalam Python.", "response_improvement_suggestions": "Add comments to explain each section of the code for better clarity.", "verdict": "good", "needs_human_review": false}</t>
  </si>
  <si>
    <t>[MODE:code]
tolong jelaskan Mengapa feature scaling penting ketika fitur punya skala berbeda jauh dan jelaskan apa itu feature scaling?</t>
  </si>
  <si>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</si>
  <si>
    <t>```python
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
```</t>
  </si>
  <si>
    <t>Clear and specific about feature scaling importance.</t>
  </si>
  <si>
    <t>Thorough explanation with relevant examples and methods.</t>
  </si>
  <si>
    <t>[MODE:code] Jelaskan pentingnya feature scaling ketika fitur memiliki skala yang berbeda jauh dan definisikan feature scaling.</t>
  </si>
  <si>
    <t>Consider summarizing key points to enhance conciseness.</t>
  </si>
  <si>
    <t>{"prompt_score": 4, "response_score": 5, "overall_score": 4, "prompt_strengths": "Clear and specific about feature scaling importance.", "prompt_issues": "Could provide more context on the audience's knowledge level.", "response_strengths": "Thorough explanation with relevant examples and methods.", "response_issues": "Could be more concise in some areas.", "prompt_rewrite": "[MODE:code] Jelaskan pentingnya feature scaling ketika fitur memiliki skala yang berbeda jauh dan definisikan feature scaling.", "response_improvement_suggestions": "Consider summarizing key points to enhance conciseness.", "verdict": "good", "needs_human_review": false}</t>
  </si>
  <si>
    <t>[MODE:summary_code_explanation]
[ASSESSMENT_ID:1771cf81-0a65-11f1-b762-3e0936ad7efb]
[FORCE_GPT:true]
[AUTO_FALLBACK:true]
Mari kita gambar kurva precision vs. recall dengan pertama-tama memanggil precision_recall_curve dan argumen sbb:
y dan
y_scores.
from sklearn.metrics import precision_recall_curve
threshold = 0
##### Your Code Here #####
precisions, recalls, thresholds =</t>
  </si>
  <si>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</si>
  <si>
    <t>Lacks clarity on expected output format and specific details.</t>
  </si>
  <si>
    <t>Provides a clear summary and explanation of the code.</t>
  </si>
  <si>
    <t>Could include more context on the significance of precision-recall curves.</t>
  </si>
  <si>
    <t>Gambarkan kurva precision vs. recall dengan memanggil precision_recall_curve menggunakan y dan y_scores. Sertakan penjelasan tentang hasil yang diharapkan.</t>
  </si>
  <si>
    <t>Add a brief explanation of why precision-recall curves are important in model evaluation.</t>
  </si>
  <si>
    <t>{"prompt_score": 3, "response_score": 4, "overall_score": 3, "prompt_strengths": "Specifies the task and context clearly.", "prompt_issues": "Lacks clarity on expected output format and specific details.", "response_strengths": "Provides a clear summary and explanation of the code.", "response_issues": "Could include more context on the significance of precision-recall curves.", "prompt_rewrite": "Gambarkan kurva precision vs. recall dengan memanggil precision_recall_curve menggunakan y dan y_scores. Sertakan penjelasan tentang hasil yang diharapkan.", "response_improvement_suggestions": "Add a brief explanation of why precision-recall curves are important in model evaluation.", "verdict": "good", "needs_human_review": false}</t>
  </si>
  <si>
    <t>[MODE:code]
i need to show best score from grid_search based on RMSE from earlier input database course 2 machine learning</t>
  </si>
  <si>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</si>
  <si>
    <t>```python
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
```</t>
  </si>
  <si>
    <t>The prompt specifies the need for RMSE and grid search context.</t>
  </si>
  <si>
    <t>Lacks clarity and structure; could be more specific about the input data.</t>
  </si>
  <si>
    <t>The response is relevant, correct, and complete, providing a clear code example.</t>
  </si>
  <si>
    <t>Could include comments on the importance of RMSE in model evaluation.</t>
  </si>
  <si>
    <t>Show how to extract the best score from a grid search based on RMSE for a support vector regression model using a provided dataset.</t>
  </si>
  <si>
    <t>Add a brief explanation of RMSE and its significance in model evaluation.</t>
  </si>
  <si>
    <t>{"prompt_score": 3, "response_score": 5, "overall_score": 4, "prompt_strengths": "The prompt specifies the need for RMSE and grid search context.", "prompt_issues": "Lacks clarity and structure; could be more specific about the input data.", "response_strengths": "The response is relevant, correct, and complete, providing a clear code example.", "response_issues": "Could include comments on the importance of RMSE in model evaluation.", "prompt_rewrite": "Show how to extract the best score from a grid search based on RMSE for a support vector regression model using a provided dataset.", "response_improvement_suggestions": "Add a brief explanation of RMSE and its significance in model evaluation.", "verdict": "good", "needs_human_review": false}</t>
  </si>
  <si>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</si>
  <si>
    <t>Clear and specific request for code.</t>
  </si>
  <si>
    <t>Relevant, correct, and complete code with clear explanation.</t>
  </si>
  <si>
    <t>Saya sudah memuat dataset tentang data asuransi dan melakukan exploratory data analysis. Apa kode untuk membuat scatter plot yang menunjukkan pengaruh BMI terhadap charges dalam konteks ini?</t>
  </si>
  <si>
    <t>{"prompt_score": 4, "response_score": 5, "overall_score": 5, "prompt_strengths": "Clear and specific request for code.", "prompt_issues": "Could provide more context on the dataset.", "response_strengths": "Relevant, correct, and complete code with clear explanation.", "response_issues": "None.", "prompt_rewrite": "Saya sudah memuat dataset tentang data asuransi dan melakukan exploratory data analysis. Apa kode untuk membuat scatter plot yang menunjukkan pengaruh BMI terhadap charges dalam konteks ini?", "response_improvement_suggestions": "None needed; response is already comprehensive.", "verdict": "excellent", "needs_human_review": false}</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</si>
  <si>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</si>
  <si>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 ===== Feature selection (relevan) =====
# Gunakan semua kolom selain target sebagai fitur awal (lebih umum &amp; aman),
# lalu preprocessing akan menangani numerik/kategorikal.
feature_cols = [c for c in df.columns if c not in [reg_target, clf_target]]
X = df[feature_cols].copy()
y_reg = df[reg_target].copy()
y_clf_raw = df[clf_target].copy()
# ===== Convert classification labels to numeric if needed =====
def to_binary_numeric(series: pd.Series) -&gt; pd.Series:
    s = series.copy()
    if pd.api.types.is_numeric_dtype(s):
        uniq = pd.Series(s.dropna().unique())
        if len(uniq) &lt;= 2:
            return s.astype(int)
        return s
    s_str = s.astype(str).str.strip().str.lower()
    mapping = {
        "pass": 1, "passed": 1, "lulus": 1, "yes": 1, "y": 1, "true": 1, "1": 1,
        "fail": 0, "failed": 0, "tidak lulus": 0, "no": 0, "n": 0, "false": 0, "0": 0,
    }
    mapped = s_str.map(mapping)
    if mapped.isna().any():
        # fallback: factorize (tetap numerik)
        codes, uniques = pd.factorize(s_str, sort=True)
        if len(uniques) == 2:
            return pd.Series(codes, index=s.index).astype(int)
        return pd.Series(codes, index=s.index)
    return mapped.astype(int)
y_clf = to_binary_numeric(y_clf_raw)
# ===== Train-test split 80:20 =====
X_train, X_test, y_reg_train, y_reg_test, y_clf_train, y_clf_test = train_test_split(
    X, y_reg, y_clf, test_size=0.2, random_state=42, stratify=y_clf if y_clf.nunique() == 2 else None
)
# ===== Preprocessing =====
numeric_features = X.select_dtypes(include=["number"]).columns.tolist()
categorical_features = [c for c in X.columns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Regression model =====
reg_model = Pipeline(steps=[
    ("preprocess", preprocess),
    ("model", LinearRegression()),
])
reg_model.fit(X_train, y_reg_train)
# Prediksi regresi sebagai fitur tambahan untuk klasifikasi
reg_pred_train = reg_model.predict(X_train)
reg_pred_test = reg_model.predict(X_test)
# ===== Classification model (uses regression predictions as input) =====
# Input klasifikasi = fitur asli + 1 fitur tambahan (prediksi regresi)
X_train_clf = X_train.copy()
X_test_clf = X_test.copy()
X_train_clf["reg_pred_final_exam_score"] = reg_pred_train
X_test_clf["reg_pred_final_exam_score"] = reg_pred_test
numeric_features_clf = X_train_clf.select_dtypes(include=["number"]).columns.tolist()
categorical_features_clf = [c for c in X_train_clf.columns if c not in numeric_features_clf]
preprocess_clf = ColumnTransformer(
    transformers=[
        ("num", Pipeline([("imputer", SimpleImputer(strategy="median"))]), numeric_features_clf),
        ("cat", Pipeline([("imputer", SimpleImputer(strategy="most_frequent")),
                         ("onehot", OneHotEncoder(handle_unknown="ignore"))]), categorical_features_clf),
    ],
    remainder="drop",</t>
  </si>
  <si>
    <t>Clear and specific about tasks and requirements.</t>
  </si>
  <si>
    <t>Could provide more context on the dataset and features.</t>
  </si>
  <si>
    <t>Includes relevant libraries and initial setup for the tasks.</t>
  </si>
  <si>
    <t>Lacks complete implementation and clarity on how to proceed with the tasks.</t>
  </si>
  <si>
    <t>Implement regression and classification tasks: Target regression: final_exam_score. Select relevant features. Target classification: pass_fail (convert labels to numeric if needed). Use regression predictions as input for classification. Split data into training and testing sets (80:20). Provide context on dataset.</t>
  </si>
  <si>
    <t>Include complete code for data preprocessing, model training, and evaluation for both regression and classification tasks.</t>
  </si>
  <si>
    <t>{"prompt_score": 4, "response_score": 3, "overall_score": 3, "prompt_strengths": "Clear and specific about tasks and requirements.", "prompt_issues": "Could provide more context on the dataset and features.", "response_strengths": "Includes relevant libraries and initial setup for the tasks.", "response_issues": "Lacks complete implementation and clarity on how to proceed with the tasks.", "prompt_rewrite": "Implement regression and classification tasks: Target regression: final_exam_score. Select relevant features. Target classification: pass_fail (convert labels to numeric if needed). Use regression predictions as input for classification. Split data into training and testing sets (80:20). Provide context on dataset.", "response_improvement_suggestions": "Include complete code for data preprocessing, model training, and evaluation for both regression and classification tasks.", "verdict": "fair", "needs_human_review": false}</t>
  </si>
  <si>
    <t>[MODE:code]
bagaimana caranya Extract semua baris dan kolom ke-1 s.d. ke-7 ke dalam variabel X
##### Your Code Here #####
X =</t>
  </si>
  <si>
    <t>X = dataframe.iloc[:, 0:7]</t>
  </si>
  <si>
    <t>```python
X = dataframe.iloc[:, 0:7]
```</t>
  </si>
  <si>
    <t>Could provide more context on the data structure.</t>
  </si>
  <si>
    <t>Correct and concise code for the task.</t>
  </si>
  <si>
    <t>[MODE:code] Bagaimana cara mengekstrak semua baris dan kolom ke-1 hingga ke-7 dari dataframe ke dalam variabel X? ##### Your Code Here ##### X =</t>
  </si>
  <si>
    <t>None needed; the response is already complete.</t>
  </si>
  <si>
    <t>{"prompt_score": 4, "response_score": 5, "overall_score": 5, "prompt_strengths": "Clear and specific about the task.", "prompt_issues": "Could provide more context on the data structure.", "response_strengths": "Correct and concise code for the task.", "response_issues": "None.", "prompt_rewrite": "[MODE:code] Bagaimana cara mengekstrak semua baris dan kolom ke-1 hingga ke-7 dari dataframe ke dalam variabel X? ##### Your Code Here ##### X =", "response_improvement_suggestions": "None needed; the response is already complete.", "verdict": "excellent", "needs_human_review": false}</t>
  </si>
  <si>
    <t>[MODE:code]
saya diminta untuk 
melakukan langkah berikut: 
Load dataset student_exam_performance_dataset (1).csv. 
Tampilkan 5 baris pertama. 
Tampilkan ukuran dataset (jumlah baris dan kolom). 
Tampilkan tipe data setiap kolom.
berikan saya codenya</t>
  </si>
  <si>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</si>
  <si>
    <t>```python
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
```</t>
  </si>
  <si>
    <t>Clear and specific instructions.</t>
  </si>
  <si>
    <t>Could specify the programming language explicitly.</t>
  </si>
  <si>
    <t>Load dataset 'student_exam_performance_dataset (1).csv' using Python. Display the first 5 rows, the size of the dataset, and the data types of each column.</t>
  </si>
  <si>
    <t>{"prompt_score": 4, "response_score": 5, "overall_score": 5, "prompt_strengths": "Clear and specific instructions.", "prompt_issues": "Could specify the programming language explicitly.", "response_strengths": "Correct and complete code with clear output statements.", "response_issues": "None.", "prompt_rewrite": "Load dataset 'student_exam_performance_dataset (1).csv' using Python. Display the first 5 rows, the size of the dataset, and the data types of each column.", "response_improvement_suggestions": "None needed; the response is already complete.", "verdict": "excellent", "needs_human_review": false}</t>
  </si>
  <si>
    <t>[LANG:Python]
[MODE:code]
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</si>
  <si>
    <t># Latih grid_search pada 6000 data pertama (aman untuk pandas/numpy)
n = min(6000, len(housing), len(housing_labels))
X_6000 = housing.iloc[:n] if hasattr(housing, "iloc") else housing[:n]
y_6000 = housing_labels.iloc[:n] if hasattr(housing_labels, "iloc") else housing_labels[:n]
grid_search.fit(X_6000, y_6000)</t>
  </si>
  <si>
    <t>```python
# Latih grid_search pada 6000 data pertama (aman untuk pandas/numpy)
n = min(6000, len(housing), len(housing_labels))
X_6000 = housing.iloc[:n] if hasattr(housing, "iloc") else housing[:n]
y_6000 = housing_labels.iloc[:n] if hasattr(housing_labels, "iloc") else housing_labels[:n]
grid_search.fit(X_6000, y_6000)
```</t>
  </si>
  <si>
    <t>Could provide more context about the data.</t>
  </si>
  <si>
    <t>Correct and complete code for the task.</t>
  </si>
  <si>
    <t>Tolong tuliskan kode untuk melatih grid_search pada 6000 data pertama dari dataset housing dan housing_labels.</t>
  </si>
  <si>
    <t>{"prompt_score": 4, "response_score": 5, "overall_score": 4, "prompt_strengths": "Clear and specific about the task.", "prompt_issues": "Could provide more context about the data.", "response_strengths": "Correct and complete code for the task.", "response_issues": "None.", "prompt_rewrite": "Tolong tuliskan kode untuk melatih grid_search pada 6000 data pertama dari dataset housing dan housing_labels.", "response_improvement_suggestions": "None needed; the response is already complete.", "verdict": "good", "needs_human_review": false}</t>
  </si>
  <si>
    <t>[MODE:code]
buatkan sebuah kode scatter plot untuk melihat pengaruh bmi terhadap charges menggunakan bahasa pemrograman python</t>
  </si>
  <si>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</si>
  <si>
    <t>```python
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
```</t>
  </si>
  <si>
    <t>Clear and specific request for a scatter plot code.</t>
  </si>
  <si>
    <t>Could specify the dataset structure for better context.</t>
  </si>
  <si>
    <t>Correct and complete code with clear visualization instructions.</t>
  </si>
  <si>
    <t>None significant; assumes user has the correct dataset.</t>
  </si>
  <si>
    <t>Buatkan kode scatter plot menggunakan Python untuk menganalisis pengaruh BMI terhadap charges dari dataset 'insurance.csv'.</t>
  </si>
  <si>
    <t>Include a brief explanation of the code for better understanding.</t>
  </si>
  <si>
    <t>{"prompt_score": 4, "response_score": 5, "overall_score": 5, "prompt_strengths": "Clear and specific request for a scatter plot code.", "prompt_issues": "Could specify the dataset structure for better context.", "response_strengths": "Correct and complete code with clear visualization instructions.", "response_issues": "None significant; assumes user has the correct dataset.", "prompt_rewrite": "Buatkan kode scatter plot menggunakan Python untuk menganalisis pengaruh BMI terhadap charges dari dataset 'insurance.csv'.", "response_improvement_suggestions": "Include a brief explanation of the code for better understanding.", "verdict": "excellent", "needs_human_review": false}</t>
  </si>
  <si>
    <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</si>
  <si>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</si>
  <si>
    <t>Clear and specific quiz questions.</t>
  </si>
  <si>
    <t>Could provide more context on the quiz topic.</t>
  </si>
  <si>
    <t>Accurate, clear, and complete feedback.</t>
  </si>
  <si>
    <t>Could elaborate more on the implications of RMSE sensitivity.</t>
  </si>
  <si>
    <t>Periksa jawaban kuis berikut tentang OneHotEncoder dan RMSE: Apa fungsi OneHotEncoder? [ ] Menghapus fitur [ ] Menghapus dataset [ ] Mengubah label [x] Mengubah kategori menjadi numerik. RMSE digunakan untuk: [x] Mengukur error regresi [ ] Menghapus outlier [ ] Menghitung jumlah fitur [ ] Mengukur akurasi klasifikasi. Apa perbedaan RMSE dan MAE? [ ] MAE lebih sensitif terhadap outlier [ ] MAE hanya untuk clustering [ ] RMSE hanya untuk klasifikasi [x] RMSE lebih sensitif terhadap outlier.</t>
  </si>
  <si>
    <t>Include examples of how RMSE sensitivity affects model evaluation.</t>
  </si>
  <si>
    <t>{"prompt_score": 4, "response_score": 5, "overall_score": 4, "prompt_strengths": "Clear and specific quiz questions.", "prompt_issues": "Could provide more context on the quiz topic.", "response_strengths": "Accurate, clear, and complete feedback.", "response_issues": "Could elaborate more on the implications of RMSE sensitivity.", "prompt_rewrite": "Periksa jawaban kuis berikut tentang OneHotEncoder dan RMSE: Apa fungsi OneHotEncoder? [ ] Menghapus fitur [ ] Menghapus dataset [ ] Mengubah label [x] Mengubah kategori menjadi numerik. RMSE digunakan untuk: [x] Mengukur error regresi [ ] Menghapus outlier [ ] Menghitung jumlah fitur [ ] Mengukur akurasi klasifikasi. Apa perbedaan RMSE dan MAE? [ ] MAE lebih sensitif terhadap outlier [ ] MAE hanya untuk clustering [ ] RMSE hanya untuk klasifikasi [x] RMSE lebih sensitif terhadap outlier.", "response_improvement_suggestions": "Include examples of how RMSE sensitivity affects model evaluation.", "verdict": "good", "needs_human_review": false}</t>
  </si>
  <si>
    <t>[MODE:code]
Sekarang, kita akan lihat hasil dari model yang di train menggunakan linear regression.
bagaimana cara mengeksekusi langkah tersebut?</t>
  </si>
  <si>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</si>
  <si>
    <t>```python
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
```</t>
  </si>
  <si>
    <t>Comprehensive and correctly implements linear regression.</t>
  </si>
  <si>
    <t>None significant; very clear and helpful.</t>
  </si>
  <si>
    <t>Bagaimana cara mengeksekusi langkah untuk melihat hasil model linear regression pada dataset tertentu?</t>
  </si>
  <si>
    <t>Consider adding comments to explain each step in the code.</t>
  </si>
  <si>
    <t>{"prompt_score": 4, "response_score": 5, "overall_score": 5, "prompt_strengths": "Clear and specific about the task.", "prompt_issues": "Could provide more context on the dataset.", "response_strengths": "Comprehensive and correctly implements linear regression.", "response_issues": "None significant; very clear and helpful.", "prompt_rewrite": "Bagaimana cara mengeksekusi langkah untuk melihat hasil model linear regression pada dataset tertentu?", "response_improvement_suggestions": "Consider adding comments to explain each step in the code.", "verdict": "excellent", "needs_human_review": false}</t>
  </si>
  <si>
    <t>[MODE:summary_code_explanation]
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</si>
  <si>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</si>
  <si>
    <t>Accurate, complete, and well-structured code explanation.</t>
  </si>
  <si>
    <t>Buat instance dari kelas KNeighborsClassifier dan lakukan Grid Search dengan GridSearchCV menggunakan 5-fold cross-validation pada dataset yang diberikan. Tampilkan best hyperparameter dan nilai score terbaik, lalu latih model dengan hyperparameter tersebut dan evaluasi akurasinya pada test set.</t>
  </si>
  <si>
    <t>{"prompt_score": 4, "response_score": 5, "overall_score": 5, "prompt_strengths": "Clear instructions with specific tasks.", "prompt_issues": "Could provide more context on the dataset.", "response_strengths": "Accurate, complete, and well-structured code explanation.", "response_issues": "None noted.", "prompt_rewrite": "Buat instance dari kelas KNeighborsClassifier dan lakukan Grid Search dengan GridSearchCV menggunakan 5-fold cross-validation pada dataset yang diberikan. Tampilkan best hyperparameter dan nilai score terbaik, lalu latih model dengan hyperparameter tersebut dan evaluasi akurasinya pada test set.", "response_improvement_suggestions": "None needed; response is already comprehensive.", "verdict": "excellent", "needs_human_review": false}</t>
  </si>
  <si>
    <t>[LANG:Python]
[MODE:code]
ok, sekarang code telah membaca file csv khususnya pada file housing_labels.csv . dan sekarang kita harus mencari nilai null. pada pandas, perintah apa yang diperlukan untuk menggunakannya? housing_labels.info()? housing_labels.describe()? atau apa</t>
  </si>
  <si>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</si>
  <si>
    <t>```python
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
```</t>
  </si>
  <si>
    <t>Clear context and specific question about handling null values in pandas.</t>
  </si>
  <si>
    <t>Provides correct and complete code with explanations for handling null values.</t>
  </si>
  <si>
    <t>None significant; response is thorough.</t>
  </si>
  <si>
    <t>Apa perintah di pandas untuk mencari nilai null dalam file housing_labels.csv yang telah dibaca?</t>
  </si>
  <si>
    <t>None; response is already comprehensive.</t>
  </si>
  <si>
    <t>{"prompt_score": 4, "response_score": 5, "overall_score": 5, "prompt_strengths": "Clear context and specific question about handling null values in pandas.", "prompt_issues": "Could be slightly more concise.", "response_strengths": "Provides correct and complete code with explanations for handling null values.", "response_issues": "None significant; response is thorough.", "prompt_rewrite": "Apa perintah di pandas untuk mencari nilai null dalam file housing_labels.csv yang telah dibaca?", "response_improvement_suggestions": "None; response is already comprehensive.", "verdict": "excellent", "needs_human_review": false}</t>
  </si>
  <si>
    <t>[MODE:summary_code_explanation]
Selanjutnya, kita coba menghitung ROC Area Under Curve (AUC) from sklearn.metrics import roc_auc_score ##### Your Code Here #####</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</si>
  <si>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</si>
  <si>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Could provide more context on input data.</t>
  </si>
  <si>
    <t>[MODE:summary_code_explanation] Hitung ROC Area Under Curve (AUC) menggunakan data asli `y` dan skor keputusan `y_scores`. Pastikan untuk menjelaskan input yang digunakan.</t>
  </si>
  <si>
    <t>Consider adding an example of input data for clarity.</t>
  </si>
  <si>
    <t>{"prompt_score": 4, "response_score": 5, "overall_score": 5, "prompt_strengths": "Clear and specific about the task.", "prompt_issues": "Could provide more context on input data.", "response_strengths": "Accurate, complete, and clearly explains the code.", "response_issues": "None.", "prompt_rewrite": "[MODE:summary_code_explanation] Hitung ROC Area Under Curve (AUC) menggunakan data asli `y` dan skor keputusan `y_scores`. Pastikan untuk menjelaskan input yang digunakan.", "response_improvement_suggestions": "Consider adding an example of input data for clarity.", "verdict": "excellent", "needs_human_review": false}</t>
  </si>
  <si>
    <t>[MODE:summary_code_explanation]
6. Bonus
Buat ranking 10 mahasiswa paling berisiko berdasarkan probabilitas model terbaik. Berikan saya jawabannya</t>
  </si>
  <si>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</si>
  <si>
    <t>Clear and specific request for ranking students based on risk probability.</t>
  </si>
  <si>
    <t>Could provide more context on the data or model specifics.</t>
  </si>
  <si>
    <t>Thorough explanation with complete code and clear steps for implementation.</t>
  </si>
  <si>
    <t>Could include a brief summary of the output or interpretation of results.</t>
  </si>
  <si>
    <t>[MODE:summary_code_explanation] 6. Buat ranking 10 mahasiswa paling berisiko berdasarkan probabilitas model Logistic Regression terbaik. Sertakan konteks data dan model yang digunakan.</t>
  </si>
  <si>
    <t>Add a brief summary of the output and its implications for intervention.</t>
  </si>
  <si>
    <t>{"prompt_score": 4, "response_score": 5, "overall_score": 5, "prompt_strengths": "Clear and specific request for ranking students based on risk probability.", "prompt_issues": "Could provide more context on the data or model specifics.", "response_strengths": "Thorough explanation with complete code and clear steps for implementation.", "response_issues": "Could include a brief summary of the output or interpretation of results.", "prompt_rewrite": "[MODE:summary_code_explanation] 6. Buat ranking 10 mahasiswa paling berisiko berdasarkan probabilitas model Logistic Regression terbaik. Sertakan konteks data dan model yang digunakan.", "response_improvement_suggestions": "Add a brief summary of the output and its implications for intervention.", "verdict": "excellent", "needs_human_review": false}</t>
  </si>
  <si>
    <t>[MODE:summary_code_explanation]
please help me to correct the error code to re edit code for me and try again to me again please okay</t>
  </si>
  <si>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</si>
  <si>
    <t>Attempts to request help with code errors.</t>
  </si>
  <si>
    <t>Lacks clarity and specificity; unclear about the error and what needs correction.</t>
  </si>
  <si>
    <t>Provides a detailed code example and relevant suggestions for error handling.</t>
  </si>
  <si>
    <t>Assumes knowledge of the error without asking for specifics; could be more concise.</t>
  </si>
  <si>
    <t>Please help me correct my code error. I need specific guidance on what the error is.</t>
  </si>
  <si>
    <t>Ask for the specific error message to provide more targeted assistance.</t>
  </si>
  <si>
    <t>{"prompt_score": 2, "response_score": 4, "overall_score": 3, "prompt_strengths": "Attempts to request help with code errors.", "prompt_issues": "Lacks clarity and specificity; unclear about the error and what needs correction.", "response_strengths": "Provides a detailed code example and relevant suggestions for error handling.", "response_issues": "Assumes knowledge of the error without asking for specifics; could be more concise.", "prompt_rewrite": "Please help me correct my code error. I need specific guidance on what the error is.", "response_improvement_suggestions": "Ask for the specific error message to provide more targeted assistance.", "verdict": "fair", "needs_human_review": false}</t>
  </si>
  <si>
    <t>[MODE:summary_code_explanation]
[ASSESSMENT_ID:1771cf8b-0a65-11f1-b762-3e0936ad7efb]
[FORCE_GPT:true]
[AUTO_FALLBACK:true]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</si>
  <si>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</si>
  <si>
    <t>Could provide more context on the purpose of the function.</t>
  </si>
  <si>
    <t>Accurate, complete, and clearly explains the implementation.</t>
  </si>
  <si>
    <t>Lengkapi fungsi learning_curve untuk menghitung training dan validation error berdasarkan ukuran data latih. Gunakan alpha = 0 saat menghitung error.</t>
  </si>
  <si>
    <t>{"prompt_score": 4, "response_score": 5, "overall_score": 5, "prompt_strengths": "Clear instructions and specific requirements.", "prompt_issues": "Could provide more context on the purpose of the function.", "response_strengths": "Accurate, complete, and clearly explains the implementation.", "response_issues": "None identified.", "prompt_rewrite": "Lengkapi fungsi learning_curve untuk menghitung training dan validation error berdasarkan ukuran data latih. Gunakan alpha = 0 saat menghitung error.", "response_improvement_suggestions": "None needed; response is already comprehensive.", "verdict": "excellent", "needs_human_review": false}</t>
  </si>
  <si>
    <t>[LANG:Python]
[MODE:summary_code_explanation]
[ASSESSMENT_ID:1771cf7a-0a65-11f1-b762-3e0936ad7efb]
[FORCE_GPT:true]
[AUTO_FALLBACK:true]
setelah itu Sekarang, kita akan lihat hasil dari model yang di train menggunakan linear regression. pred = ## YOUR CODE HERE ##</t>
  </si>
  <si>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</si>
  <si>
    <t>The prompt specifies the programming language and mode clearly.</t>
  </si>
  <si>
    <t>Lacks clarity in the task and specific instructions for the code.</t>
  </si>
  <si>
    <t>The response is relevant, correct, and provides a clear explanation.</t>
  </si>
  <si>
    <t>Could include more detail on the context of the model's application.</t>
  </si>
  <si>
    <t>Provide a clear task for implementing and evaluating a linear regression model in Python.</t>
  </si>
  <si>
    <t>Add examples of interpreting the predictions or evaluating model performance.</t>
  </si>
  <si>
    <t>{"prompt_score": 3, "response_score": 4, "overall_score": 4, "prompt_strengths": "The prompt specifies the programming language and mode clearly.", "prompt_issues": "Lacks clarity in the task and specific instructions for the code.", "response_strengths": "The response is relevant, correct, and provides a clear explanation.", "response_issues": "Could include more detail on the context of the model's application.", "prompt_rewrite": "Provide a clear task for implementing and evaluating a linear regression model in Python.", "response_improvement_suggestions": "Add examples of interpreting the predictions or evaluating model performance.", "verdict": "good", "needs_human_review": false}</t>
  </si>
  <si>
    <t>[MODE:summary_code_explanation]
gimana cara bangun model regresi untuk memprediksi `final_exam_score` menggunakan:
1. `LinearRegression`
2. `Ridge` dengan `alpha=1.0`</t>
  </si>
  <si>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</si>
  <si>
    <t>None significant; all aspects of the prompt are addressed.</t>
  </si>
  <si>
    <t>Bagaimana cara membangun model regresi untuk memprediksi `final_exam_score` menggunakan `LinearRegression` dan `Ridge` dengan `alpha=1.0`, serta menjelaskan langkah-langkahnya?</t>
  </si>
  <si>
    <t>Consider adding comments on potential pitfalls in model evaluation.</t>
  </si>
  <si>
    <t>{"prompt_score": 4, "response_score": 5, "overall_score": 5, "prompt_strengths": "Clear and specific about the task.", "prompt_issues": "Could provide more context on the dataset.", "response_strengths": "Comprehensive, correct, and well-structured code with explanations.", "response_issues": "None significant; all aspects of the prompt are addressed.", "prompt_rewrite": "Bagaimana cara membangun model regresi untuk memprediksi `final_exam_score` menggunakan `LinearRegression` dan `Ridge` dengan `alpha=1.0`, serta menjelaskan langkah-langkahnya?", "response_improvement_suggestions": "Consider adding comments on potential pitfalls in model evaluation.", "verdict": "excellent", "needs_human_review": false}</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</si>
  <si>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</si>
  <si>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</si>
  <si>
    <t>Detailed explanation of ClusterSimilarity and its functions.</t>
  </si>
  <si>
    <t>Could be more concise; some sections are overly technical.</t>
  </si>
  <si>
    <t>Clear, relevant, and comprehensive explanation of the additional functions.</t>
  </si>
  <si>
    <t>Could include more examples for better understanding.</t>
  </si>
  <si>
    <t>Explain the ClusterSimilarity class and its functions, focusing on clarity and conciseness.</t>
  </si>
  <si>
    <t>Add more intuitive examples to illustrate the functions' applications.</t>
  </si>
  <si>
    <t>{"prompt_score": 4, "response_score": 5, "overall_score": 4, "prompt_strengths": "Detailed explanation of ClusterSimilarity and its functions.", "prompt_issues": "Could be more concise; some sections are overly technical.", "response_strengths": "Clear, relevant, and comprehensive explanation of the additional functions.", "response_issues": "Could include more examples for better understanding.", "prompt_rewrite": "Explain the ClusterSimilarity class and its functions, focusing on clarity and conciseness.", "response_improvement_suggestions": "Add more intuitive examples to illustrate the functions' applications.", "verdict": "good", "needs_human_review": false}</t>
  </si>
  <si>
    <t>[MODE:summary]
sekarang untuk kalimat ini "- Ada Kecenderungan BMI makin tinggi --&gt; charges makin naik - penyebaran sangat kebar"</t>
  </si>
  <si>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</si>
  <si>
    <t>Addresses a specific topic with a clear directive.</t>
  </si>
  <si>
    <t>Lacks clarity in the context and constraints.</t>
  </si>
  <si>
    <t>Relevant and provides a comprehensive explanation.</t>
  </si>
  <si>
    <t>Could be clearer in summarizing the key points.</t>
  </si>
  <si>
    <t>[MODE:summary] Ringkasan tentang hubungan antara BMI dan biaya asuransi.</t>
  </si>
  <si>
    <t>Summarize the key points more succinctly.</t>
  </si>
  <si>
    <t>{"prompt_score": 3, "response_score": 4, "overall_score": 4, "prompt_strengths": "Addresses a specific topic with a clear directive.", "prompt_issues": "Lacks clarity in the context and constraints.", "response_strengths": "Relevant and provides a comprehensive explanation.", "response_issues": "Could be clearer in summarizing the key points.", "prompt_rewrite": "[MODE:summary] Ringkasan tentang hubungan antara BMI dan biaya asuransi.", "response_improvement_suggestions": "Summarize the key points more succinctly.", "verdict": "good", "needs_human_review": false}</t>
  </si>
  <si>
    <t>Clear context and specific expectations.</t>
  </si>
  <si>
    <t>Could provide more details on the expected output format.</t>
  </si>
  <si>
    <t>N/A</t>
  </si>
  <si>
    <t>[MODE:summary_code_explanation]
setelah saya berhasil menggunakan gridsearchv tolong berikan saya kode untuk menampilkan 6000 data menggunakan grid search saya ingin menggunakan gridsearch.fit</t>
  </si>
  <si>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</si>
  <si>
    <t>Clear request for code and context provided.</t>
  </si>
  <si>
    <t>Could specify the format of the output data more clearly.</t>
  </si>
  <si>
    <t>Could include more context on the data structure.</t>
  </si>
  <si>
    <t>Setelah menggunakan GridSearchCV, berikan kode untuk menampilkan 6000 data pertama dan hasil prediksi dari model terbaik.</t>
  </si>
  <si>
    <t>Add a brief explanation of the data structure and the purpose of the target column.</t>
  </si>
  <si>
    <t>{"prompt_score": 4, "response_score": 5, "overall_score": 4, "prompt_strengths": "Clear request for code and context provided.", "prompt_issues": "Could specify the format of the output data more clearly.", "response_strengths": "Correct and complete code with clear explanations.", "response_issues": "Could include more context on the data structure.", "prompt_rewrite": "Setelah menggunakan GridSearchCV, berikan kode untuk menampilkan 6000 data pertama dan hasil prediksi dari model terbaik.", "response_improvement_suggestions": "Add a brief explanation of the data structure and the purpose of the target column.", "verdict": "good", "needs_human_review": false}</t>
  </si>
  <si>
    <t>[MODE:code]
grid_search belum di-fit() atau bukan objek GridSearchCV. gimana agar
si grid_search bisa di progres</t>
  </si>
  <si>
    <t># Jalankan ini agar grid_search "berproses" (fit) lalu tampilkan best params
# pastikan rf_pipeline dan param_grid sudah dibuat sebelumnya
grid_search.fit(X_train, y_train)
print("Best params:", grid_search.best_params_)
print("Best CV RMSE:", -grid_search.best_score_)</t>
  </si>
  <si>
    <t>```python
# Jalankan ini agar grid_search "berproses" (fit) lalu tampilkan best params
# pastikan rf_pipeline dan param_grid sudah dibuat sebelumnya
grid_search.fit(X_train, y_train)
print("Best params:", grid_search.best_params_)
print("Best CV RMSE:", -grid_search.best_score_)
```</t>
  </si>
  <si>
    <t>The prompt is specific about the issue with grid_search.</t>
  </si>
  <si>
    <t>Lacks clarity and context for users unfamiliar with the code.</t>
  </si>
  <si>
    <t>The response provides a clear solution and relevant code.</t>
  </si>
  <si>
    <t>Could include more context or explanation for clarity.</t>
  </si>
  <si>
    <t>Bagaimana cara memproses objek grid_search yang belum di-fit() dalam GridSearchCV?</t>
  </si>
  <si>
    <t>Add a brief explanation of what the code does for better understanding.</t>
  </si>
  <si>
    <t>{"prompt_score": 3, "response_score": 4, "overall_score": 3, "prompt_strengths": "The prompt is specific about the issue with grid_search.", "prompt_issues": "Lacks clarity and context for users unfamiliar with the code.", "response_strengths": "The response provides a clear solution and relevant code.", "response_issues": "Could include more context or explanation for clarity.", "prompt_rewrite": "Bagaimana cara memproses objek grid_search yang belum di-fit() dalam GridSearchCV?", "response_improvement_suggestions": "Add a brief explanation of what the code does for better understanding.", "verdict": "good", "needs_human_review": false}</t>
  </si>
  <si>
    <t>[LANG:Python]
[MODE:summary_code_explanation]
bagaimana cara melakukan prediksi dari model yand di train menggunakan linear regression. Menggunakan bahasa python</t>
  </si>
  <si>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</si>
  <si>
    <t>Could specify the expected output format.</t>
  </si>
  <si>
    <t>Comprehensive explanation with clear code example.</t>
  </si>
  <si>
    <t>[LANG:Python] [MODE:summary_code_explanation] Bagaimana cara melakukan prediksi dari model yang di-train menggunakan linear regression dalam bahasa Python? Sertakan format output yang diharapkan.</t>
  </si>
  <si>
    <t>{"prompt_score": 4, "response_score": 5, "overall_score": 5, "prompt_strengths": "Clear and specific about the task.", "prompt_issues": "Could specify the expected output format.", "response_strengths": "Comprehensive explanation with clear code example.", "response_issues": "None.", "prompt_rewrite": "[LANG:Python] [MODE:summary_code_explanation] Bagaimana cara melakukan prediksi dari model yang di-train menggunakan linear regression dalam bahasa Python? Sertakan format output yang diharapkan.", "response_improvement_suggestions": "None needed; response is already excellent.", "verdict": "excellent", "needs_human_review": false}</t>
  </si>
  <si>
    <t>[MODE:code]
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</si>
  <si>
    <t>print(f"Accuracy: {results.mean()*100:.2f}% ({results.std()*100:.2f}%)")</t>
  </si>
  <si>
    <t>```python
print(f"Accuracy: {results.mean()*100:.2f}% ({results.std()*100:.2f}%)")
```</t>
  </si>
  <si>
    <t>Specifies the desired output format clearly.</t>
  </si>
  <si>
    <t>Lacks clarity in the request for code continuation.</t>
  </si>
  <si>
    <t>Correctly formats the output string for accuracy.</t>
  </si>
  <si>
    <t>Does not address the prompt's request for code continuation.</t>
  </si>
  <si>
    <t>[MODE:code] Cetaklah hasil cross-validation sbb: Accuracy: &lt;Nilai Rata-Rata&gt;% (&lt;Nilai Simpangan Baku&gt;%). Harapannya nilai akurasi. Tolong lanjutkan kode ini dengan benar dan tepat.</t>
  </si>
  <si>
    <t>Provide a complete code snippet that includes the context of how 'results' is defined.</t>
  </si>
  <si>
    <t>{"prompt_score": 3, "response_score": 4, "overall_score": 3, "prompt_strengths": "Specifies the desired output format clearly.", "prompt_issues": "Lacks clarity in the request for code continuation.", "response_strengths": "Correctly formats the output string for accuracy.", "response_issues": "Does not address the prompt's request for code continuation.", "prompt_rewrite": "[MODE:code] Cetaklah hasil cross-validation sbb: Accuracy: &lt;Nilai Rata-Rata&gt;% (&lt;Nilai Simpangan Baku&gt;%). Harapannya nilai akurasi. Tolong lanjutkan kode ini dengan benar dan tepat.", "response_improvement_suggestions": "Provide a complete code snippet that includes the context of how 'results' is defined.", "verdict": "fair", "needs_human_review": false}</t>
  </si>
  <si>
    <t>[MODE:code]
saya sudah membuat model traning, saya perlu melihat hasil dari model train menggunakan Linear Regression</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</si>
  <si>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</si>
  <si>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```python
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
```</t>
  </si>
  <si>
    <t>Clear request for model evaluation using Linear Regression.</t>
  </si>
  <si>
    <t>Could specify the type of results desired (e.g., metrics, visualizations).</t>
  </si>
  <si>
    <t>Comprehensive code covering model training, evaluation metrics, and predictions.</t>
  </si>
  <si>
    <t>None significant; code is clear and complete.</t>
  </si>
  <si>
    <t>Saya sudah membuat model training dan ingin melihat hasil evaluasi model menggunakan Linear Regression, termasuk metrik dan prediksi.</t>
  </si>
  <si>
    <t>{"prompt_score": 4, "response_score": 5, "overall_score": 5, "prompt_strengths": "Clear request for model evaluation using Linear Regression.", "prompt_issues": "Could specify the type of results desired (e.g., metrics, visualizations).", "response_strengths": "Comprehensive code covering model training, evaluation metrics, and predictions.", "response_issues": "None significant; code is clear and complete.", "prompt_rewrite": "Saya sudah membuat model training dan ingin melihat hasil evaluasi model menggunakan Linear Regression, termasuk metrik dan prediksi.", "response_improvement_suggestions": "Consider adding comments to explain each step of the code for better clarity.", "verdict": "excellent", "needs_human_review": false}</t>
  </si>
  <si>
    <t>[MODE:code]
cara membuat fungsi learning_curve dengan parameter X,y,yval,alpha untuk melengkapi:
- theta dilatih oada i contoh pertama
-training error dihitung pada subset train yang sama
-validation error dihitung pada seluruh validation set
-perhitungan error memakai alpha = 0</t>
  </si>
  <si>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</si>
  <si>
    <t>```python
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
```</t>
  </si>
  <si>
    <t>Clear and specific about the function requirements.</t>
  </si>
  <si>
    <t>Could benefit from clearer formatting or examples.</t>
  </si>
  <si>
    <t>Correct implementation of the learning curve function with detailed comments.</t>
  </si>
  <si>
    <t>None significant; well-structured and complete.</t>
  </si>
  <si>
    <t>Buat fungsi learning_curve dengan parameter X, y, Xval, yval, alpha. Fungsi harus: - melatih theta pada i contoh pertama - menghitung training error pada subset train - menghitung validation error pada seluruh validation set - menggunakan alpha = 0 untuk perhitungan error.</t>
  </si>
  <si>
    <t>Consider adding example usage or test cases for clarity.</t>
  </si>
  <si>
    <t>{"prompt_score": 4, "response_score": 5, "overall_score": 5, "prompt_strengths": "Clear and specific about the function requirements.", "prompt_issues": "Could benefit from clearer formatting or examples.", "response_strengths": "Correct implementation of the learning curve function with detailed comments.", "response_issues": "None significant; well-structured and complete.", "prompt_rewrite": "Buat fungsi learning_curve dengan parameter X, y, Xval, yval, alpha. Fungsi harus: - melatih theta pada i contoh pertama - menghitung training error pada subset train - menghitung validation error pada seluruh validation set - menggunakan alpha = 0 untuk perhitungan error.", "response_improvement_suggestions": "Consider adding example usage or test cases for clarity.", "verdict": "excellent", "needs_human_review": false}</t>
  </si>
  <si>
    <t>[MODE:summary_code_explanation]
oke selanjutnya setelah itu saya disuruh untuk membuat kode menghitung ROC Area Under Curve (AUC) dari Random Forest classifier ini.</t>
  </si>
  <si>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</si>
  <si>
    <t>Clear request for code related to ROC AUC calculation.</t>
  </si>
  <si>
    <t>Could provide more context on data or specific requirements.</t>
  </si>
  <si>
    <t>Bisa jelaskan cara membuat kode untuk menghitung ROC AUC dari Random Forest classifier dengan contoh data?</t>
  </si>
  <si>
    <t>Consider adding a brief explanation of ROC AUC for beginners.</t>
  </si>
  <si>
    <t>{"prompt_score": 4, "response_score": 5, "overall_score": 4, "prompt_strengths": "Clear request for code related to ROC AUC calculation.", "prompt_issues": "Could provide more context on data or specific requirements.", "response_strengths": "Accurate, complete, and clear explanation with code example.", "response_issues": "None noted.", "prompt_rewrite": "Bisa jelaskan cara membuat kode untuk menghitung ROC AUC dari Random Forest classifier dengan contoh data?", "response_improvement_suggestions": "Consider adding a brief explanation of ROC AUC for beginners.", "verdict": "good", "needs_human_review": false}</t>
  </si>
  <si>
    <t>[MODE:summary]
apa yang mungkin terjadi jika fitur tidak di skalakan pada algoritma seperti support vector mechine?</t>
  </si>
  <si>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</si>
  <si>
    <t>Clear and specific question about SVM scaling.</t>
  </si>
  <si>
    <t>Could provide more context on SVM for clarity.</t>
  </si>
  <si>
    <t>Accurate, detailed, and relevant explanation of consequences.</t>
  </si>
  <si>
    <t>Apa dampak dari tidak melakukan skala fitur pada algoritma Support Vector Machine?</t>
  </si>
  <si>
    <t>Summarize key points for brevity.</t>
  </si>
  <si>
    <t>{"prompt_score": 4, "response_score": 5, "overall_score": 4, "prompt_strengths": "Clear and specific question about SVM scaling.", "prompt_issues": "Could provide more context on SVM for clarity.", "response_strengths": "Accurate, detailed, and relevant explanation of consequences.", "response_issues": "Could be more concise.", "prompt_rewrite": "Apa dampak dari tidak melakukan skala fitur pada algoritma Support Vector Machine?", "response_improvement_suggestions": "Summarize key points for brevity.", "verdict": "good", "needs_human_review": false}</t>
  </si>
  <si>
    <t>[MODE:summary_code_explanation]
sekarang, buat scatter plot untuk melihat pengaruh bmi terhadap charges buatkan insiht nya di mana sumbu y adalah charges dan sumbu y bmi</t>
  </si>
  <si>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</si>
  <si>
    <t>The prompt specifies the task clearly and provides context.</t>
  </si>
  <si>
    <t>The prompt has minor grammatical issues and could be more specific about the desired insights.</t>
  </si>
  <si>
    <t>The response is relevant, correct, and provides a comprehensive explanation with clear insights.</t>
  </si>
  <si>
    <t>The response could be more concise in some areas to enhance clarity.</t>
  </si>
  <si>
    <t>Buat scatter plot untuk menganalisis pengaruh BMI terhadap charges, dengan sumbu Y sebagai charges dan sumbu X sebagai BMI. Sertakan analisis mendalam tentang hubungan yang terlihat.</t>
  </si>
  <si>
    <t>Consider summarizing key insights more concisely to improve clarity and focus.</t>
  </si>
  <si>
    <t>{"prompt_score": 3, "response_score": 5, "overall_score": 4, "prompt_strengths": "The prompt specifies the task clearly and provides context.", "prompt_issues": "The prompt has minor grammatical issues and could be more specific about the desired insights.", "response_strengths": "The response is relevant, correct, and provides a comprehensive explanation with clear insights.", "response_issues": "The response could be more concise in some areas to enhance clarity.", "prompt_rewrite": "Buat scatter plot untuk menganalisis pengaruh BMI terhadap charges, dengan sumbu Y sebagai charges dan sumbu X sebagai BMI. Sertakan analisis mendalam tentang hubungan yang terlihat.", "response_improvement_suggestions": "Consider summarizing key insights more concisely to improve clarity and focus.", "verdict": "good", "needs_human_review": false}</t>
  </si>
  <si>
    <t>[MODE:summary_code_explanation]
oke aku udah beres jawab pertanyaan,sekarang tolong dong buatkan code program untuk Extract semua baris dan kolom ke-1 s.d. ke-7 ke dalam variabel X.</t>
  </si>
  <si>
    <t>**SUMMARY**  
Ambil semua baris dan kolom indeks 0 sampai 6 (kolom ke-1 s.d. ke-7) dari `array` lalu simpan ke variabel `X`.
```python
X = array[:, 0:7]
```
**EXPLANATION**  
`array[:, 0:7]` berarti: `:` ambil semua baris, dan `0:7` ambil kolom indeks 0–6 (total 7 kolom = kolom ke-1 sampai ke-7).</t>
  </si>
  <si>
    <t>Tolong buatkan code program dalam Python untuk Extract semua baris dan kolom ke-1 s.d. ke-7 ke dalam variabel X.</t>
  </si>
  <si>
    <t>{"prompt_score": 4, "response_score": 5, "overall_score": 4, "prompt_strengths": "Clear request for code and context provided.", "prompt_issues": "Could specify the programming language for clarity.", "response_strengths": "Correct and complete explanation with relevant code.", "response_issues": "None noted.", "prompt_rewrite": "Tolong buatkan code program dalam Python untuk Extract semua baris dan kolom ke-1 s.d. ke-7 ke dalam variabel X.", "response_improvement_suggestions": "None needed; response is already clear and complete.", "verdict": "good", "needs_human_review": false}</t>
  </si>
  <si>
    <t>[MODE:summary]
Tolong bantu saya jawab pertanyaan di bawah ini. 2. Dalam kasus fitur banyak dan dataset besar, pendekatan mana yang lebih praktis?</t>
  </si>
  <si>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</si>
  <si>
    <t>Clear and specific request for assistance.</t>
  </si>
  <si>
    <t>Could provide more context about the dataset or features.</t>
  </si>
  <si>
    <t>Highly relevant, correct, and complete explanation.</t>
  </si>
  <si>
    <t>Could be clearer with examples or further elaboration.</t>
  </si>
  <si>
    <t>Tolong bantu saya menjelaskan pendekatan mana yang lebih praktis untuk menangani banyak fitur dan dataset besar dalam konteks pembelajaran mesin.</t>
  </si>
  <si>
    <t>Include examples of scenarios where each approach is applied.</t>
  </si>
  <si>
    <t>{"prompt_score": 4, "response_score": 5, "overall_score": 5, "prompt_strengths": "Clear and specific request for assistance.", "prompt_issues": "Could provide more context about the dataset or features.", "response_strengths": "Highly relevant, correct, and complete explanation.", "response_issues": "Could be clearer with examples or further elaboration.", "prompt_rewrite": "Tolong bantu saya menjelaskan pendekatan mana yang lebih praktis untuk menangani banyak fitur dan dataset besar dalam konteks pembelajaran mesin.", "response_improvement_suggestions": "Include examples of scenarios where each approach is applied.", "verdict": "excellent", "needs_human_review": false}</t>
  </si>
  <si>
    <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</si>
  <si>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</si>
  <si>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```python
#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
```</t>
  </si>
  <si>
    <t>Could specify the expected format of the output more clearly.</t>
  </si>
  <si>
    <t>Thoroughly addresses all aspects of the prompt with clear explanations.</t>
  </si>
  <si>
    <t>None significant; response is comprehensive.</t>
  </si>
  <si>
    <t>Konteks: Saya sedang mengerjakan evaluasi performa machine learning. Error: ... Ekspektasi: Simpan hasil cross_val_score dalam variabel results. Output diminta: 1) akar masalah 2) perbaikan kode 3) alasan perbaikan 4) cara verifikasi. Format output: [penjelasan singkat].</t>
  </si>
  <si>
    <t>{"prompt_score": 4, "response_score": 5, "overall_score": 5, "prompt_strengths": "Clear context and specific expectations.", "prompt_issues": "Could specify the expected format of the output more clearly.", "response_strengths": "Thoroughly addresses all aspects of the prompt with clear explanations.", "response_issues": "None significant; response is comprehensive.", "prompt_rewrite": "Konteks: Saya sedang mengerjakan evaluasi performa machine learning. Error: ... Ekspektasi: Simpan hasil cross_val_score dalam variabel results. Output diminta: 1) akar masalah 2) perbaikan kode 3) alasan perbaikan 4) cara verifikasi. Format output: [penjelasan singkat].", "response_improvement_suggestions": "Consider adding examples of expected output for clarity.", "verdict": "excellent", "needs_human_review": false}</t>
  </si>
  <si>
    <t>[LANG:Python]
[MODE:code]
selanjutnya Buatlah `model` yang merupakan model `LogisticRegression` dengan parameter `solver` adalah `liblinear`. model =</t>
  </si>
  <si>
    <t>from sklearn.linear_model import LogisticRegression
model = LogisticRegression(solver="liblinear")</t>
  </si>
  <si>
    <t>```python
from sklearn.linear_model import LogisticRegression
model = LogisticRegression(solver="liblinear")
```</t>
  </si>
  <si>
    <t>Correct implementation and clear syntax.</t>
  </si>
  <si>
    <t>Buatlah model LogisticRegression dengan solver liblinear untuk klasifikasi data.</t>
  </si>
  <si>
    <t>None needed; response is complete.</t>
  </si>
  <si>
    <t>{"prompt_score": 4, "response_score": 5, "overall_score": 4, "prompt_strengths": "Clear and specific about the model and parameters.", "prompt_issues": "Could provide more context on the purpose of the model.", "response_strengths": "Correct implementation and clear syntax.", "response_issues": "None.", "prompt_rewrite": "Buatlah model LogisticRegression dengan solver liblinear untuk klasifikasi data.", "response_improvement_suggestions": "None needed; response is complete.", "verdict": "good", "needs_human_review": false}</t>
  </si>
  <si>
    <t>[MODE:summary_code_explanation]
Write Python code that includes a pipeline with preprocessing and svr(). preprocessing is a variable that already contains all the pipelines combined in one class, namely ColumnTransformer, and param_grid is a variable for hyperparameter tuning.</t>
  </si>
  <si>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</si>
  <si>
    <t>Clear and specific about the requirements.</t>
  </si>
  <si>
    <t>Could provide more context on the data or use case.</t>
  </si>
  <si>
    <t>Correct, complete, and well-structured code with clear explanations.</t>
  </si>
  <si>
    <t>None significant; could include a brief note on expected input data.</t>
  </si>
  <si>
    <t>[MODE:summary_code_explanation] Write Python code that includes a pipeline with preprocessing and SVR(). The preprocessing is a variable that already contains all the pipelines combined in one class, namely ColumnTransformer, and param_grid is a variable for hyperparameter tuning. Please provide context on the dataset being used.</t>
  </si>
  <si>
    <t>Add a brief note on the expected input data format for clarity.</t>
  </si>
  <si>
    <t>{"prompt_score": 4, "response_score": 5, "overall_score": 5, "prompt_strengths": "Clear and specific about the requirements.", "prompt_issues": "Could provide more context on the data or use case.", "response_strengths": "Correct, complete, and well-structured code with clear explanations.", "response_issues": "None significant; could include a brief note on expected input data.", "prompt_rewrite": "[MODE:summary_code_explanation] Write Python code that includes a pipeline with preprocessing and SVR(). The preprocessing is a variable that already contains all the pipelines combined in one class, namely ColumnTransformer, and param_grid is a variable for hyperparameter tuning. Please provide context on the dataset being used.", "response_improvement_suggestions": "Add a brief note on the expected input data format for clarity.", "verdict": "excellent", "needs_human_review": false}</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</si>
  <si>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</si>
  <si>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t>
  </si>
  <si>
    <t>```python
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t>
  </si>
  <si>
    <t>Clear instructions and specific requirements for model building.</t>
  </si>
  <si>
    <t>Could benefit from clearer context on the dataset and features.</t>
  </si>
  <si>
    <t>Correct implementation of models and evaluation metrics, clear structure.</t>
  </si>
  <si>
    <t>Lacks comments explaining each step in the code.</t>
  </si>
  <si>
    <t>Build regression models to predict `final_exam_score` using LinearRegression, Ridge (alpha=1.0), and Lasso (alpha=0.1). Use a pipeline to handle numerical and categorical features. Evaluate each model using RMSE and MAE. Provide context on the dataset used.</t>
  </si>
  <si>
    <t>Add comments to explain the purpose of each code section and the rationale behind choices made.</t>
  </si>
  <si>
    <t>{"prompt_score": 4, "response_score": 5, "overall_score": 4, "prompt_strengths": "Clear instructions and specific requirements for model building.", "prompt_issues": "Could benefit from clearer context on the dataset and features.", "response_strengths": "Correct implementation of models and evaluation metrics, clear structure.", "response_issues": "Lacks comments explaining each step in the code.", "prompt_rewrite": "Build regression models to predict `final_exam_score` using LinearRegression, Ridge (alpha=1.0), and Lasso (alpha=0.1). Use a pipeline to handle numerical and categorical features. Evaluate each model using RMSE and MAE. Provide context on the dataset used.", "response_improvement_suggestions": "Add comments to explain the purpose of each code section and the rationale behind choices made.", "verdict": "good", "needs_human_review": false}</t>
  </si>
  <si>
    <t>[MODE:code]
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</si>
  <si>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</si>
  <si>
    <t>```python
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
```</t>
  </si>
  <si>
    <t>Clear instructions and context for the task.</t>
  </si>
  <si>
    <t>Minor language errors (e.g., 'seoarang' should be 'seorang').</t>
  </si>
  <si>
    <t>Correct implementation of the function with clear logic and error handling.</t>
  </si>
  <si>
    <t>[MODE:code] Saya seorang mahasiswa teknik informatika. Saat ini, saya mengerjakan tugas machine learning: def train_test_split_manual(X, y, test_ratio=0.2, seed=42): # ===================== Write Your Code Here ===================== # Instruksi: # 1. Acak indeks data secara reproducible dengan seed # 2. Bagi data menjadi train dan test sesuai test_ratio # 3. Kembalikan X_train, X_test, y_train, y_test #</t>
  </si>
  <si>
    <t>{"prompt_score": 4, "response_score": 5, "overall_score": 5, "prompt_strengths": "Clear instructions and context for the task.", "prompt_issues": "Minor language errors (e.g., 'seoarang' should be 'seorang').", "response_strengths": "Correct implementation of the function with clear logic and error handling.", "response_issues": "None.", "prompt_rewrite": "[MODE:code] Saya seorang mahasiswa teknik informatika. Saat ini, saya mengerjakan tugas machine learning: def train_test_split_manual(X, y, test_ratio=0.2, seed=42): # ===================== Write Your Code Here ===================== # Instruksi: # 1. Acak indeks data secara reproducible dengan seed # 2. Bagi data menjadi train dan test sesuai test_ratio # 3. Kembalikan X_train, X_test, y_train, y_test #", "response_improvement_suggestions": "Consider adding comments to explain each step of the code for better clarity.", "verdict": "excellent", "needs_human_review": false}</t>
  </si>
  <si>
    <t>[MODE:summary]
decision boundary logistic regression jelaskan apakah nonlinear, random, linear, atau mungkin diskrit</t>
  </si>
  <si>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</si>
  <si>
    <t>Accurate, complete, and clearly explains the concept.</t>
  </si>
  <si>
    <t>None significant; could briefly mention practical implications.</t>
  </si>
  <si>
    <t>[MODE:summary] Jelaskan decision boundary pada logistic regression: apakah linear, nonlinear, random, atau diskrit, dan berikan contoh.</t>
  </si>
  <si>
    <t>Consider adding a brief example of feature transformation leading to nonlinear boundaries.</t>
  </si>
  <si>
    <t>{"prompt_score": 4, "response_score": 5, "overall_score": 5, "prompt_strengths": "Clear and specific request for explanation.", "prompt_issues": "Could provide more context on the audience's knowledge level.", "response_strengths": "Accurate, complete, and clearly explains the concept.", "response_issues": "None significant; could briefly mention practical implications.", "prompt_rewrite": "[MODE:summary] Jelaskan decision boundary pada logistic regression: apakah linear, nonlinear, random, atau diskrit, dan berikan contoh.", "response_improvement_suggestions": "Consider adding a brief example of feature transformation leading to nonlinear boundaries.", "verdict": "excellent", "needs_human_review": false}</t>
  </si>
  <si>
    <t>[MODE:code]
[ASSESSMENT_ID:1771cf8e-0a65-11f1-b762-3e0936ad7efb]
[FORCE_GPT:true]
[AUTO_FALLBACK:true]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</si>
  <si>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t>
  </si>
  <si>
    <t>```python
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
```</t>
  </si>
  <si>
    <t>Clear and specific about model evaluation metrics and tasks.</t>
  </si>
  <si>
    <t>Could provide more context on the dataset or features used.</t>
  </si>
  <si>
    <t>Correctly implements the evaluation metrics and model selection process.</t>
  </si>
  <si>
    <t>Evaluate the performance of the Linear Regression and Ridge Regression models using RMSE, MAE, and R2 metrics. Identify the best regression model and save predictions for both training and testing datasets for classification purposes. Please provide context on the dataset used.</t>
  </si>
  <si>
    <t>{"prompt_score": 4, "response_score": 5, "overall_score": 5, "prompt_strengths": "Clear and specific about model evaluation metrics and tasks.", "prompt_issues": "Could provide more context on the dataset or features used.", "response_strengths": "Correctly implements the evaluation metrics and model selection process.", "response_issues": "None significant; response is complete and clear.", "prompt_rewrite": "Evaluate the performance of the Linear Regression and Ridge Regression models using RMSE, MAE, and R2 metrics. Identify the best regression model and save predictions for both training and testing datasets for classification purposes. Please provide context on the dataset used.", "response_improvement_suggestions": "Consider adding comments to explain each step of the code for better clarity.", "verdict": "excellent", "needs_human_review": false}</t>
  </si>
  <si>
    <t>[MODE:code]
buatkan saya sebuah code dari code yang sudah ada sebelumnya, sekarang buatkan saya code dengan menampilkan best hyperparameter dari hasil Grid Search.</t>
  </si>
  <si>
    <t>print(grid_search.best_params_)</t>
  </si>
  <si>
    <t>```python
print(grid_search.best_params_)
```</t>
  </si>
  <si>
    <t>The prompt is clear about the desired output.</t>
  </si>
  <si>
    <t>Lacks specificity regarding the programming language and context of the existing code.</t>
  </si>
  <si>
    <t>The response is relevant and correctly shows how to access best hyperparameters.</t>
  </si>
  <si>
    <t>The response is too brief and lacks context or explanation.</t>
  </si>
  <si>
    <t>Buatkan saya sebuah kode Python yang menampilkan best hyperparameter dari hasil Grid Search yang sudah ada.</t>
  </si>
  <si>
    <t>Add context or explanation about the code and its usage.</t>
  </si>
  <si>
    <t>{"prompt_score": 3, "response_score": 4, "overall_score": 4, "prompt_strengths": "The prompt is clear about the desired output.", "prompt_issues": "Lacks specificity regarding the programming language and context of the existing code.", "response_strengths": "The response is relevant and correctly shows how to access best hyperparameters.", "response_issues": "The response is too brief and lacks context or explanation.", "prompt_rewrite": "Buatkan saya sebuah kode Python yang menampilkan best hyperparameter dari hasil Grid Search yang sudah ada.", "response_improvement_suggestions": "Add context or explanation about the code and its usage.", "verdict": "good", "needs_human_review": false}</t>
  </si>
  <si>
    <t>[LANG:Python]
[MODE:summary]
[ASSESSMENT_ID:1771cf7d-0a65-11f1-b762-3e0936ad7efb]
[FORCE_GPT:true]
[AUTO_FALLBACK:true]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</si>
  <si>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</si>
  <si>
    <t>Clear and specific about the task and data.</t>
  </si>
  <si>
    <t>Accurate and concise analysis of the data.</t>
  </si>
  <si>
    <t>Could elaborate slightly more on implications of findings.</t>
  </si>
  <si>
    <t>Using `dataframe.describe()`, analyze the following statistics and identify which feature has the highest mean value and which has the largest standard deviation. Provide a brief analysis in 2-4 sentences.</t>
  </si>
  <si>
    <t>Include implications of the findings for better context.</t>
  </si>
  <si>
    <t>{"prompt_score": 4, "response_score": 5, "overall_score": 4, "prompt_strengths": "Clear and specific about the task and data.", "prompt_issues": "Could provide more context on the dataset.", "response_strengths": "Accurate and concise analysis of the data.", "response_issues": "Could elaborate slightly more on implications of findings.", "prompt_rewrite": "Using `dataframe.describe()`, analyze the following statistics and identify which feature has the highest mean value and which has the largest standard deviation. Provide a brief analysis in 2-4 sentences.", "response_improvement_suggestions": "Include implications of the findings for better context.", "verdict": "good", "needs_human_review": false}</t>
  </si>
  <si>
    <t>[MODE:code]
buatkan kode untuk membuat variabel loocv dari kelas LeaveOneOut, menggunakan bahasa python di jupyternotebook</t>
  </si>
  <si>
    <t>from sklearn.model_selection import LeaveOneOut
loocv = LeaveOneOut()</t>
  </si>
  <si>
    <t>```python
from sklearn.model_selection import LeaveOneOut
loocv = LeaveOneOut()
```</t>
  </si>
  <si>
    <t>Could provide more context on usage.</t>
  </si>
  <si>
    <t>Correct and relevant code snippet.</t>
  </si>
  <si>
    <t>Lacks explanation or context for the code.</t>
  </si>
  <si>
    <t>Buatkan kode Python di Jupyter Notebook untuk membuat variabel loocv dari kelas LeaveOneOut, dan jelaskan penggunaannya.</t>
  </si>
  <si>
    <t>Add comments or explanations for clarity.</t>
  </si>
  <si>
    <t>{"prompt_score": 4, "response_score": 4, "overall_score": 4, "prompt_strengths": "Clear and specific request for code.", "prompt_issues": "Could provide more context on usage.", "response_strengths": "Correct and relevant code snippet.", "response_issues": "Lacks explanation or context for the code.", "prompt_rewrite": "Buatkan kode Python di Jupyter Notebook untuk membuat variabel loocv dari kelas LeaveOneOut, dan jelaskan penggunaannya.", "response_improvement_suggestions": "Add comments or explanations for clarity.", "verdict": "good", "needs_human_review": false}</t>
  </si>
  <si>
    <t>[MODE:summary_code_explanation]
[ASSESSMENT_ID:1771cf8e-0a65-11f1-b762-3e0936ad7efb]
[FORCE_GPT:true]
[AUTO_FALLBACK:true]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</si>
  <si>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</si>
  <si>
    <t>Clear and specific about the code context and requirements.</t>
  </si>
  <si>
    <t>Could provide more context on the purpose of the evaluation.</t>
  </si>
  <si>
    <t>Thoroughly addresses the prompt with correct and complete information.</t>
  </si>
  <si>
    <t>Explain which part of the code evaluates using R², considering the context of regression model evaluation.</t>
  </si>
  <si>
    <t>{"prompt_score": 4, "response_score": 5, "overall_score": 5, "prompt_strengths": "Clear and specific about the code context and requirements.", "prompt_issues": "Could provide more context on the purpose of the evaluation.", "response_strengths": "Thoroughly addresses the prompt with correct and complete information.", "response_issues": "None noted.", "prompt_rewrite": "Explain which part of the code evaluates using R², considering the context of regression model evaluation.", "response_improvement_suggestions": "None needed; response is comprehensive.", "verdict": "excellent", "needs_human_review": false}</t>
  </si>
  <si>
    <t>[MODE:code]
nice code cocok, lalu saya membuat fungsi add_intercept dengan parameter X_1d lalu saya ingin membuat sebuah fungsi compute_cost dengan parameter X,y,theta dimana m = y.size. lalu aku ingin kamu membuat isi dalam fungsi tersebut yaitu menghitung MSE cost e=Xθ-y</t>
  </si>
  <si>
    <t>import numpy as np
def add_intercept(X_1d):
    X_1d = np.asarray(X_1d).reshape(-1)
    return np.c_[np.ones(X_1d.shape[0]), X_1d]
def compute_cost(X, y, theta):
    X = np.asarray(X)
    y = np.asarray(y).reshape(-1)
    theta = np.asarray(theta).reshape(-1)
    m = y.size
    e = X @ theta - y
    cost = (e @ e) / (2 * m)
    return cost</t>
  </si>
  <si>
    <t>```python
import numpy as np
def add_intercept(X_1d):
    X_1d = np.asarray(X_1d).reshape(-1)
    return np.c_[np.ones(X_1d.shape[0]), X_1d]
def compute_cost(X, y, theta):
    X = np.asarray(X)
    y = np.asarray(y).reshape(-1)
    theta = np.asarray(theta).reshape(-1)
    m = y.size
    e = X @ theta - y
    cost = (e @ e) / (2 * m)
    return cost
```</t>
  </si>
  <si>
    <t>The prompt specifies the functions and parameters clearly.</t>
  </si>
  <si>
    <t>The prompt lacks clarity in the explanation of the cost calculation.</t>
  </si>
  <si>
    <t>The response provides correct and complete code for the functions.</t>
  </si>
  <si>
    <t>The response could benefit from comments explaining the code.</t>
  </si>
  <si>
    <t>Buat fungsi add_intercept dengan parameter X_1d dan fungsi compute_cost dengan parameter X, y, theta. Hitung MSE cost dengan rumus e = Xθ - y.</t>
  </si>
  <si>
    <t>{"prompt_score": 3, "response_score": 4, "overall_score": 4, "prompt_strengths": "The prompt specifies the functions and parameters clearly.", "prompt_issues": "The prompt lacks clarity in the explanation of the cost calculation.", "response_strengths": "The response provides correct and complete code for the functions.", "response_issues": "The response could benefit from comments explaining the code.", "prompt_rewrite": "Buat fungsi add_intercept dengan parameter X_1d dan fungsi compute_cost dengan parameter X, y, theta. Hitung MSE cost dengan rumus e = Xθ - y.", "response_improvement_suggestions": "Add comments to explain each step of the code for better clarity.", "verdict": "good", "needs_human_review": false}</t>
  </si>
  <si>
    <t>[MODE:code]
[ASSESSMENT_ID:1771cf7d-0a65-11f1-b762-3e0936ad7efb]
[FORCE_GPT:true]
[AUTO_FALLBACK:true]
Sekarang, kita akan membuat variabel correlation yang berisikan informasi korelasi dari dataset, buatkan dalam bahasa python</t>
  </si>
  <si>
    <t>import pandas as pd
filename = "pima-indians-diabetes.data.csv"
names = ["preg", "plas", "pres", "skin", "test", "mass", "pedi", "age", "class"]
dataframe = pd.read_csv(filename, names=names)
correlation = dataframe.corr(numeric_only=True)</t>
  </si>
  <si>
    <t>```python
import pandas as pd
filename = "pima-indians-diabetes.data.csv"
names = ["preg", "plas", "pres", "skin", "test", "mass", "pedi", "age", "class"]
dataframe = pd.read_csv(filename, names=names)
correlation = dataframe.corr(numeric_only=True)
```</t>
  </si>
  <si>
    <t>Clear and specific request for Python code.</t>
  </si>
  <si>
    <t>Correctly implements correlation calculation in Python.</t>
  </si>
  <si>
    <t>Buatkan kode Python untuk menghitung korelasi dari dataset 'pima-indians-diabetes.data.csv' dan jelaskan setiap langkahnya.</t>
  </si>
  <si>
    <t>{"prompt_score": 4, "response_score": 4, "overall_score": 4, "prompt_strengths": "Clear and specific request for Python code.", "prompt_issues": "Could provide more context about the dataset.", "response_strengths": "Correctly implements correlation calculation in Python.", "response_issues": "Lacks explanation or comments for clarity.", "prompt_rewrite": "Buatkan kode Python untuk menghitung korelasi dari dataset 'pima-indians-diabetes.data.csv' dan jelaskan setiap langkahnya.", "response_improvement_suggestions": "Add comments to explain each step of the code.", "verdict": "good", "needs_human_review": false}</t>
  </si>
  <si>
    <t>[MODE:code]
agaimana cara melakuakn load dataset, menampilkan 5 baris pertama, menampilkan ukuran dataset, lalu menampilkan data setiap kolom</t>
  </si>
  <si>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</si>
  <si>
    <t>```python
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
```</t>
  </si>
  <si>
    <t>Clear and specific instructions for data handling.</t>
  </si>
  <si>
    <t>Minor grammatical errors in the prompt.</t>
  </si>
  <si>
    <t>Correct, complete, and clearly structured code.</t>
  </si>
  <si>
    <t>[MODE:code] Bagaimana cara melakukan load dataset, menampilkan 5 baris pertama, menampilkan ukuran dataset, dan menampilkan data setiap kolom?</t>
  </si>
  <si>
    <t>Consider adding comments for each step to enhance clarity.</t>
  </si>
  <si>
    <t>{"prompt_score": 4, "response_score": 5, "overall_score": 5, "prompt_strengths": "Clear and specific instructions for data handling.", "prompt_issues": "Minor grammatical errors in the prompt.", "response_strengths": "Correct, complete, and clearly structured code.", "response_issues": "None identified.", "prompt_rewrite": "[MODE:code] Bagaimana cara melakukan load dataset, menampilkan 5 baris pertama, menampilkan ukuran dataset, dan menampilkan data setiap kolom?", "response_improvement_suggestions": "Consider adding comments for each step to enhance clarity.", "verdict": "excellent", "needs_human_review": false}</t>
  </si>
  <si>
    <t>[MODE:summary]
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</si>
  <si>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</si>
  <si>
    <t>Thorough explanation with relevant examples.</t>
  </si>
  <si>
    <t>[MODE:summary] Lanjut ke soal ke-3: Apakah ada fitur dengan nilai minimum = 0 yang tidak realistis secara medis dalam dataset? Sebutkan fitur tersebut dan jelaskan penyebabnya.</t>
  </si>
  <si>
    <t>Summarize key points to enhance conciseness.</t>
  </si>
  <si>
    <t>{"prompt_score": 4, "response_score": 5, "overall_score": 4, "prompt_strengths": "Clear and specific about the task.", "prompt_issues": "Could provide more context on the dataset.", "response_strengths": "Thorough explanation with relevant examples.", "response_issues": "Could be more concise.", "prompt_rewrite": "[MODE:summary] Lanjut ke soal ke-3: Apakah ada fitur dengan nilai minimum = 0 yang tidak realistis secara medis dalam dataset? Sebutkan fitur tersebut dan jelaskan penyebabnya.", "response_improvement_suggestions": "Summarize key points to enhance conciseness.", "verdict": "good", "needs_human_review": false}</t>
  </si>
  <si>
    <t>[MODE:code]
gridsearchcv digunakan untuk apa? apakah untuk
Mengganti model,Mencari hyperparameter terbaik,Menghapus fitur atau Membersihkan dataset</t>
  </si>
  <si>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</si>
  <si>
    <t>```text
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
```</t>
  </si>
  <si>
    <t>Clear question about GridSearchCV usage.</t>
  </si>
  <si>
    <t>Accurate, detailed, and clearly explains the purpose of GridSearchCV.</t>
  </si>
  <si>
    <t>Apa fungsi GridSearchCV dalam machine learning? Apakah untuk mengganti model, mencari hyperparameter terbaik, menghapus fitur, atau membersihkan dataset?</t>
  </si>
  <si>
    <t>{"prompt_score": 4, "response_score": 5, "overall_score": 5, "prompt_strengths": "Clear question about GridSearchCV usage.", "prompt_issues": "Could provide more context on the audience's knowledge level.", "response_strengths": "Accurate, detailed, and clearly explains the purpose of GridSearchCV.", "response_issues": "None noted.", "prompt_rewrite": "Apa fungsi GridSearchCV dalam machine learning? Apakah untuk mengganti model, mencari hyperparameter terbaik, menghapus fitur, atau membersihkan dataset?", "response_improvement_suggestions": "None needed; response is comprehensive.", "verdict": "excellent", "needs_human_review": false}</t>
  </si>
  <si>
    <t>[MODE:code]
Jelaskan tujuan test error, alasan alpha = 0 saat evaluasi, dan bagaimana menilai performa model dari test error menggunakan konsep generalisasi.</t>
  </si>
  <si>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</si>
  <si>
    <t>```python
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
```</t>
  </si>
  <si>
    <t>Clear and specific about the topics to be addressed.</t>
  </si>
  <si>
    <t>Relevant and correct explanations with good structure.</t>
  </si>
  <si>
    <t>Could be clearer in some parts and lacks examples.</t>
  </si>
  <si>
    <t>[MODE:code] Jelaskan tujuan test error, alasan alpha = 0 saat evaluasi, dan bagaimana menilai performa model dari test error menggunakan konsep generalisasi. Sertakan contoh jika perlu.</t>
  </si>
  <si>
    <t>Add examples to illustrate points and improve clarity in complex explanations.</t>
  </si>
  <si>
    <t>{"prompt_score": 4, "response_score": 4, "overall_score": 4, "prompt_strengths": "Clear and specific about the topics to be addressed.", "prompt_issues": "Could provide more context on the audience's knowledge level.", "response_strengths": "Relevant and correct explanations with good structure.", "response_issues": "Could be clearer in some parts and lacks examples.", "prompt_rewrite": "[MODE:code] Jelaskan tujuan test error, alasan alpha = 0 saat evaluasi, dan bagaimana menilai performa model dari test error menggunakan konsep generalisasi. Sertakan contoh jika perlu.", "response_improvement_suggestions": "Add examples to illustrate points and improve clarity in complex explanations.", "verdict": "good", "needs_human_review": false}</t>
  </si>
  <si>
    <t>[MODE:code]
[ASSESSMENT_ID:1771cf8b-0a65-11f1-b762-3e0936ad7efb]
[FORCE_GPT:true]
[AUTO_FALLBACK:true]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</si>
  <si>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</si>
  <si>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</si>
  <si>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Could benefit from more context on the model being trained.</t>
  </si>
  <si>
    <t>Correct implementation of the validation curve function.</t>
  </si>
  <si>
    <t>Assumes the existence of certain functions without defining them.</t>
  </si>
  <si>
    <t>Untuk Kelas A, gunakan kandidat alpha berikut: {0, 0.001, 0.01, 0.1, 1, 10}. Latih model regresi linier untuk setiap alpha dan hitung training dan validation error tanpa regularisasi. Gunakan hasil plot untuk memilih alpha terbaik. Definisikan fungsi 'train_linear_reg' dan 'linear_reg_cost_function' jika belum ada.</t>
  </si>
  <si>
    <t>Define or mention the required functions 'train_linear_reg' and 'linear_reg_cost_function' for clarity.</t>
  </si>
  <si>
    <t>{"prompt_score": 4, "response_score": 5, "overall_score": 4, "prompt_strengths": "Clear instructions and specific requirements.", "prompt_issues": "Could benefit from more context on the model being trained.", "response_strengths": "Correct implementation of the validation curve function.", "response_issues": "Assumes the existence of certain functions without defining them.", "prompt_rewrite": "Untuk Kelas A, gunakan kandidat alpha berikut: {0, 0.001, 0.01, 0.1, 1, 10}. Latih model regresi linier untuk setiap alpha dan hitung training dan validation error tanpa regularisasi. Gunakan hasil plot untuk memilih alpha terbaik. Definisikan fungsi 'train_linear_reg' dan 'linear_reg_cost_function' jika belum ada.", "response_improvement_suggestions": "Define or mention the required functions 'train_linear_reg' and 'linear_reg_cost_function' for clarity.", "verdict": "good", "needs_human_review": false}</t>
  </si>
  <si>
    <t>[MODE:code]
Sekarang kita akan membuat pairplot Untuk melihat hubungan antar fitur sekaligus. gunakan librasi `sns` dengan atribut `pairplot` dan `hue='class'`</t>
  </si>
  <si>
    <t>import seaborn as sns
import matplotlib.pyplot as plt
sns.pairplot(dataframe, hue='class')
plt.show()</t>
  </si>
  <si>
    <t>```python
import seaborn as sns
import matplotlib.pyplot as plt
sns.pairplot(dataframe, hue='class')
plt.show()
```</t>
  </si>
  <si>
    <t>Buatlah pairplot menggunakan librari `sns` dengan atribut `pairplot` dan `hue='class'` untuk dataset yang telah disediakan.</t>
  </si>
  <si>
    <t>{"prompt_score": 4, "response_score": 5, "overall_score": 5, "prompt_strengths": "Clear instructions with specific requirements.", "prompt_issues": "Could provide more context about the dataset.", "response_strengths": "Correct and complete code for the task.", "response_issues": "None.", "prompt_rewrite": "Buatlah pairplot menggunakan librari `sns` dengan atribut `pairplot` dan `hue='class'` untuk dataset yang telah disediakan.", "response_improvement_suggestions": "None needed; response is already complete.", "verdict": "excellent", "needs_human_review": false}</t>
  </si>
  <si>
    <t>[MODE:code]
Mari kita ambil score hasil prediksi dan kita simpan di y_scores_forest kemudian kita panggil precision_recall_curve
y_scores_forest = y_probas_forest[:, 1]
##### Your Code Here #####
precisions_forest, recalls_forest, thresholds_forest =</t>
  </si>
  <si>
    <t>from sklearn.metrics import precision_recall_curve
precisions_forest, recalls_forest, thresholds_forest = precision_recall_curve(y_test, y_scores_forest)</t>
  </si>
  <si>
    <t>```python
from sklearn.metrics import precision_recall_curve
precisions_forest, recalls_forest, thresholds_forest = precision_recall_curve(y_test, y_scores_forest)
```</t>
  </si>
  <si>
    <t>Could provide more detail on expected input/output formats.</t>
  </si>
  <si>
    <t>Correct and complete implementation of the precision-recall curve.</t>
  </si>
  <si>
    <t>Implement the precision-recall curve using y_scores_forest from the predictions. Ensure to specify the expected input format for y_scores_forest.</t>
  </si>
  <si>
    <t>{"prompt_score": 4, "response_score": 5, "overall_score": 4, "prompt_strengths": "Clear instructions and context for the task.", "prompt_issues": "Could provide more detail on expected input/output formats.", "response_strengths": "Correct and complete implementation of the precision-recall curve.", "response_issues": "None.", "prompt_rewrite": "Implement the precision-recall curve using y_scores_forest from the predictions. Ensure to specify the expected input format for y_scores_forest.", "response_improvement_suggestions": "None needed; response is complete.", "verdict": "good", "needs_human_review": false}</t>
  </si>
  <si>
    <t>[MODE:summary_code_explanation]
error nama sns tidak terdefinisi dari syntax tersebut tolong jelaskan dan berikan perbaikan syntaxnya</t>
  </si>
  <si>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</si>
  <si>
    <t>Clear request for explanation and correction.</t>
  </si>
  <si>
    <t>Could provide more context about the code or environment.</t>
  </si>
  <si>
    <t>Thorough explanation with relevant code examples.</t>
  </si>
  <si>
    <t>None significant; very complete and clear.</t>
  </si>
  <si>
    <t>Jelaskan error 'sns tidak terdefinisi' dan berikan perbaikan syntax dengan contoh kode.</t>
  </si>
  <si>
    <t>Consider adding a brief explanation of what seaborn is for beginners.</t>
  </si>
  <si>
    <t>{"prompt_score": 4, "response_score": 5, "overall_score": 4, "prompt_strengths": "Clear request for explanation and correction.", "prompt_issues": "Could provide more context about the code or environment.", "response_strengths": "Thorough explanation with relevant code examples.", "response_issues": "None significant; very complete and clear.", "prompt_rewrite": "Jelaskan error 'sns tidak terdefinisi' dan berikan perbaikan syntax dengan contoh kode.", "response_improvement_suggestions": "Consider adding a brief explanation of what seaborn is for beginners.", "verdict": "good", "needs_human_review": false}</t>
  </si>
  <si>
    <t>[MODE:summary]
beri jawaban yang benar untuk soal berikut dari pilihan di bawah. Logistic Regression digunakan untuk * Klasifikasi Dimensi Regresi Clustering</t>
  </si>
  <si>
    <t>Logistic Regression digunakan untuk Klasifikasi.</t>
  </si>
  <si>
    <t>Could provide more context about Logistic Regression.</t>
  </si>
  <si>
    <t>[MODE:summary] Berikan jawaban yang benar untuk soal berikut dari pilihan di bawah tentang penggunaan Logistic Regression. Pilihan: Klasifikasi, Dimensi, Regresi, Clustering.</t>
  </si>
  <si>
    <t>None needed; the response is complete and correct.</t>
  </si>
  <si>
    <t>{"prompt_score": 4, "response_score": 5, "overall_score": 5, "prompt_strengths": "Clear and specific question format.", "prompt_issues": "Could provide more context about Logistic Regression.", "response_strengths": "Directly answers the question correctly.", "response_issues": "None.", "prompt_rewrite": "[MODE:summary] Berikan jawaban yang benar untuk soal berikut dari pilihan di bawah tentang penggunaan Logistic Regression. Pilihan: Klasifikasi, Dimensi, Regresi, Clustering.", "response_improvement_suggestions": "None needed; the response is complete and correct.", "verdict": "excellent", "needs_human_review": false}</t>
  </si>
  <si>
    <t>[MODE:summary_code_explanation]
[ASSESSMENT_ID:1771cf8e-0a65-11f1-b762-3e0936ad7efb]
[FORCE_GPT:true]
[AUTO_FALLBACK:true]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</si>
  <si>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</si>
  <si>
    <t>Addresses multiple questions clearly.</t>
  </si>
  <si>
    <t>Some questions lack context and clarity.</t>
  </si>
  <si>
    <t>Provides correct answers and clear explanations.</t>
  </si>
  <si>
    <t>Some explanations could be more concise.</t>
  </si>
  <si>
    <t>Jawablah pertanyaan berikut tentang Lasso Regression, SGD, dan fungsi aktivasi. Tandai jawaban yang benar dan berikan penjelasan singkat.</t>
  </si>
  <si>
    <t>Make explanations more concise and focused on key points.</t>
  </si>
  <si>
    <t>{"prompt_score": 3, "response_score": 4, "overall_score": 3, "prompt_strengths": "Addresses multiple questions clearly.", "prompt_issues": "Some questions lack context and clarity.", "response_strengths": "Provides correct answers and clear explanations.", "response_issues": "Some explanations could be more concise.", "prompt_rewrite": "Jawablah pertanyaan berikut tentang Lasso Regression, SGD, dan fungsi aktivasi. Tandai jawaban yang benar dan berikan penjelasan singkat.", "response_improvement_suggestions": "Make explanations more concise and focused on key points.", "verdict": "good", "needs_human_review": false}</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</si>
  <si>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</si>
  <si>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 None] ** P[None, :]
    return X_poly</t>
  </si>
  <si>
    <t>```python
import numpy as np
def poly_features(X, p):
    X = np.asarray(X).reshape(-1)
    X_poly = np.zeros((X.size, p))
    P = np.arange(1, p + 1)
    X_poly = X[:, None] ** P[None, :]
    return X_poly
```</t>
  </si>
  <si>
    <t>Could provide more context on the input format.</t>
  </si>
  <si>
    <t>Correct implementation of polynomial feature generation.</t>
  </si>
  <si>
    <t>Lacks comments explaining the code logic.</t>
  </si>
  <si>
    <t>Lengkapi fungsi poly_features untuk membentuk fitur polinomial dari derajat 1 sampai p. Input X adalah vektor satu kolom. Kembalikan matriks X_poly berukuran (m, p) dengan kolom ke-k berisi X pangkat (k + 1).</t>
  </si>
  <si>
    <t>{"prompt_score": 4, "response_score": 4, "overall_score": 4, "prompt_strengths": "Clear instructions and specific requirements.", "prompt_issues": "Could provide more context on the input format.", "response_strengths": "Correct implementation of polynomial feature generation.", "response_issues": "Lacks comments explaining the code logic.", "prompt_rewrite": "Lengkapi fungsi poly_features untuk membentuk fitur polinomial dari derajat 1 sampai p. Input X adalah vektor satu kolom. Kembalikan matriks X_poly berukuran (m, p) dengan kolom ke-k berisi X pangkat (k + 1).", "response_improvement_suggestions": "Add comments to explain each step of the code for better clarity.", "verdict": "good", "needs_human_review": false}</t>
  </si>
  <si>
    <t>[LANG:Python]
[MODE:summary_code_explanation]
[ASSESSMENT_ID:1771cf8b-0a65-11f1-b762-3e0936ad7efb]
[FORCE_GPT:true]
[AUTO_FALLBACK:true]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</si>
  <si>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</si>
  <si>
    <t>Could specify the expected format of the answer more clearly.</t>
  </si>
  <si>
    <t>Directly addresses the question with a clear rationale and relevant code example.</t>
  </si>
  <si>
    <t>Pada kode: ```...``` Berdasarkan plot validation curve di atas, pilih satu nilai alpha terbaik untuk Kelas A dan jelaskan alasan singkatnya. Format jawaban: [nilai alpha, alasan].</t>
  </si>
  <si>
    <t>None; response is already well-structured and informative.</t>
  </si>
  <si>
    <t>{"prompt_score": 4, "response_score": 5, "overall_score": 5, "prompt_strengths": "Clear instructions and context provided.", "prompt_issues": "Could specify the expected format of the answer more clearly.", "response_strengths": "Directly addresses the question with a clear rationale and relevant code example.", "response_issues": "None significant; response is comprehensive.", "prompt_rewrite": "Pada kode: ```...``` Berdasarkan plot validation curve di atas, pilih satu nilai alpha terbaik untuk Kelas A dan jelaskan alasan singkatnya. Format jawaban: [nilai alpha, alasan].", "response_improvement_suggestions": "None; response is already well-structured and informative.", "verdict": "excellent", "needs_human_review": false}</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</si>
  <si>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</si>
  <si>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</si>
  <si>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
```</t>
  </si>
  <si>
    <t>Clear request for help with specific datasets.</t>
  </si>
  <si>
    <t>Could benefit from clearer structure and formatting.</t>
  </si>
  <si>
    <t>Comprehensive and correct code addressing the prompt's needs.</t>
  </si>
  <si>
    <t>None significant; code is well-structured and clear.</t>
  </si>
  <si>
    <t>Saya, Stepanu Sugianto, mahasiswa Teknik Informatika angkatan 2023, membutuhkan bantuan untuk menganalisis dataset housing_dataset.csv dan housing_labels.csv. Bagaimana cara memeriksa nilai null dalam kedua dataset tersebut?</t>
  </si>
  <si>
    <t>Consider adding comments to explain each section of the code for better clarity.</t>
  </si>
  <si>
    <t>{"prompt_score": 4, "response_score": 5, "overall_score": 5, "prompt_strengths": "Clear request for help with specific datasets.", "prompt_issues": "Could benefit from clearer structure and formatting.", "response_strengths": "Comprehensive and correct code addressing the prompt's needs.", "response_issues": "None significant; code is well-structured and clear.", "prompt_rewrite": "Saya, Stepanu Sugianto, mahasiswa Teknik Informatika angkatan 2023, membutuhkan bantuan untuk menganalisis dataset housing_dataset.csv dan housing_labels.csv. Bagaimana cara memeriksa nilai null dalam kedua dataset tersebut?", "response_improvement_suggestions": "Consider adding comments to explain each section of the code for better clarity.", "verdict": "excellent", "needs_human_review": false}</t>
  </si>
  <si>
    <t>[LANG:Python]
[MODE:code]
---------------------------------------------------------------------------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</si>
  <si>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</si>
  <si>
    <t>```python
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t>
  </si>
  <si>
    <t>Lacks clarity and structure; too verbose.</t>
  </si>
  <si>
    <t>Provides a clear and relevant solution to the error.</t>
  </si>
  <si>
    <t>Explain the TypeError encountered in scikit-learn and provide a clear example of how to fix it.</t>
  </si>
  <si>
    <t>Add comments explaining each step of the solution for better understanding.</t>
  </si>
  <si>
    <t>{"prompt_score": 3, "response_score": 4, "overall_score": 4, "prompt_strengths": "Identifies a specific error in code.", "prompt_issues": "Lacks clarity and structure; too verbose.", "response_strengths": "Provides a clear and relevant solution to the error.", "response_issues": "Could include more context or explanation for clarity.", "prompt_rewrite": "Explain the TypeError encountered in scikit-learn and provide a clear example of how to fix it.", "response_improvement_suggestions": "Add comments explaining each step of the solution for better understanding.", "verdict": "good", "needs_human_review": false}</t>
  </si>
  <si>
    <t>[MODE:code]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</si>
  <si>
    <t># Latih grid_search dengan 6000 data pertama
n = 6000
X_6000 = housing.iloc[:n]
y_6000 = housing_labels[:n] if isinstance(housing_labels, np.ndarray) else housing_labels.iloc[:n]
grid_search.fit(X_6000, y_6000)</t>
  </si>
  <si>
    <t>```python
# Latih grid_search dengan 6000 data pertama
n = 6000
X_6000 = housing.iloc[:n]
y_6000 = housing_labels[:n] if isinstance(housing_labels, np.ndarray) else housing_labels.iloc[:n]
grid_search.fit(X_6000, y_6000)
```</t>
  </si>
  <si>
    <t>Detailed and context-rich with clear objectives.</t>
  </si>
  <si>
    <t>Could be more concise; some parts are overly verbose.</t>
  </si>
  <si>
    <t>Directly addresses the task with correct code.</t>
  </si>
  <si>
    <t>Praktikum ini berfokus pada pengembangan model regresi untuk memprediksi nilai median harga rumah menggunakan Support Vector Regression (SVR) dengan dataset perumahan yang berisi fitur numerik dan kategorikal. Tujuan utama adalah membangun pipeline machine learning terstruktur dengan preprocessing, rekayasa fitur, dan tuning hiperparameter menggunakan Scikit-learn. Dataset telah dimuat dan kolom null telah dianalisis. Buatlah kode untuk melatih grid_search dengan 6000 data pertama.</t>
  </si>
  <si>
    <t>{"prompt_score": 4, "response_score": 5, "overall_score": 4, "prompt_strengths": "Detailed and context-rich with clear objectives.", "prompt_issues": "Could be more concise; some parts are overly verbose.", "response_strengths": "Directly addresses the task with correct code.", "response_issues": "Lacks comments or explanations for clarity.", "prompt_rewrite": "Praktikum ini berfokus pada pengembangan model regresi untuk memprediksi nilai median harga rumah menggunakan Support Vector Regression (SVR) dengan dataset perumahan yang berisi fitur numerik dan kategorikal. Tujuan utama adalah membangun pipeline machine learning terstruktur dengan preprocessing, rekayasa fitur, dan tuning hiperparameter menggunakan Scikit-learn. Dataset telah dimuat dan kolom null telah dianalisis. Buatlah kode untuk melatih grid_search dengan 6000 data pertama.", "response_improvement_suggestions": "Add comments to explain each step of the code for better understanding.", "verdict": "good", "needs_human_review": false}</t>
  </si>
  <si>
    <t>[LANG:Python]
[MODE:code]
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</si>
  <si>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</si>
  <si>
    <t>```python
#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
```</t>
  </si>
  <si>
    <t>Clear and specific requirements.</t>
  </si>
  <si>
    <t>Correct implementation with clear code structure and comments.</t>
  </si>
  <si>
    <t>None significant; all requirements addressed.</t>
  </si>
  <si>
    <t>Implement the following code in Python: 1. Display descriptive statistics for numeric columns. 2. Visualize the distribution of the following numeric features from the dataset 'df':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3. Create a heatmap of correlations for numeric features. Use libraries: pandas, numpy, matplotlib, seaborn, sklearn. Please separate each code block with comments.</t>
  </si>
  <si>
    <t>Consider adding more comments to explain the logic behind each step.</t>
  </si>
  <si>
    <t>{"prompt_score": 4, "response_score": 5, "overall_score": 5, "prompt_strengths": "Clear and specific requirements.", "prompt_issues": "Could specify the expected format of the output more clearly.", "response_strengths": "Correct implementation with clear code structure and comments.", "response_issues": "None significant; all requirements addressed.", "prompt_rewrite": "Implement the following code in Python: 1. Display descriptive statistics for numeric columns. 2. Visualize the distribution of the following numeric features from the dataset 'df':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3. Create a heatmap of correlations for numeric features. Use libraries: pandas, numpy, matplotlib, seaborn, sklearn. Please separate each code block with comments.", "response_improvement_suggestions": "Consider adding more comments to explain the logic behind each step.", "verdict": "excellent", "needs_human_review": false}</t>
  </si>
  <si>
    <t>[MODE:summary]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</si>
  <si>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</si>
  <si>
    <t>Clear and specific questions about polynomial regression.</t>
  </si>
  <si>
    <t>Could provide more context on the expected format of the answers.</t>
  </si>
  <si>
    <t>Thoroughly addresses all questions with relevant details and clear explanations.</t>
  </si>
  <si>
    <t>Could be more concise in some areas to enhance clarity.</t>
  </si>
  <si>
    <t>Compare the suitability of a degree 6 polynomial regression model versus a linear model. Discuss training and validation error patterns at alpha = 0, and indicate signs of high bias or high variance. Repeat the analysis for alpha = 1 and alpha = 100, noting differences.</t>
  </si>
  <si>
    <t>Consider summarizing key points more succinctly to improve readability.</t>
  </si>
  <si>
    <t>{"prompt_score": 4, "response_score": 5, "overall_score": 4, "prompt_strengths": "Clear and specific questions about polynomial regression.", "prompt_issues": "Could provide more context on the expected format of the answers.", "response_strengths": "Thoroughly addresses all questions with relevant details and clear explanations.", "response_issues": "Could be more concise in some areas to enhance clarity.", "prompt_rewrite": "Compare the suitability of a degree 6 polynomial regression model versus a linear model. Discuss training and validation error patterns at alpha = 0, and indicate signs of high bias or high variance. Repeat the analysis for alpha = 1 and alpha = 100, noting differences.", "response_improvement_suggestions": "Consider summarizing key points more succinctly to improve readability.", "verdict": "good", "needs_human_review": false}</t>
  </si>
  <si>
    <t>[MODE:summary_code_explanation]
Kembali kita gunakan `cross_val_predict` sama seperti ketika kita menggunakan LogisticRegression tetapi kali ini `method`-nya adalah `predict_proba`.</t>
  </si>
  <si>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</si>
  <si>
    <t>Clear and specific about the method and context.</t>
  </si>
  <si>
    <t>Could provide more context on the purpose of using `predict_proba`.</t>
  </si>
  <si>
    <t>Accurate, complete, and clearly explains the output of the method.</t>
  </si>
  <si>
    <t>None significant; could include a brief example of ROC/PR evaluation.</t>
  </si>
  <si>
    <t>Jelaskan penggunaan `cross_val_predict` dengan `method="predict_proba"` dalam konteks evaluasi model.</t>
  </si>
  <si>
    <t>Add a brief example of how to interpret ROC/PR results using the output.</t>
  </si>
  <si>
    <t>{"prompt_score": 4, "response_score": 5, "overall_score": 4, "prompt_strengths": "Clear and specific about the method and context.", "prompt_issues": "Could provide more context on the purpose of using `predict_proba`.", "response_strengths": "Accurate, complete, and clearly explains the output of the method.", "response_issues": "None significant; could include a brief example of ROC/PR evaluation.", "prompt_rewrite": "Jelaskan penggunaan `cross_val_predict` dengan `method=\"predict_proba\"` dalam konteks evaluasi model.", "response_improvement_suggestions": "Add a brief example of how to interpret ROC/PR results using the output.", "verdict": "good", "needs_human_review": false}</t>
  </si>
  <si>
    <t>[MODE:summary_code_explanation]
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</si>
  <si>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</si>
  <si>
    <t>The prompt is clear about the task and provides context.</t>
  </si>
  <si>
    <t>Lacks specificity in what adjustments are needed.</t>
  </si>
  <si>
    <t>Could include more detail on potential adjustments.</t>
  </si>
  <si>
    <t>[MODE:summary_code_explanation] Cek kode berikut untuk bagian 1 load dataset. Apakah ada yang perlu disesuaikan? Berikan detail spesifik jika ada kesalahan.</t>
  </si>
  <si>
    <t>Add examples of common adjustments that might be needed.</t>
  </si>
  <si>
    <t>{"prompt_score": 3, "response_score": 4, "overall_score": 4, "prompt_strengths": "The prompt is clear about the task and provides context.", "prompt_issues": "Lacks specificity in what adjustments are needed.", "response_strengths": "The response is relevant, correct, and provides a clear explanation.", "response_issues": "Could include more detail on potential adjustments.", "prompt_rewrite": "[MODE:summary_code_explanation] Cek kode berikut untuk bagian 1 load dataset. Apakah ada yang perlu disesuaikan? Berikan detail spesifik jika ada kesalahan.", "response_improvement_suggestions": "Add examples of common adjustments that might be needed.", "verdict": "good", "needs_human_review": false}</t>
  </si>
  <si>
    <t>[MODE:code]
Buatlah `model` yang merupakan model `LogisticRegression` dengan parameter `solver` adalah `liblinear`.</t>
  </si>
  <si>
    <t>Clear and specific request for a LogisticRegression model.</t>
  </si>
  <si>
    <t>Could provide more context on usage or additional parameters.</t>
  </si>
  <si>
    <t>Correct implementation of the LogisticRegression model with specified solver.</t>
  </si>
  <si>
    <t>Buatlah `model` yang merupakan model `LogisticRegression` dengan parameter `solver` adalah `liblinear`. Sertakan contoh penggunaan model ini.</t>
  </si>
  <si>
    <t>Consider adding a brief explanation of the model or example usage.</t>
  </si>
  <si>
    <t>{"prompt_score": 4, "response_score": 5, "overall_score": 4, "prompt_strengths": "Clear and specific request for a LogisticRegression model.", "prompt_issues": "Could provide more context on usage or additional parameters.", "response_strengths": "Correct implementation of the LogisticRegression model with specified solver.", "response_issues": "None.", "prompt_rewrite": "Buatlah `model` yang merupakan model `LogisticRegression` dengan parameter `solver` adalah `liblinear`. Sertakan contoh penggunaan model ini.", "response_improvement_suggestions": "Consider adding a brief explanation of the model or example usage.", "verdict": "good", "needs_human_review": false}</t>
  </si>
  <si>
    <t>[MODE:summary_code_explanation]
[ASSESSMENT_ID:1771cf8e-0a65-11f1-b762-3e0936ad7efb]
[FORCE_GPT:true]
[AUTO_FALLBACK:true]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</si>
  <si>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</si>
  <si>
    <t>Clear and detailed instructions for EDA tasks.</t>
  </si>
  <si>
    <t>Comprehensive implementation covering all requested EDA tasks.</t>
  </si>
  <si>
    <t>[MODE:summary_code_explanation] Konteks: Saya butuh implementasi EDA berorientasi risiko. Kerjakan analisis berikut: 1. Cek missing value. 2. Tampilkan statistik deskriptif fitur numerik. 3. Visualisasikan distribusi fitur numerik relevan untuk risiko akademik. 4. Bandingkan dua fitur antara kelompok `Pass` dan `Fail`. 5. Buat heatmap korelasi numerik. 6. Berikan insight untuk setiap hasil EDA. Bahasa: [Python]. Input: [struktur data]. Output: [kode runnable dan format hasil yang diharapkan].</t>
  </si>
  <si>
    <t>Summarize insights more succinctly and ensure all code is runnable without excessive length.</t>
  </si>
  <si>
    <t>{"prompt_score": 4, "response_score": 4, "overall_score": 4, "prompt_strengths": "Clear and detailed instructions for EDA tasks.", "prompt_issues": "Could specify the expected output format more clearly.", "response_strengths": "Comprehensive implementation covering all requested EDA tasks.", "response_issues": "Response is lengthy and could be more concise.", "prompt_rewrite": "[MODE:summary_code_explanation] Konteks: Saya butuh implementasi EDA berorientasi risiko. Kerjakan analisis berikut: 1. Cek missing value. 2. Tampilkan statistik deskriptif fitur numerik. 3. Visualisasikan distribusi fitur numerik relevan untuk risiko akademik. 4. Bandingkan dua fitur antara kelompok `Pass` dan `Fail`. 5. Buat heatmap korelasi numerik. 6. Berikan insight untuk setiap hasil EDA. Bahasa: [Python]. Input: [struktur data]. Output: [kode runnable dan format hasil yang diharapkan].", "response_improvement_suggestions": "Summarize insights more succinctly and ensure all code is runnable without excessive length.", "verdict": "good", "needs_human_review": false}</t>
  </si>
  <si>
    <t>[MODE:summary_code_explanation]
I want to apply fix to the histogram, how can I compare between 2 features with the histogram plot rather than showing the counts for each bin of a single feature?</t>
  </si>
  <si>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</si>
  <si>
    <t>Clear and specific about comparing features.</t>
  </si>
  <si>
    <t>How can I compare the distributions of two features using a histogram plot in Python?</t>
  </si>
  <si>
    <t>{"prompt_score": 4, "response_score": 5, "overall_score": 5, "prompt_strengths": "Clear and specific about comparing features.", "prompt_issues": "Could provide more context on the dataset.", "response_strengths": "Highly relevant, correct, and complete with clear code examples.", "response_issues": "Could be slightly more concise.", "prompt_rewrite": "How can I compare the distributions of two features using a histogram plot in Python?", "response_improvement_suggestions": "Consider summarizing the explanation to enhance conciseness.", "verdict": "excellent", "needs_human_review": false}</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</si>
  <si>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</si>
  <si>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</si>
  <si>
    <t>Clear and specific tasks with relevant context.</t>
  </si>
  <si>
    <t>Could provide more details on expected output format.</t>
  </si>
  <si>
    <t>Buatlah kode Python untuk memprediksi nilai ujian akhir mahasiswa dan mengklasifikasikan status kelulusan (Pass/Fail) berdasarkan dataset yang diberikan. Sertakan penjelasan singkat tentang setiap langkah.</t>
  </si>
  <si>
    <t>Consider adding comments in the code for better understanding.</t>
  </si>
  <si>
    <t>{"prompt_score": 4, "response_score": 5, "overall_score": 5, "prompt_strengths": "Clear and specific tasks with relevant context.", "prompt_issues": "Could provide more details on expected output format.", "response_strengths": "Comprehensive, correct, and well-structured code with explanations.", "response_issues": "None significant; all tasks addressed effectively.", "prompt_rewrite": "Buatlah kode Python untuk memprediksi nilai ujian akhir mahasiswa dan mengklasifikasikan status kelulusan (Pass/Fail) berdasarkan dataset yang diberikan. Sertakan penjelasan singkat tentang setiap langkah.", "response_improvement_suggestions": "Consider adding comments in the code for better understanding.", "verdict": "excellent", "needs_human_review": false}</t>
  </si>
  <si>
    <t>[MODE:summary_code_explanation]
Mari kita hitung _accuracy_ dari classifier knn  yang sudah dibuat ##### Your Code Here ##### baseline_accuracy =</t>
  </si>
  <si>
    <t>**SUMMARY**  
Hitung akurasi KNN pada test set dengan `.score(X_test, y_test)` dan simpan ke `baseline_accuracy`.
```python
baseline_accuracy = knn_clf.score(X_test, y_test)
```
**EXPLANATION**  
`.score(...)` untuk classifier di scikit-learn mengembalikan **accuracy** (proporsi prediksi benar) pada data yang diberikan.</t>
  </si>
  <si>
    <t>Clear intent to calculate accuracy.</t>
  </si>
  <si>
    <t>Lacks specific context for the classifier and dataset.</t>
  </si>
  <si>
    <t>Could provide more context on KNN usage.</t>
  </si>
  <si>
    <t>Calculate the accuracy of the KNN classifier on the provided test dataset.</t>
  </si>
  <si>
    <t>Include a brief explanation of KNN and its significance in classification.</t>
  </si>
  <si>
    <t>{"prompt_score": 4, "response_score": 5, "overall_score": 4, "prompt_strengths": "Clear intent to calculate accuracy.", "prompt_issues": "Lacks specific context for the classifier and dataset.", "response_strengths": "Correct and complete explanation with relevant code.", "response_issues": "Could provide more context on KNN usage.", "prompt_rewrite": "Calculate the accuracy of the KNN classifier on the provided test dataset.", "response_improvement_suggestions": "Include a brief explanation of KNN and its significance in classification.", "verdict": "good", "needs_human_review": false}</t>
  </si>
  <si>
    <t>[MODE:code]
tolong bantu jawab ini
Batch GD menggunakan
*
Sebagian
Tanpa data
Semua data
1 data
.............................</t>
  </si>
  <si>
    <t>Batch Gradient Descent menggunakan: Semua data</t>
  </si>
  <si>
    <t>```text
Batch Gradient Descent menggunakan: Semua data
```</t>
  </si>
  <si>
    <t>Attempts to ask for help with Batch GD.</t>
  </si>
  <si>
    <t>Lacks clarity and specificity; unclear what is being asked.</t>
  </si>
  <si>
    <t>Directly addresses the topic of Batch Gradient Descent.</t>
  </si>
  <si>
    <t>Too vague; does not explain how to implement or use Batch GD.</t>
  </si>
  <si>
    <t>Bisa tolong jelaskan cara menggunakan Batch Gradient Descent dengan data sebagian dan semua data?</t>
  </si>
  <si>
    <t>Provide a detailed explanation of Batch Gradient Descent and its implementation.</t>
  </si>
  <si>
    <t>{"prompt_score": 2, "response_score": 3, "overall_score": 2, "prompt_strengths": "Attempts to ask for help with Batch GD.", "prompt_issues": "Lacks clarity and specificity; unclear what is being asked.", "response_strengths": "Directly addresses the topic of Batch Gradient Descent.", "response_issues": "Too vague; does not explain how to implement or use Batch GD.", "prompt_rewrite": "Bisa tolong jelaskan cara menggunakan Batch Gradient Descent dengan data sebagian dan semua data?", "response_improvement_suggestions": "Provide a detailed explanation of Batch Gradient Descent and its implementation.", "verdict": "weak", "needs_human_review": false}</t>
  </si>
  <si>
    <t>[MODE:summary]
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</si>
  <si>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</si>
  <si>
    <t>Could benefit from more specificity regarding expected output format.</t>
  </si>
  <si>
    <t>Addresses the performance of the model and relates it to learning curves effectively.</t>
  </si>
  <si>
    <t>Could provide more detail on how to interpret the learning curve.</t>
  </si>
  <si>
    <t>Berikan penjelasan tentang _performance_ model linear regression di atas, terutama dari segi bias. Juga, implementasikan fungsi `learning_curve` untuk menghasilkan vektor error training dan validation. Sertakan detail tentang cara menghitung error dan interpretasi learning curve.</t>
  </si>
  <si>
    <t>Include a brief explanation of how to interpret the learning curve and its implications for model performance.</t>
  </si>
  <si>
    <t>{"prompt_score": 4, "response_score": 4, "overall_score": 4, "prompt_strengths": "Clear instructions and context for the task.", "prompt_issues": "Could benefit from more specificity regarding expected output format.", "response_strengths": "Addresses the performance of the model and relates it to learning curves effectively.", "response_issues": "Could provide more detail on how to interpret the learning curve.", "prompt_rewrite": "Berikan penjelasan tentang _performance_ model linear regression di atas, terutama dari segi bias. Juga, implementasikan fungsi `learning_curve` untuk menghasilkan vektor error training dan validation. Sertakan detail tentang cara menghitung error dan interpretasi learning curve.", "response_improvement_suggestions": "Include a brief explanation of how to interpret the learning curve and its implications for model performance.", "verdict": "good", "needs_human_review": false}</t>
  </si>
  <si>
    <t>[LANG:Python]
[MODE:summary_code_explanation]
bayangkan kamu seorang senior IT di salah satu unicorn indonesia,gojek,bantu saya untuk membuat kode yang akan digunakan untuk melihat hasil dari model  yang di train menggunakan linear regression</t>
  </si>
  <si>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</si>
  <si>
    <t>Comprehensive explanation and relevant code provided.</t>
  </si>
  <si>
    <t>None significant; all aspects covered well.</t>
  </si>
  <si>
    <t>Sebagai senior IT di Gojek, bantu saya membuat kode Python untuk mengevaluasi model Linear Regression yang telah dilatih, termasuk konteks dataset yang digunakan.</t>
  </si>
  <si>
    <t>Consider adding a brief note on data preprocessing steps if applicable.</t>
  </si>
  <si>
    <t>{"prompt_score": 4, "response_score": 5, "overall_score": 5, "prompt_strengths": "Clear and specific request for code and explanation.", "prompt_issues": "Could provide more context on the dataset.", "response_strengths": "Comprehensive explanation and relevant code provided.", "response_issues": "None significant; all aspects covered well.", "prompt_rewrite": "Sebagai senior IT di Gojek, bantu saya membuat kode Python untuk mengevaluasi model Linear Regression yang telah dilatih, termasuk konteks dataset yang digunakan.", "response_improvement_suggestions": "Consider adding a brief note on data preprocessing steps if applicable.", "verdict": "excellent", "needs_human_review": false}</t>
  </si>
  <si>
    <t>[MODE:summary]
pseudoinverse akan digunakan jika apa? data kecil, matriks singular, tidak ada noise atau data besar? jelaskan</t>
  </si>
  <si>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</si>
  <si>
    <t>Clear and specific question about pseudoinverse usage.</t>
  </si>
  <si>
    <t>Could provide more context on the application of pseudoinverse.</t>
  </si>
  <si>
    <t>Accurate, relevant, and comprehensive explanation.</t>
  </si>
  <si>
    <t>Dalam konteks apa pseudoinverse digunakan, terutama terkait dengan ukuran data dan sifat matriks?</t>
  </si>
  <si>
    <t>{"prompt_score": 4, "response_score": 5, "overall_score": 5, "prompt_strengths": "Clear and specific question about pseudoinverse usage.", "prompt_issues": "Could provide more context on the application of pseudoinverse.", "response_strengths": "Accurate, relevant, and comprehensive explanation.", "response_issues": "None noted.", "prompt_rewrite": "Dalam konteks apa pseudoinverse digunakan, terutama terkait dengan ukuran data dan sifat matriks?", "response_improvement_suggestions": "None needed; response is complete.", "verdict": "excellent", "needs_human_review": false}</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</si>
  <si>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</si>
  <si>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</si>
  <si>
    <t>Clear context and specific task requirements.</t>
  </si>
  <si>
    <t>Could benefit from more explicit constraints on the expected output format.</t>
  </si>
  <si>
    <t>Relevant code provided with clear structure and explanations.</t>
  </si>
  <si>
    <t>Response is incomplete; it cuts off before finishing the explanation.</t>
  </si>
  <si>
    <t>[MODE:summary_code_explanation] Konteks: Saya sedang mengerjakan Kecerdasan Mesin. Soal: Setelah berhasil melakukan prediksi final_exam_score, lakukan logistic regression untuk prediksi nilai pass_fail menggunakan hasil prediksi final_exam_score. Evaluasi model menggunakan: Confusion matrix, Accuracy, precision, recall, roc curve dan auc. Harap sertakan semua langkah dan hasil evaluasi dalam format yang jelas.</t>
  </si>
  <si>
    <t>Complete the response by including the final predictions and evaluation metrics.</t>
  </si>
  <si>
    <t>{"prompt_score": 4, "response_score": 4, "overall_score": 4, "prompt_strengths": "Clear context and specific task requirements.", "prompt_issues": "Could benefit from more explicit constraints on the expected output format.", "response_strengths": "Relevant code provided with clear structure and explanations.", "response_issues": "Response is incomplete; it cuts off before finishing the explanation.", "prompt_rewrite": "[MODE:summary_code_explanation] Konteks: Saya sedang mengerjakan Kecerdasan Mesin. Soal: Setelah berhasil melakukan prediksi final_exam_score, lakukan logistic regression untuk prediksi nilai pass_fail menggunakan hasil prediksi final_exam_score. Evaluasi model menggunakan: Confusion matrix, Accuracy, precision, recall, roc curve dan auc. Harap sertakan semua langkah dan hasil evaluasi dalam format yang jelas.", "response_improvement_suggestions": "Complete the response by including the final predictions and evaluation metrics.", "verdict": "good", "needs_human_review": false}</t>
  </si>
  <si>
    <t>[MODE:code]
[ASSESSMENT_ID:1771cf81-0a65-11f1-b762-3e0936ad7efb]
[FORCE_GPT:true]
[AUTO_FALLBACK:true]
Buatkan kode untuk membuat variabel dengan nama "filename" dan isi variabel bertipe string, yaitu pima-indians-diabetes.data.csv. menggunakan bahasa python di jupyternotebook</t>
  </si>
  <si>
    <t>filename = "pima-indians-diabetes.data.csv"</t>
  </si>
  <si>
    <t>```python
filename = "pima-indians-diabetes.data.csv"
```</t>
  </si>
  <si>
    <t>Buatkan kode Python di Jupyter Notebook untuk membuat variabel bernama "filename" yang berisi string "pima-indians-diabetes.data.csv".</t>
  </si>
  <si>
    <t>No improvements needed.</t>
  </si>
  <si>
    <t>{"prompt_score": 4, "response_score": 5, "overall_score": 4, "prompt_strengths": "Clear and specific about the task.", "prompt_issues": "Could provide more context on usage.", "response_strengths": "Correct and complete code for the task.", "response_issues": "None.", "prompt_rewrite": "Buatkan kode Python di Jupyter Notebook untuk membuat variabel bernama \"filename\" yang berisi string \"pima-indians-diabetes.data.csv\".", "response_improvement_suggestions": "No improvements needed.", "verdict": "good", "needs_human_review": false}</t>
  </si>
  <si>
    <t>[LANG:Python]
[MODE:summary_code_explanation]
[ASSESSMENT_ID:1771cf87-0a65-11f1-b762-3e0936ad7efb]
[FORCE_GPT:true]
[AUTO_FALLBACK:true]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</si>
  <si>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</si>
  <si>
    <t>Clear and specific with context and constraints.</t>
  </si>
  <si>
    <t>Could provide more explicit instructions for the response format.</t>
  </si>
  <si>
    <t>Highly relevant, correct, and complete with clear explanations.</t>
  </si>
  <si>
    <t>[LANG:Python] [MODE:summary_code_explanation] [ASSESSMENT_ID:1771cf87-0a65-11f1-b762-3e0936ad7efb] [FORCE_GPT:true] [AUTO_FALLBACK:true] Explain the importance of feature scaling in machine learning, particularly when features have significantly different scales, and its impact on the convergence speed of gradient descent.</t>
  </si>
  <si>
    <t>Consider summarizing key points more concisely to enhance readability.</t>
  </si>
  <si>
    <t>{"prompt_score": 4, "response_score": 5, "overall_score": 5, "prompt_strengths": "Clear and specific with context and constraints.", "prompt_issues": "Could provide more explicit instructions for the response format.", "response_strengths": "Highly relevant, correct, and complete with clear explanations.", "response_issues": "None significant; could be slightly more concise.", "prompt_rewrite": "[LANG:Python] [MODE:summary_code_explanation] [ASSESSMENT_ID:1771cf87-0a65-11f1-b762-3e0936ad7efb] [FORCE_GPT:true] [AUTO_FALLBACK:true] Explain the importance of feature scaling in machine learning, particularly when features have significantly different scales, and its impact on the convergence speed of gradient descent.", "response_improvement_suggestions": "Consider summarizing key points more concisely to enhance readability.", "verdict": "excellent", "needs_human_review": false}</t>
  </si>
  <si>
    <t>[MODE:summary]
Outcome
0    65.104167
1    34.895833
Name: proportion, dtype: float64 apakah hasil pembagian data ini seimbang atau tidak?</t>
  </si>
  <si>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</si>
  <si>
    <t>Asks about data balance clearly.</t>
  </si>
  <si>
    <t>Lacks context on what the data represents.</t>
  </si>
  <si>
    <t>Accurate analysis of data balance with actionable suggestions.</t>
  </si>
  <si>
    <t>Could provide more detail on handling imbalance.</t>
  </si>
  <si>
    <t>Apakah hasil pembagian data ini seimbang? Data ini menunjukkan proporsi kelas 0 dan kelas 1.</t>
  </si>
  <si>
    <t>Include examples of specific techniques for handling class imbalance.</t>
  </si>
  <si>
    <t>{"prompt_score": 3, "response_score": 5, "overall_score": 4, "prompt_strengths": "Asks about data balance clearly.", "prompt_issues": "Lacks context on what the data represents.", "response_strengths": "Accurate analysis of data balance with actionable suggestions.", "response_issues": "Could provide more detail on handling imbalance.", "prompt_rewrite": "Apakah hasil pembagian data ini seimbang? Data ini menunjukkan proporsi kelas 0 dan kelas 1.", "response_improvement_suggestions": "Include examples of specific techniques for handling class imbalance.", "verdict": "good", "needs_human_review": false}</t>
  </si>
  <si>
    <t>[LANG:Python]
[MODE:code]
[ASSESSMENT_ID:1771cf8b-0a65-11f1-b762-3e0936ad7efb]
[FORCE_GPT:true]
[AUTO_FALLBACK:true]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</si>
  <si>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t>
  </si>
  <si>
    <t>```python
###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
```
```python
### YOUR CODES HERE ###
# Lengkapi fungsi ini agar:
# - theta dilatih pada i contoh pertama,
# - training error dihitung pada subset train yang sama,
# - validation error dihitung pada seluruh validation set,
# - perhitungan error memakai alpha = 0.
for i in range(m):
    x_i = X[: i + 1, :]  # Kode disini
    y_i = y[: i + 1]  # Kode disini
    theta = train_linear_reg(x_i, y_i, alpha)  # Kode disini
    error_train[i] = linear_reg_cost_function(theta, x_i, y_i, 0)[0]  # Kode disini
    error_val[i] = linear_reg_cost_function(theta, Xval, yval, 0)[0]  # Kode disini
```
```python
### YOUR CODES HERE ###
# Diberikan vektor X, kembalikan matriks X_poly
# sehingga kolom ke-k berisi X pangkat (k + 1).
P = np.arange(1, p + 1)  # Kode disini
X_poly = np.reshape(X, (-1, 1)) ** P  # Kode disini
```</t>
  </si>
  <si>
    <t>Clear instructions and specific requirements for code implementation.</t>
  </si>
  <si>
    <t>Could benefit from clearer formatting for readability.</t>
  </si>
  <si>
    <t>Correctly implements the required calculations for cost and gradient.</t>
  </si>
  <si>
    <t>Lacks comments explaining each step, which could enhance clarity.</t>
  </si>
  <si>
    <t>Implementasi dasar regularized linear regression dan polynomial regression. Generate code hanya pada sel kode yang diberi penanda ### YOUR CODES HERE ### atau ### Kode disini ###. Lengkapi fungsi linear_reg_cost_function dan learning_curve sesuai instruksi yang diberikan. Pastikan theta[0] tidak diregularisasi dan gunakan alpha = 0 saat menghitung error.</t>
  </si>
  <si>
    <t>Add comments to explain each calculation step for better understanding.</t>
  </si>
  <si>
    <t>{"prompt_score": 4, "response_score": 4, "overall_score": 4, "prompt_strengths": "Clear instructions and specific requirements for code implementation.", "prompt_issues": "Could benefit from clearer formatting for readability.", "response_strengths": "Correctly implements the required calculations for cost and gradient.", "response_issues": "Lacks comments explaining each step, which could enhance clarity.", "prompt_rewrite": "Implementasi dasar regularized linear regression dan polynomial regression. Generate code hanya pada sel kode yang diberi penanda ### YOUR CODES HERE ### atau ### Kode disini ###. Lengkapi fungsi linear_reg_cost_function dan learning_curve sesuai instruksi yang diberikan. Pastikan theta[0] tidak diregularisasi dan gunakan alpha = 0 saat menghitung error.", "response_improvement_suggestions": "Add comments to explain each calculation step for better understanding.", "verdict": "good", "needs_human_review": false}</t>
  </si>
  <si>
    <t>[MODE:summary_code_explanation]
saya sudah menggambarkan kurva precission vs recall, lalu diminta untuk menghitung ROC Area Under Curve (AUC). bagaimana caranya</t>
  </si>
  <si>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</si>
  <si>
    <t>Clear and specific request for ROC AUC calculation.</t>
  </si>
  <si>
    <t>None significant; very helpful.</t>
  </si>
  <si>
    <t>Saya sudah menggambarkan kurva precision vs recall. Bagaimana cara menghitung ROC Area Under Curve (AUC) untuk model saya dengan data yang ada?</t>
  </si>
  <si>
    <t>{"prompt_score": 4, "response_score": 5, "overall_score": 5, "prompt_strengths": "Clear and specific request for ROC AUC calculation.", "prompt_issues": "Could provide more context on the data used.", "response_strengths": "Accurate, complete, and clear explanation with code example.", "response_issues": "None significant; very helpful.", "prompt_rewrite": "Saya sudah menggambarkan kurva precision vs recall. Bagaimana cara menghitung ROC Area Under Curve (AUC) untuk model saya dengan data yang ada?", "response_improvement_suggestions": "None; response is already comprehensive.", "verdict": "excellent", "needs_human_review": false}</t>
  </si>
  <si>
    <t>[MODE:code]
saya punya sebuah pertanyaan yang harus dijawab, coba berikan jawaban terhadap soal ini. Apa fungsi StandardScaler()</t>
  </si>
  <si>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</si>
  <si>
    <t>```python
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
```</t>
  </si>
  <si>
    <t>Clear and specific question about StandardScaler.</t>
  </si>
  <si>
    <t>Accurate, complete explanation of StandardScaler's function.</t>
  </si>
  <si>
    <t>Formatting could be improved for readability.</t>
  </si>
  <si>
    <t>Apa fungsi StandardScaler() dalam scikit-learn dan bagaimana cara kerjanya?</t>
  </si>
  <si>
    <t>Use bullet points or separate lines for better readability.</t>
  </si>
  <si>
    <t>{"prompt_score": 4, "response_score": 5, "overall_score": 4, "prompt_strengths": "Clear and specific question about StandardScaler.", "prompt_issues": "Could provide more context on the audience's knowledge level.", "response_strengths": "Accurate, complete explanation of StandardScaler's function.", "response_issues": "Formatting could be improved for readability.", "prompt_rewrite": "Apa fungsi StandardScaler() dalam scikit-learn dan bagaimana cara kerjanya?", "response_improvement_suggestions": "Use bullet points or separate lines for better readability.", "verdict": "good", "needs_human_review": false}</t>
  </si>
  <si>
    <t>[MODE:code]
[ASSESSMENT_ID:1771cf8e-0a65-11f1-b762-3e0936ad7efb]
[FORCE_GPT:true]
[AUTO_FALLBACK:true]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</si>
  <si>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t>
  </si>
  <si>
    <t>```python
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
```</t>
  </si>
  <si>
    <t>Clear instructions and context for model creation.</t>
  </si>
  <si>
    <t>Could specify the dataset structure more clearly.</t>
  </si>
  <si>
    <t>Correct implementation of the classification model with clear steps.</t>
  </si>
  <si>
    <t>Could include comments on the output interpretation.</t>
  </si>
  <si>
    <t>Buat model klasifikasi menggunakan LogisticRegression untuk memprediksi pass_fail, dengan fitur masukan dari hasil prediksi final_exam_score yang diperoleh dari regresi. Pastikan dataset memiliki kolom 'final_exam_score' dan 'pass_fail'.</t>
  </si>
  <si>
    <t>Add comments explaining the output predictions and their significance.</t>
  </si>
  <si>
    <t>{"prompt_score": 4, "response_score": 5, "overall_score": 4, "prompt_strengths": "Clear instructions and context for model creation.", "prompt_issues": "Could specify the dataset structure more clearly.", "response_strengths": "Correct implementation of the classification model with clear steps.", "response_issues": "Could include comments on the output interpretation.", "prompt_rewrite": "Buat model klasifikasi menggunakan LogisticRegression untuk memprediksi pass_fail, dengan fitur masukan dari hasil prediksi final_exam_score yang diperoleh dari regresi. Pastikan dataset memiliki kolom 'final_exam_score' dan 'pass_fail'.", "response_improvement_suggestions": "Add comments explaining the output predictions and their significance.", "verdict": "good", "needs_human_review": false}</t>
  </si>
  <si>
    <t>[MODE:summary_code_explanation]
untuk:
 Y = dataframe.iloc[:, 7]
test_size = 0.33, apakah huruf  y nya harus huruf besar atau huruf kecil atau tidak berpengaruh?</t>
  </si>
  <si>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</si>
  <si>
    <t>Clear and specific question about variable naming in Python.</t>
  </si>
  <si>
    <t>Could provide more context on the use case.</t>
  </si>
  <si>
    <t>Accurate, clear, and provides helpful explanation with code example.</t>
  </si>
  <si>
    <t>Apakah huruf Y dalam 'Y = dataframe.iloc[:, 7]' harus besar atau kecil dalam konteks Python, dan bagaimana pengaruhnya terhadap kode?</t>
  </si>
  <si>
    <t>{"prompt_score": 4, "response_score": 5, "overall_score": 4, "prompt_strengths": "Clear and specific question about variable naming in Python.", "prompt_issues": "Could provide more context on the use case.", "response_strengths": "Accurate, clear, and provides helpful explanation with code example.", "response_issues": "None significant.", "prompt_rewrite": "Apakah huruf Y dalam 'Y = dataframe.iloc[:, 7]' harus besar atau kecil dalam konteks Python, dan bagaimana pengaruhnya terhadap kode?", "response_improvement_suggestions": "None needed; response is already comprehensive.", "verdict": "good", "needs_human_review": false}</t>
  </si>
  <si>
    <t>[MODE:summary]
sekarang saya sedang kuis mata kuliah machine learning semester 4,cross-entropy digunakan untuk , jawab dengan singkat dan jelas</t>
  </si>
  <si>
    <t>Cross-entropy digunakan sebagai fungsi loss untuk mengukur seberapa jauh prediksi probabilitas model dari label sebenarnya, terutama pada tugas klasifikasi. Loss ini mendorong model memberi probabilitas tinggi pada kelas yang benar dan rendah pada kelas lain.</t>
  </si>
  <si>
    <t>Could provide more context about the audience or expected detail level.</t>
  </si>
  <si>
    <t>Accurate, clear, and directly addresses the prompt.</t>
  </si>
  <si>
    <t>Jelaskan secara singkat dan jelas tentang penggunaan cross-entropy dalam machine learning.</t>
  </si>
  <si>
    <t>{"prompt_score": 4, "response_score": 5, "overall_score": 5, "prompt_strengths": "Clear and specific request for information.", "prompt_issues": "Could provide more context about the audience or expected detail level.", "response_strengths": "Accurate, clear, and directly addresses the prompt.", "response_issues": "None identified.", "prompt_rewrite": "Jelaskan secara singkat dan jelas tentang penggunaan cross-entropy dalam machine learning.", "response_improvement_suggestions": "None needed; response is already strong.", "verdict": "excellent", "needs_human_review": false}</t>
  </si>
  <si>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</si>
  <si>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</si>
  <si>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Clear and specific instructions for model building and evaluation.</t>
  </si>
  <si>
    <t>Comprehensive implementation with clear explanations and relevant code.</t>
  </si>
  <si>
    <t>Bagian 5 - Pemodelan Klasifikasi: Bangun model klasifikasi menggunakan LogisticRegression untuk memprediksi pass_fail dengan input dari prediksi final_exam_score. Evaluasi model menggunakan Confusion Matrix, Accuracy, Precision, Recall, ROC Curve, dan AUC.</t>
  </si>
  <si>
    <t>{"prompt_score": 5, "response_score": 5, "overall_score": 5, "prompt_strengths": "Clear and specific instructions for model building and evaluation.", "prompt_issues": "None.", "response_strengths": "Comprehensive implementation with clear explanations and relevant code.", "response_issues": "None.", "prompt_rewrite": "Bagian 5 - Pemodelan Klasifikasi: Bangun model klasifikasi menggunakan LogisticRegression untuk memprediksi pass_fail dengan input dari prediksi final_exam_score. Evaluasi model menggunakan Confusion Matrix, Accuracy, Precision, Recall, ROC Curve, dan AUC.", "response_improvement_suggestions": "Consider adding comments in the code for better understanding.", "verdict": "excellent", "needs_human_review": false}</t>
  </si>
  <si>
    <t>[LANG:Python]
[MODE:summary_code_explanation]
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</si>
  <si>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</si>
  <si>
    <t>Minor grammatical error in 'sucessfully'.</t>
  </si>
  <si>
    <t>[LANG:Python] [MODE:summary_code_explanation] I'm using Python and have imported the pandas library as ```pd```. I've successfully loaded the csv dataset into a variable called ```df``` (DataFrame object) with the columns: ```age, sex, bmi, children, smoker, region, charges```. I want to separate the dataframe into ```X``` for the features and ```y``` for the labels. The features' columns are: ```age, sex, bmi, children, smoker, region``` and the label's column is: ```charges```.</t>
  </si>
  <si>
    <t>{"prompt_score": 4, "response_score": 5, "overall_score": 5, "prompt_strengths": "Clear and specific about the task.", "prompt_issues": "Minor grammatical error in 'sucessfully'.", "response_strengths": "Accurate, complete, and well-explained.", "response_issues": "None.", "prompt_rewrite": "[LANG:Python] [MODE:summary_code_explanation] I'm using Python and have imported the pandas library as ```pd```. I've successfully loaded the csv dataset into a variable called ```df``` (DataFrame object) with the columns: ```age, sex, bmi, children, smoker, region, charges```. I want to separate the dataframe into ```X``` for the features and ```y``` for the labels. The features' columns are: ```age, sex, bmi, children, smoker, region``` and the label's column is: ```charges```.", "response_improvement_suggestions": "None needed; response is already excellent.", "verdict": "excellent", "needs_human_review": false}</t>
  </si>
  <si>
    <t>[MODE:summary]
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</si>
  <si>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</si>
  <si>
    <t>The prompt is clear and provides specific code context.</t>
  </si>
  <si>
    <t>Could benefit from more explicit constraints or expected outcomes.</t>
  </si>
  <si>
    <t>The response is relevant, correct, and provides a thorough evaluation.</t>
  </si>
  <si>
    <t>Could be more concise and structured for easier readability.</t>
  </si>
  <si>
    <t>[MODE:summary] Please evaluate if the following code meets the 10 assessment categories, focusing on the third part: feature preparation and target. Here is the code: ...</t>
  </si>
  <si>
    <t>Summarize key points more concisely and use bullet points for clarity.</t>
  </si>
  <si>
    <t>{"prompt_score": 4, "response_score": 4, "overall_score": 4, "prompt_strengths": "The prompt is clear and provides specific code context.", "prompt_issues": "Could benefit from more explicit constraints or expected outcomes.", "response_strengths": "The response is relevant, correct, and provides a thorough evaluation.", "response_issues": "Could be more concise and structured for easier readability.", "prompt_rewrite": "[MODE:summary] Please evaluate if the following code meets the 10 assessment categories, focusing on the third part: feature preparation and target. Here is the code: ...", "response_improvement_suggestions": "Summarize key points more concisely and use bullet points for clarity.", "verdict": "good", "needs_human_review": false}</t>
  </si>
  <si>
    <t>[MODE:summary_code_explanation]
apa yang salah dari ini : error_train, error_val = learning_curve(X_poly, y, X_poly_val, yval, alpha)</t>
  </si>
  <si>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</si>
  <si>
    <t>Apa yang mungkin menyebabkan error 'size 9 is different from 1' dalam kode ini: error_train, error_val = learning_curve(X_poly, y, X_poly_val, yval, alpha?</t>
  </si>
  <si>
    <t>Consider summarizing key points at the end for quick reference.</t>
  </si>
  <si>
    <t>{"prompt_score": 4, "response_score": 5, "overall_score": 5, "prompt_strengths": "Clear and specific about the error context.", "prompt_issues": "Could provide more context on the expected input shapes.", "response_strengths": "Thorough explanation with actionable code examples.", "response_issues": "None significant; very comprehensive.", "prompt_rewrite": "Apa yang mungkin menyebabkan error 'size 9 is different from 1' dalam kode ini: error_train, error_val = learning_curve(X_poly, y, X_poly_val, yval, alpha?", "response_improvement_suggestions": "Consider summarizing key points at the end for quick reference.", "verdict": "excellent", "needs_human_review": false}</t>
  </si>
  <si>
    <t>[MODE:summary]
sebutkan jawaban dari soal berikut ini
Fungsi aktivasi logistic regression
*
ReLU
Linear
Sigmoid
Tanh</t>
  </si>
  <si>
    <t>Fungsi aktivasi yang digunakan pada logistic regression adalah Sigmoid, karena memetakan output menjadi probabilitas antara 0 dan 1. ReLU, Linear, dan Tanh bukan aktivasi standar untuk logistic regression biner.</t>
  </si>
  <si>
    <t>Clear and specific question about activation functions.</t>
  </si>
  <si>
    <t>Could provide more context on logistic regression.</t>
  </si>
  <si>
    <t>Accurate, clear, and directly answers the question.</t>
  </si>
  <si>
    <t>Could elaborate on why other functions are not used.</t>
  </si>
  <si>
    <t>[MODE:summary] Sebutkan dan jelaskan fungsi aktivasi yang digunakan dalam logistic regression.</t>
  </si>
  <si>
    <t>Include a brief explanation of why ReLU, Linear, and Tanh are not suitable.</t>
  </si>
  <si>
    <t>{"prompt_score": 4, "response_score": 5, "overall_score": 4, "prompt_strengths": "Clear and specific question about activation functions.", "prompt_issues": "Could provide more context on logistic regression.", "response_strengths": "Accurate, clear, and directly answers the question.", "response_issues": "Could elaborate on why other functions are not used.", "prompt_rewrite": "[MODE:summary] Sebutkan dan jelaskan fungsi aktivasi yang digunakan dalam logistic regression.", "response_improvement_suggestions": "Include a brief explanation of why ReLU, Linear, and Tanh are not suitable.", "verdict": "good", "needs_human_review": false}</t>
  </si>
  <si>
    <t>[LANG:Python]
[MODE:summary]
Hmm, what is a polynomial regression in Machine Learning? What's the difference between other regression method? Can you explain in simple terms and give a brief example case?</t>
  </si>
  <si>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</si>
  <si>
    <t>Could benefit from more context on the audience's knowledge level.</t>
  </si>
  <si>
    <t>Accurate explanation with a relevant example.</t>
  </si>
  <si>
    <t>Could be more concise and structured for easier understanding.</t>
  </si>
  <si>
    <t>[LANG:Python] [MODE:summary] Can you explain polynomial regression in Machine Learning in simple terms, including its differences from other regression methods, and provide a clear example?</t>
  </si>
  <si>
    <t>Consider breaking down the explanation into simpler parts and using bullet points for clarity.</t>
  </si>
  <si>
    <t>{"prompt_score": 4, "response_score": 4, "overall_score": 4, "prompt_strengths": "Clear and specific questions about polynomial regression.", "prompt_issues": "Could benefit from more context on the audience's knowledge level.", "response_strengths": "Accurate explanation with a relevant example.", "response_issues": "Could be more concise and structured for easier understanding.", "prompt_rewrite": "[LANG:Python] [MODE:summary] Can you explain polynomial regression in Machine Learning in simple terms, including its differences from other regression methods, and provide a clear example?", "response_improvement_suggestions": "Consider breaking down the explanation into simpler parts and using bullet points for clarity.", "verdict": "good", "needs_human_review": false}</t>
  </si>
  <si>
    <t>[MODE:summary]
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</si>
  <si>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</si>
  <si>
    <t>Clear summary of dataset characteristics and correlations.</t>
  </si>
  <si>
    <t>Could provide more context on the significance of findings.</t>
  </si>
  <si>
    <t>Addresses the prompt effectively and adds valuable insights.</t>
  </si>
  <si>
    <t>Could be more concise in some explanations.</t>
  </si>
  <si>
    <t>Buat ringkasan dataset dengan penekanan pada pola umum dari heatmap korelasi dan signifikansi temuan.</t>
  </si>
  <si>
    <t>Summarize key points more concisely and focus on the most critical insights.</t>
  </si>
  <si>
    <t>{"prompt_score": 4, "response_score": 4, "overall_score": 4, "prompt_strengths": "Clear summary of dataset characteristics and correlations.", "prompt_issues": "Could provide more context on the significance of findings.", "response_strengths": "Addresses the prompt effectively and adds valuable insights.", "response_issues": "Could be more concise in some explanations.", "prompt_rewrite": "Buat ringkasan dataset dengan penekanan pada pola umum dari heatmap korelasi dan signifikansi temuan.", "response_improvement_suggestions": "Summarize key points more concisely and focus on the most critical insights.", "verdict": "good", "needs_human_review": false}</t>
  </si>
  <si>
    <t>[MODE:summary_code_explanation]
bisa berikan saya penjelasan lebih terstruktur dan berbobot pada data yang ada dibawah: 
df.plot(kind="scatter", x="bmi", y="charges", alpha=0.5)</t>
  </si>
  <si>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</si>
  <si>
    <t>Clear and specific request for structured explanation.</t>
  </si>
  <si>
    <t>Could specify the desired depth of explanation.</t>
  </si>
  <si>
    <t>Thorough, well-structured, and insightful explanation.</t>
  </si>
  <si>
    <t>[MODE:summary_code_explanation] Berikan penjelasan terstruktur dan mendalam tentang data berikut: df.plot(kind="scatter", x="bmi", y="charges", alpha=0.5)</t>
  </si>
  <si>
    <t>Consider adding visual examples or references to enhance understanding.</t>
  </si>
  <si>
    <t>{"prompt_score": 4, "response_score": 5, "overall_score": 5, "prompt_strengths": "Clear and specific request for structured explanation.", "prompt_issues": "Could specify the desired depth of explanation.", "response_strengths": "Thorough, well-structured, and insightful explanation.", "response_issues": "None significant; very comprehensive.", "prompt_rewrite": "[MODE:summary_code_explanation] Berikan penjelasan terstruktur dan mendalam tentang data berikut: df.plot(kind=\"scatter\", x=\"bmi\", y=\"charges\", alpha=0.5)", "response_improvement_suggestions": "Consider adding visual examples or references to enhance understanding.", "verdict": "excellent", "needs_human_review": false}</t>
  </si>
  <si>
    <t>[MODE:summary]
jangan gunakan kode untuk jawabannya. Jawab menggunakan paragraf secara terstruktur tanpa menggunakan kode</t>
  </si>
  <si>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</si>
  <si>
    <t>Clear instructions and specific constraints.</t>
  </si>
  <si>
    <t>Could provide more context on the topic.</t>
  </si>
  <si>
    <t>Highly relevant, accurate, and well-structured.</t>
  </si>
  <si>
    <t>[MODE:summary] Berikan ringkasan tentang distribusi data tanpa menggunakan kode, dengan penjelasan yang terstruktur.</t>
  </si>
  <si>
    <t>Consider adding examples of metrics for clarity.</t>
  </si>
  <si>
    <t>{"prompt_score": 4, "response_score": 5, "overall_score": 5, "prompt_strengths": "Clear instructions and specific constraints.", "prompt_issues": "Could provide more context on the topic.", "response_strengths": "Highly relevant, accurate, and well-structured.", "response_issues": "None significant.", "prompt_rewrite": "[MODE:summary] Berikan ringkasan tentang distribusi data tanpa menggunakan kode, dengan penjelasan yang terstruktur.", "response_improvement_suggestions": "Consider adding examples of metrics for clarity.", "verdict": "excellent", "needs_human_review": false}</t>
  </si>
  <si>
    <t>[MODE:code]
Mari kita ambil score hasil prediksi dan kita simpan di y_scores_forest kemudian kita panggil precision_recall_curve.
y_scores_forest = y_probas_forest[:, 1]
##### Your Code Here #####
precisions_forest, recalls_forest, thresholds_forest =</t>
  </si>
  <si>
    <t>Correct and complete implementation of the required function.</t>
  </si>
  <si>
    <t>Mari kita ambil score hasil prediksi dan kita simpan di y_scores_forest. Kemudian, panggil precision_recall_curve dengan y_test dan y_scores_forest. Tulis kode Anda di bagian ##### Your Code Here #####.</t>
  </si>
  <si>
    <t>None needed; response is complete and correct.</t>
  </si>
  <si>
    <t>{"prompt_score": 4, "response_score": 5, "overall_score": 5, "prompt_strengths": "Clear instructions and context for the task.", "prompt_issues": "Could specify the expected format of the output more clearly.", "response_strengths": "Correct and complete implementation of the required function.", "response_issues": "None.", "prompt_rewrite": "Mari kita ambil score hasil prediksi dan kita simpan di y_scores_forest. Kemudian, panggil precision_recall_curve dengan y_test dan y_scores_forest. Tulis kode Anda di bagian ##### Your Code Here #####.", "response_improvement_suggestions": "None needed; response is complete and correct.", "verdict": "excellent", "needs_human_review": false}</t>
  </si>
  <si>
    <t>[MODE:summary]
Logistic regression untuk
*
Regresi kontinu
Dimensional reduction
Klasifikasi biner
Clustering
Mini-batch kecil
*
Optimal
Tidak update
Noisy
Stabil</t>
  </si>
  <si>
    <t>Logistic regression digunakan untuk klasifikasi biner, bukan regresi kontinu, dimensionality reduction, atau clustering. Mini-batch yang kecil membuat estimasi gradien lebih noisy (varians tinggi), bukan “optimal”, “tidak update”, atau selalu “stabil”.</t>
  </si>
  <si>
    <t>Attempts to cover multiple topics in machine learning.</t>
  </si>
  <si>
    <t>Lacks clarity and specificity; topics are not well-defined.</t>
  </si>
  <si>
    <t>Accurate in identifying the correct application of logistic regression.</t>
  </si>
  <si>
    <t>[MODE:summary] Jelaskan penggunaan logistic regression dalam klasifikasi biner dan sebutkan alasan mengapa tidak cocok untuk regresi kontinu, dimensionality reduction, atau clustering.</t>
  </si>
  <si>
    <t>Include examples or further explanations of logistic regression applications.</t>
  </si>
  <si>
    <t>{"prompt_score": 2, "response_score": 4, "overall_score": 3, "prompt_strengths": "Attempts to cover multiple topics in machine learning.", "prompt_issues": "Lacks clarity and specificity; topics are not well-defined.", "response_strengths": "Accurate in identifying the correct application of logistic regression.", "response_issues": "Could provide more context or examples for clarity.", "prompt_rewrite": "[MODE:summary] Jelaskan penggunaan logistic regression dalam klasifikasi biner dan sebutkan alasan mengapa tidak cocok untuk regresi kontinu, dimensionality reduction, atau clustering.", "response_improvement_suggestions": "Include examples or further explanations of logistic regression applications.", "verdict": "fair", "needs_human_review": false}</t>
  </si>
  <si>
    <t>[MODE:summary_code_explanation]
[ASSESSMENT_ID:1771cf8e-0a65-11f1-b762-3e0936ad7efb]
[FORCE_GPT:true]
[AUTO_FALLBACK:true]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</si>
  <si>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</si>
  <si>
    <t>The prompt provides clear code context and specifies the error encountered.</t>
  </si>
  <si>
    <t>Could benefit from more explicit instructions on what the user should do next.</t>
  </si>
  <si>
    <t>The response is highly relevant, correct, and provides a complete solution with clear explanations.</t>
  </si>
  <si>
    <t>None identified; the response addresses the prompt effectively.</t>
  </si>
  <si>
    <t>Explain the error in the provided code and suggest how to define the target variable and perform a train-test split.</t>
  </si>
  <si>
    <t>None needed; the response is comprehensive and clear.</t>
  </si>
  <si>
    <t>{"prompt_score": 4, "response_score": 5, "overall_score": 5, "prompt_strengths": "The prompt provides clear code context and specifies the error encountered.", "prompt_issues": "Could benefit from more explicit instructions on what the user should do next.", "response_strengths": "The response is highly relevant, correct, and provides a complete solution with clear explanations.", "response_issues": "None identified; the response addresses the prompt effectively.", "prompt_rewrite": "Explain the error in the provided code and suggest how to define the target variable and perform a train-test split.", "response_improvement_suggestions": "None needed; the response is comprehensive and clear.", "verdict": "excellent", "needs_human_review": false}</t>
  </si>
  <si>
    <t>[MODE:code]
saya sebagai mahasiswa semester 6 akan mengerjakan sebuah praktikum untuk soal yang akan di berikan berikut Buatlah `model` yang merupakan model `LogisticRegression` dengan parameter `solver` adalah `liblinear`.</t>
  </si>
  <si>
    <t>from sklearn.linear_model import LogisticRegression
model = LogisticRegression(solver='liblinear')</t>
  </si>
  <si>
    <t>```python
from sklearn.linear_model import LogisticRegression
model = LogisticRegression(solver='liblinear')
```</t>
  </si>
  <si>
    <t>Could provide more context about the practical application.</t>
  </si>
  <si>
    <t>Sebagai mahasiswa semester 6, saya akan mengerjakan praktikum. Buatlah model LogisticRegression dengan parameter solver 'liblinear' untuk analisis data.</t>
  </si>
  <si>
    <t>{"prompt_score": 4, "response_score": 5, "overall_score": 4, "prompt_strengths": "Clear and specific about the task.", "prompt_issues": "Could provide more context about the practical application.", "response_strengths": "Correct and complete code for the task.", "response_issues": "Could include a brief explanation of the code.", "prompt_rewrite": "Sebagai mahasiswa semester 6, saya akan mengerjakan praktikum. Buatlah model LogisticRegression dengan parameter solver 'liblinear' untuk analisis data.", "response_improvement_suggestions": "Add a brief explanation of what the code does.", "verdict": "good", "needs_human_review": false}</t>
  </si>
  <si>
    <t>[MODE:code]
[ASSESSMENT_ID:1771cf8e-0a65-11f1-b762-3e0936ad7efb]
[FORCE_GPT:true]
[AUTO_FALLBACK:true]
Contoh bonus berikut memakai hasil regresi yang sama, tetapi target klasifikasinya diganti menjadi grade_category untuk klasifikasi multikelas.
y_bonus = ...
_, _, _, _, y_train_bonus, y_test_bonus = train_test_split(
    X, y_reg, y_bonus, test_size=0.2, random_state=SEED, stratify=y_bonus
)</t>
  </si>
  <si>
    <t>y_bonus = df["grade_category"]</t>
  </si>
  <si>
    <t>```python
y_bonus = df["grade_category"]
```</t>
  </si>
  <si>
    <t>The prompt specifies a clear task related to regression and classification.</t>
  </si>
  <si>
    <t>Lacks clarity on the expected output format and context for the classification task.</t>
  </si>
  <si>
    <t>The response is relevant and correctly identifies the target variable.</t>
  </si>
  <si>
    <t>Incomplete as it does not provide further context or explanation.</t>
  </si>
  <si>
    <t>Provide a complete example of how to implement the classification using grade_category in a regression context.</t>
  </si>
  <si>
    <t>Include additional context or steps for implementing the classification task.</t>
  </si>
  <si>
    <t>{"prompt_score": 3, "response_score": 4, "overall_score": 3, "prompt_strengths": "The prompt specifies a clear task related to regression and classification.", "prompt_issues": "Lacks clarity on the expected output format and context for the classification task.", "response_strengths": "The response is relevant and correctly identifies the target variable.", "response_issues": "Incomplete as it does not provide further context or explanation.", "prompt_rewrite": "Provide a complete example of how to implement the classification using grade_category in a regression context.", "response_improvement_suggestions": "Include additional context or steps for implementing the classification task.", "verdict": "fair", "needs_human_review": false}</t>
  </si>
  <si>
    <t>[MODE:code]
soalnya kan ada dua, itu jawaban yang mana? tolong berikan nomor ketika menjawab supaya saya tidak pusing dalam menulis dan memahami</t>
  </si>
  <si>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</si>
  <si>
    <t>Directly asks for clarification and numbering.</t>
  </si>
  <si>
    <t>Lacks clarity in context and specific details about the questions.</t>
  </si>
  <si>
    <t>Provides relevant answers and clear distinctions between methods.</t>
  </si>
  <si>
    <t>Could be more concise and directly reference the numbered format requested.</t>
  </si>
  <si>
    <t>Tolong berikan nomor untuk jawaban dari dua soal yang ada agar saya lebih mudah memahami.</t>
  </si>
  <si>
    <t>Directly reference the question numbers in the response for clarity.</t>
  </si>
  <si>
    <t>{"prompt_score": 3, "response_score": 4, "overall_score": 3, "prompt_strengths": "Directly asks for clarification and numbering.", "prompt_issues": "Lacks clarity in context and specific details about the questions.", "response_strengths": "Provides relevant answers and clear distinctions between methods.", "response_issues": "Could be more concise and directly reference the numbered format requested.", "prompt_rewrite": "Tolong berikan nomor untuk jawaban dari dua soal yang ada agar saya lebih mudah memahami.", "response_improvement_suggestions": "Directly reference the question numbers in the response for clarity.", "verdict": "good", "needs_human_review": false}</t>
  </si>
  <si>
    <t>[LANG:Python]
[MODE:summary]
cara melihat kolerasi antar fitur pada correlation matrix khususnya terkait potensi **multicollinearity**</t>
  </si>
  <si>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</si>
  <si>
    <t>Clear and specific about the topic of multicollinearity.</t>
  </si>
  <si>
    <t>Thorough explanation with actionable steps and relevant metrics.</t>
  </si>
  <si>
    <t>[LANG:Python] [MODE:summary] Bagaimana cara menganalisis kolerasi antar fitur dalam correlation matrix untuk mengidentifikasi potensi multicollinearity?</t>
  </si>
  <si>
    <t>Consider adding examples or visual aids to enhance understanding.</t>
  </si>
  <si>
    <t>{"prompt_score": 4, "response_score": 5, "overall_score": 5, "prompt_strengths": "Clear and specific about the topic of multicollinearity.", "prompt_issues": "Could provide more context on the audience's knowledge level.", "response_strengths": "Thorough explanation with actionable steps and relevant metrics.", "response_issues": "None significant; well-structured and informative.", "prompt_rewrite": "[LANG:Python] [MODE:summary] Bagaimana cara menganalisis kolerasi antar fitur dalam correlation matrix untuk mengidentifikasi potensi multicollinearity?", "response_improvement_suggestions": "Consider adding examples or visual aids to enhance understanding.", "verdict": "excellent", "needs_human_review": false}</t>
  </si>
  <si>
    <t>[MODE:code]
nah setelah melakukan semau itu, sekarang kita akan  menyimpan semua nilai dataframe ke dalam variabel array.</t>
  </si>
  <si>
    <t>array = dataframe.values</t>
  </si>
  <si>
    <t>```python
array = dataframe.values
```</t>
  </si>
  <si>
    <t>The prompt is clear about the action to be taken.</t>
  </si>
  <si>
    <t>Lacks specificity regarding the context of the dataframe.</t>
  </si>
  <si>
    <t>The response is relevant and correct.</t>
  </si>
  <si>
    <t>Setelah melakukan semua itu, bagaimana cara menyimpan nilai dataframe ke dalam variabel array?</t>
  </si>
  <si>
    <t>Add a brief explanation of what 'dataframe' refers to and why we are storing its values in an array.</t>
  </si>
  <si>
    <t>{"prompt_score": 3, "response_score": 4, "overall_score": 4, "prompt_strengths": "The prompt is clear about the action to be taken.", "prompt_issues": "Lacks specificity regarding the context of the dataframe.", "response_strengths": "The response is relevant and correct.", "response_issues": "Could provide more context or explanation.", "prompt_rewrite": "Setelah melakukan semua itu, bagaimana cara menyimpan nilai dataframe ke dalam variabel array?", "response_improvement_suggestions": "Add a brief explanation of what 'dataframe' refers to and why we are storing its values in an array.", "verdict": "good", "needs_human_review": false}</t>
  </si>
  <si>
    <t>[LANG:Python]
[MODE:summary_code_explanation]
selanjutnya saya harus membuat pipeline dengan preprocessing dan SVR(), buatkan codenya dan jelaskan</t>
  </si>
  <si>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</si>
  <si>
    <t>Comprehensive code with detailed explanation.</t>
  </si>
  <si>
    <t>None significant; very thorough.</t>
  </si>
  <si>
    <t>Buatkan pipeline dengan preprocessing dan SVR() untuk dataset housing, sertakan penjelasan tentang setiap langkah.</t>
  </si>
  <si>
    <t>Consider adding a brief example of input data structure.</t>
  </si>
  <si>
    <t>{"prompt_score": 4, "response_score": 5, "overall_score": 5, "prompt_strengths": "Clear request for code and explanation.", "prompt_issues": "Could specify the dataset structure for better context.", "response_strengths": "Comprehensive code with detailed explanation.", "response_issues": "None significant; very thorough.", "prompt_rewrite": "Buatkan pipeline dengan preprocessing dan SVR() untuk dataset housing, sertakan penjelasan tentang setiap langkah.", "response_improvement_suggestions": "Consider adding a brief example of input data structure.", "verdict": "excellent", "needs_human_review": false}</t>
  </si>
  <si>
    <t>```python
# =========================
# Tugas 2: Exploratory Data Analysis (EDA) + Insight
# Prasyarat: df sudah ter-load
# =========================
import numpy as np
import pandas as pd
import matplotlib.pyplot as plt
import seaborn as sns
sns.set(style="whitegrid")
# a) Cek missing value
missing_count = df.isna().sum().sort_values(ascending=False)
missing_pct = (df.isna().mean() * 100).sort_values(ascending=False)
missing_summary = pd.DataFrame(
    {"missing_count": missing_count, "missing_pct(%)": missing_pct.round(2)}
)
print("=== Missing Value Summary ===")
display(missing_summary)
# b) Statistik deskriptif untuk kolom numerik
num_cols = df.select_dtypes(include=[np.number]).columns.tolist()
print("\n=== Kolom numerik terdeteksi ===")
print(num_cols)
if len(num_cols) &gt; 0:
    desc_num = df[num_cols].describe().T
    print("\n=== Statistik Deskriptif (Numerik) ===")
    display(desc_num)
else:
    print("\nTidak ada kolom numerik pada dataset.")
# Helper: buat insight singkat dari distribusi
def distribution_insight(series: pd.Series, col_name: str) -&gt; str:
    s = series.dropna()
    if s.empty:
        return f"Insight: Kolom '{col_name}' tidak memiliki data (semua NaN)."
    mean = s.mean()
    median = s.median()
    std = s.std(ddof=1) if len(s) &gt; 1 else 0.0
    q1 = s.quantile(0.25)
    q3 = s.quantile(0.75)
    iqr = q3 - q1
    skew = s.skew() if len(s) &gt; 2 else 0.0
    # Outlier (aturan IQR)
    lower = q1 - 1.5 * iqr
    upper = q3 + 1.5 * iqr
    outliers = ((s &lt; lower) | (s &gt; upper)).sum()
    # Interpretasi skewness sederhana
    if skew &gt; 0.5:
        skew_txt = "condong ke kanan (right-skewed)"
    elif skew &lt; -0.5:
        skew_txt = "condong ke kiri (left-skewed)"
    else:
        skew_txt = "relatif simetris"
    # Mean vs median
    if mean &gt; median * 1.02:
        mm_txt = "mean &gt; median (indikasi right-skew / nilai tinggi ekstrem)"
    elif median &gt; mean * 1.02:
        mm_txt = "median &gt; mean (indikasi left-skew / nilai rendah ekstrem)"
    else:
        mm_txt = "mean ~ median (indikasi distribusi cukup seimbang)"
    return (
        f"Insight ({col_name}): mean={mean:.2f}, median={median:.2f}, std={std:.2f}, "
        f"IQR={iqr:.2f}, skew={skew:.2f} ({skew_txt}), outlier(IQR)={outliers}. "
        f"{mm_txt}."
    )
# c) Visualisasi distribusi beberapa fitur numerik penting
# Pilih fitur numerik "penting": jika ada final_exam_score, prioritaskan + fitur numerik lain teratas
cols_to_plot = []
if "final_exam_score" in num_cols:
    cols_to_plot.append("final_exam_score")
# Tambahkan kolom numerik lain (maks total 6)
for c in num_cols:
    if c not in cols_to_plot:
        cols_to_plot.append(c)
    if len(cols_to_plot) &gt;= 6:
        break
print("\n=== Fitur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insight = distribution_insight(df[col], col)
        ax.text(
            0.0,
            -0.28,
            insight,
            transform=ax.transAxes,
            fontsize=9</t>
  </si>
  <si>
    <t>cached</t>
  </si>
  <si>
    <t>[MODE:summary_code_explanation]
Pertanyaan Refleksi Apakah nilai precision lebih besar daripada nilai recall? Ataukah sebaliknya? Jika nilai precision lebih besar daripada nilai recall atau sebaliknya, apakah artinya?</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</si>
  <si>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</si>
  <si>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Clear and specific question about precision and recall.</t>
  </si>
  <si>
    <t>Could provide more context on the importance of precision and recall.</t>
  </si>
  <si>
    <t>Thorough explanation of precision and recall with relevant examples.</t>
  </si>
  <si>
    <t>[MODE:summary_code_explanation] Apa perbedaan antara nilai precision dan recall dalam konteks evaluasi model? Berikan penjelasan dan contoh.</t>
  </si>
  <si>
    <t>{"prompt_score": 4, "response_score": 5, "overall_score": 4, "prompt_strengths": "Clear and specific question about precision and recall.", "prompt_issues": "Could provide more context on the importance of precision and recall.", "response_strengths": "Thorough explanation of precision and recall with relevant examples.", "response_issues": "Could be more concise in some areas.", "prompt_rewrite": "[MODE:summary_code_explanation] Apa perbedaan antara nilai precision dan recall dalam konteks evaluasi model? Berikan penjelasan dan contoh.", "response_improvement_suggestions": "Consider summarizing key points more succinctly to enhance clarity.", "verdict": "good", "needs_human_review": false}</t>
  </si>
  <si>
    <t>[MODE:summary_code_explanation]
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</si>
  <si>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</si>
  <si>
    <t>Clear task description and context provided.</t>
  </si>
  <si>
    <t>Could be more concise and focused on the specific question.</t>
  </si>
  <si>
    <t>Accurate explanation and clear correction provided.</t>
  </si>
  <si>
    <t>Could be slightly more concise in the explanation.</t>
  </si>
  <si>
    <t>Saya sedang mengerjakan tugas machine learning dan ingin tahu apakah kode berikut benar: filename = 'Brilian_03_pima-indians-diabetes.data.csv'. Jika salah, berikan jawaban yang benar dan penjelasannya.</t>
  </si>
  <si>
    <t>Consider summarizing the explanation to enhance clarity.</t>
  </si>
  <si>
    <t>{"prompt_score": 4, "response_score": 5, "overall_score": 4, "prompt_strengths": "Clear task description and context provided.", "prompt_issues": "Could be more concise and focused on the specific question.", "response_strengths": "Accurate explanation and clear correction provided.", "response_issues": "Could be slightly more concise in the explanation.", "prompt_rewrite": "Saya sedang mengerjakan tugas machine learning dan ingin tahu apakah kode berikut benar: filename = 'Brilian_03_pima-indians-diabetes.data.csv'. Jika salah, berikan jawaban yang benar dan penjelasannya.", "response_improvement_suggestions": "Consider summarizing the explanation to enhance clarity.", "verdict": "good", "needs_human_review": false}</t>
  </si>
  <si>
    <t>[MODE:code]
saya punya tugas untuk Simpan semua baris dari kolom ke-7 ke dalam variabel y. berikan saya syntaxnya</t>
  </si>
  <si>
    <t>Clear task description and specific request.</t>
  </si>
  <si>
    <t>Could provide more context about the programming language.</t>
  </si>
  <si>
    <t>Relevant and correct syntax for extracting a column.</t>
  </si>
  <si>
    <t>Lacks explanation or context for the syntax provided.</t>
  </si>
  <si>
    <t>[MODE:code] Saya perlu menyimpan semua baris dari kolom ke-7 dalam variabel y menggunakan Python. Berikan saya sintaksnya.</t>
  </si>
  <si>
    <t>Add a brief explanation of the syntax and its context.</t>
  </si>
  <si>
    <t>{"prompt_score": 4, "response_score": 4, "overall_score": 4, "prompt_strengths": "Clear task description and specific request.", "prompt_issues": "Could provide more context about the programming language.", "response_strengths": "Relevant and correct syntax for extracting a column.", "response_issues": "Lacks explanation or context for the syntax provided.", "prompt_rewrite": "[MODE:code] Saya perlu menyimpan semua baris dari kolom ke-7 dalam variabel y menggunakan Python. Berikan saya sintaksnya.", "response_improvement_suggestions": "Add a brief explanation of the syntax and its context.", "verdict": "good", "needs_human_review": false}</t>
  </si>
  <si>
    <t>[MODE:code]
Kita tampilkan score terbaik dari hasil `grid_search` berdasarkan RMSE. Buatkan syntax nya setelah melatih 6000 grid tersebut</t>
  </si>
  <si>
    <t>best_rmse = -grid_search.best_score_
best_rmse</t>
  </si>
  <si>
    <t>The prompt specifies a clear task related to grid search and RMSE.</t>
  </si>
  <si>
    <t>Lacks clarity in expected output format and context for the code.</t>
  </si>
  <si>
    <t>Attempts to provide a solution related to the prompt.</t>
  </si>
  <si>
    <t>Syntax is incorrect and incomplete; lacks clarity and context.</t>
  </si>
  <si>
    <t>Tampilkan score terbaik dari hasil `grid_search` berdasarkan RMSE setelah melatih 6000 model. Berikan syntax Python yang lengkap.</t>
  </si>
  <si>
    <t>Correct the syntax to properly assign the best RMSE value and provide a complete code snippet.</t>
  </si>
  <si>
    <t>{"prompt_score": 3, "response_score": 2, "overall_score": 2, "prompt_strengths": "The prompt specifies a clear task related to grid search and RMSE.", "prompt_issues": "Lacks clarity in expected output format and context for the code.", "response_strengths": "Attempts to provide a solution related to the prompt.", "response_issues": "Syntax is incorrect and incomplete; lacks clarity and context.", "prompt_rewrite": "Tampilkan score terbaik dari hasil `grid_search` berdasarkan RMSE setelah melatih 6000 model. Berikan syntax Python yang lengkap.", "response_improvement_suggestions": "Correct the syntax to properly assign the best RMSE value and provide a complete code snippet.", "verdict": "weak", "needs_human_review": false}</t>
  </si>
  <si>
    <t>[MODE:code]
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</si>
  <si>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</si>
  <si>
    <t>```python
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
```</t>
  </si>
  <si>
    <t>Clear request for code correction with context provided.</t>
  </si>
  <si>
    <t>Could be more specific about the exact ValueError encountered.</t>
  </si>
  <si>
    <t>Comprehensive and well-structured code with error handling and explanations.</t>
  </si>
  <si>
    <t>None significant; response is complete and relevant.</t>
  </si>
  <si>
    <t>Perbaiki kode berikut agar tidak menghasilkan ValueError dan dapat berjalan dengan baik: [kode].</t>
  </si>
  <si>
    <t>{"prompt_score": 4, "response_score": 5, "overall_score": 5, "prompt_strengths": "Clear request for code correction with context provided.", "prompt_issues": "Could be more specific about the exact ValueError encountered.", "response_strengths": "Comprehensive and well-structured code with error handling and explanations.", "response_issues": "None significant; response is complete and relevant.", "prompt_rewrite": "Perbaiki kode berikut agar tidak menghasilkan ValueError dan dapat berjalan dengan baik: [kode].", "response_improvement_suggestions": "Consider adding comments to explain each step of the code for better clarity.", "verdict": "excellent", "needs_human_review": false}</t>
  </si>
  <si>
    <t>[MODE:code]
udah dibilang gausah make penjelasan, coba dengerin apa yang saya minta, saya mau kamu kirim kode yang benernya secara rapih dan benar tanpa penjelasan</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</si>
  <si>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</si>
  <si>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</si>
  <si>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Direct and clear request for code without explanation.</t>
  </si>
  <si>
    <t>Lacks specificity on the type of code needed.</t>
  </si>
  <si>
    <t>Code is well-structured and relevant to data processing and modeling.</t>
  </si>
  <si>
    <t>Could benefit from comments for clarity despite the request for no explanations.</t>
  </si>
  <si>
    <t>Please provide a clean and correct code snippet for data processing and modeling without any explanations.</t>
  </si>
  <si>
    <t>Consider adding brief comments to clarify key steps in the code.</t>
  </si>
  <si>
    <t>{"prompt_score": 3, "response_score": 4, "overall_score": 4, "prompt_strengths": "Direct and clear request for code without explanation.", "prompt_issues": "Lacks specificity on the type of code needed.", "response_strengths": "Code is well-structured and relevant to data processing and modeling.", "response_issues": "Could benefit from comments for clarity despite the request for no explanations.", "prompt_rewrite": "Please provide a clean and correct code snippet for data processing and modeling without any explanations.", "response_improvement_suggestions": "Consider adding brief comments to clarify key steps in the code.", "verdict": "good", "needs_human_review": false}</t>
  </si>
  <si>
    <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</si>
  <si>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m = y.size
    theta = theta.reshape(-1)
    h = x @ theta
    error = h - y
    cost = (1.0 / (2.0 * m)) * np.sum(error ** 2) + (alpha / (2.0 * m)) * np.sum(theta[1:] ** 2)
    grad = (1.0 / m) * (x.T @ error)
    grad[1:] += (alpha / m) * theta[1:]
    return cost, grad</t>
  </si>
  <si>
    <t>```python
import numpy as np
def linear_reg_cost_function(theta, x, y, alpha):
    m = y.size
    theta = theta.reshape(-1)
    h = x @ theta
    error = h - y
    cost = (1.0 / (2.0 * m)) * np.sum(error ** 2) + (alpha / (2.0 * m)) * np.sum(theta[1:] ** 2)
    grad = (1.0 / m) * (x.T @ error)
    grad[1:] += (alpha / m) * theta[1:]
    return cost, grad
```</t>
  </si>
  <si>
    <t>Provides a clear task and context for the code.</t>
  </si>
  <si>
    <t>Lacks clarity in some instructions and has formatting issues.</t>
  </si>
  <si>
    <t>Correctly implements the required function with clarity and completeness.</t>
  </si>
  <si>
    <t>None significant; response is well-structured.</t>
  </si>
  <si>
    <t>Complete the function linear_reg_cost_function to calculate the cost and gradient for regularized linear regression. Ensure that theta[0] is not regularized. Validate that the cost at theta = [1, 1] is approximately 303.993.</t>
  </si>
  <si>
    <t>Consider adding comments to explain each step of the implementation for better clarity.</t>
  </si>
  <si>
    <t>{"prompt_score": 3, "response_score": 5, "overall_score": 4, "prompt_strengths": "Provides a clear task and context for the code.", "prompt_issues": "Lacks clarity in some instructions and has formatting issues.", "response_strengths": "Correctly implements the required function with clarity and completeness.", "response_issues": "None significant; response is well-structured.", "prompt_rewrite": "Complete the function linear_reg_cost_function to calculate the cost and gradient for regularized linear regression. Ensure that theta[0] is not regularized. Validate that the cost at theta = [1, 1] is approximately 303.993.", "response_improvement_suggestions": "Consider adding comments to explain each step of the implementation for better clarity.", "verdict": "good", "needs_human_review": false}</t>
  </si>
  <si>
    <t>[MODE:code]
#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</si>
  <si>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</si>
  <si>
    <t>```python
#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
```</t>
  </si>
  <si>
    <t>Clear and detailed instructions for data processing.</t>
  </si>
  <si>
    <t>Could benefit from clearer context on the dataset.</t>
  </si>
  <si>
    <t>Thorough explanation of the code and its purpose.</t>
  </si>
  <si>
    <t>None noted; response is complete and clear.</t>
  </si>
  <si>
    <t>Jelaskan tujuan dan langkah-langkah dalam kode berikut untuk mempersiapkan dataset prediksi nilai ujian akhir.</t>
  </si>
  <si>
    <t>{"prompt_score": 4, "response_score": 5, "overall_score": 4, "prompt_strengths": "Clear and detailed instructions for data processing.", "prompt_issues": "Could benefit from clearer context on the dataset.", "response_strengths": "Thorough explanation of the code and its purpose.", "response_issues": "None noted; response is complete and clear.", "prompt_rewrite": "Jelaskan tujuan dan langkah-langkah dalam kode berikut untuk mempersiapkan dataset prediksi nilai ujian akhir.", "response_improvement_suggestions": "Consider summarizing key points for brevity.", "verdict": "good", "needs_human_review": false}</t>
  </si>
  <si>
    <t>[MODE:code]
def poly_features(X, p):
    # You need to return the following variable correctly.
    X_poly = np.zeros((X.size, p))
    ### YOUR CODES HERE ###
    # Diberikan vektor X, kembalikan matriks X_poly
    # sehingga kolom ke-k berisi X pangkat (k + 1).
    P = np.arange(1, p + 1)
    X_poly = X.reshape(-1, 1) ** P
    return X_poly</t>
  </si>
  <si>
    <t>import numpy as np
def poly_features(X, p):
    X = np.asarray(X).reshape(-1)
    X_poly = np.zeros((X.size, p))
    P = np.arange(1, p + 1)
    X_poly = X.reshape(-1, 1) ** P
    return X_poly</t>
  </si>
  <si>
    <t>```python
import numpy as np
def poly_features(X, p):
    X = np.asarray(X).reshape(-1)
    X_poly = np.zeros((X.size, p))
    P = np.arange(1, p + 1)
    X_poly = X.reshape(-1, 1) ** P
    return X_poly
```</t>
  </si>
  <si>
    <t>Lacks clarity in the instructions and has some formatting issues.</t>
  </si>
  <si>
    <t>The response is relevant and correctly implements the function.</t>
  </si>
  <si>
    <t>Could improve clarity and completeness by explaining the logic.</t>
  </si>
  <si>
    <t>Implement a function that takes a vector X and an integer p, returning a matrix X_poly where each column k contains X raised to the power of (k + 1).</t>
  </si>
  <si>
    <t>Add comments to explain the steps in the code for better clarity.</t>
  </si>
  <si>
    <t>{"prompt_score": 3, "response_score": 4, "overall_score": 3, "prompt_strengths": "The prompt specifies the task clearly and provides context.", "prompt_issues": "Lacks clarity in the instructions and has some formatting issues.", "response_strengths": "The response is relevant and correctly implements the function.", "response_issues": "Could improve clarity and completeness by explaining the logic.", "prompt_rewrite": "Implement a function that takes a vector X and an integer p, returning a matrix X_poly where each column k contains X raised to the power of (k + 1).", "response_improvement_suggestions": "Add comments to explain the steps in the code for better clarity.", "verdict": "good", "needs_human_review": false}</t>
  </si>
  <si>
    <t>[MODE:code]
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</si>
  <si>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</si>
  <si>
    <t>```python
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
```</t>
  </si>
  <si>
    <t>Includes specific requirements and context for the code.</t>
  </si>
  <si>
    <t>Lacks clarity in instructions and has some formatting issues.</t>
  </si>
  <si>
    <t>Correctly addresses the task and provides a functional code snippet.</t>
  </si>
  <si>
    <t>Could improve clarity and provide more context on usage.</t>
  </si>
  <si>
    <t>Modify the code to load the dataset from 'insurance.csv' instead of 'housing.csv'. Ensure the imports remain unchanged.</t>
  </si>
  <si>
    <t>Add comments to explain the code and clarify the parameters.</t>
  </si>
  <si>
    <t>{"prompt_score": 3, "response_score": 4, "overall_score": 3, "prompt_strengths": "Includes specific requirements and context for the code.", "prompt_issues": "Lacks clarity in instructions and has some formatting issues.", "response_strengths": "Correctly addresses the task and provides a functional code snippet.", "response_issues": "Could improve clarity and provide more context on usage.", "prompt_rewrite": "Modify the code to load the dataset from 'insurance.csv' instead of 'housing.csv'. Ensure the imports remain unchanged.", "response_improvement_suggestions": "Add comments to explain the code and clarify the parameters.", "verdict": "good", "needs_human_review": false}</t>
  </si>
  <si>
    <t>[MODE:summary]
untuk nomor dua, Jelaskan apa arti dari kedua temuan tersebut terhadap **variasi dan distribusi data**.</t>
  </si>
  <si>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</si>
  <si>
    <t>Could provide more context on the findings.</t>
  </si>
  <si>
    <t>Thorough explanation of mean and standard deviation relevance.</t>
  </si>
  <si>
    <t>[MODE:summary] Jelaskan arti dari kedua temuan tersebut terhadap variasi dan distribusi data, dengan konteks yang lebih jelas.</t>
  </si>
  <si>
    <t>Summarize key points more concisely for clarity.</t>
  </si>
  <si>
    <t>{"prompt_score": 4, "response_score": 5, "overall_score": 4, "prompt_strengths": "Clear and specific request for explanation.", "prompt_issues": "Could provide more context on the findings.", "response_strengths": "Thorough explanation of mean and standard deviation relevance.", "response_issues": "Could be more concise.", "prompt_rewrite": "[MODE:summary] Jelaskan arti dari kedua temuan tersebut terhadap variasi dan distribusi data, dengan konteks yang lebih jelas.", "response_improvement_suggestions": "Summarize key points more concisely for clarity.", "verdict": "good", "needs_human_review": false}</t>
  </si>
  <si>
    <t>[MODE:summary]
Apa fungsi SimpleImputer(strategy='median')?
*
Mengisi missing value dengan median
Mengubah label
Menghapus dataset
Menghapus fitur
 dari 4 jawaban diatas mana jawaban yang benar? dan berikan persenatse jawban kamu kepada saya</t>
  </si>
  <si>
    <t>Jawaban yang benar: “Mengisi missing value dengan median”. SimpleImputer(strategy='median') memang berfungsi mengganti nilai yang hilang (NaN) pada fitur numerik dengan nilai median dari kolom tersebut. Tingkat keyakinan saya: 99%.</t>
  </si>
  <si>
    <t>Could provide more context on SimpleImputer.</t>
  </si>
  <si>
    <t>Correct answer with high confidence and clear explanation.</t>
  </si>
  <si>
    <t>[MODE:summary] Apa fungsi SimpleImputer(strategy='median') dalam konteks pengolahan data? Pilih jawaban yang benar dari opsi berikut: Mengisi missing value dengan median, Mengubah label, Menghapus dataset, Menghapus fitur. Berikan juga persentase keyakinan Anda.</t>
  </si>
  <si>
    <t>{"prompt_score": 4, "response_score": 5, "overall_score": 4, "prompt_strengths": "Clear question with specific options.", "prompt_issues": "Could provide more context on SimpleImputer.", "response_strengths": "Correct answer with high confidence and clear explanation.", "response_issues": "None.", "prompt_rewrite": "[MODE:summary] Apa fungsi SimpleImputer(strategy='median') dalam konteks pengolahan data? Pilih jawaban yang benar dari opsi berikut: Mengisi missing value dengan median, Mengubah label, Menghapus dataset, Menghapus fitur. Berikan juga persentase keyakinan Anda.", "response_improvement_suggestions": "None needed; response is already strong.", "verdict": "excellent", "needs_human_review": false}</t>
  </si>
  <si>
    <t>[MODE:code]
##### DO NOT CHANGE THE CODE #####
array = dataframe.values
dan saya disuruh Extract semua baris dan kolom ke-1 s.d. ke-7 ke dalam variabel `X`.
X = lanjutin X = apa?</t>
  </si>
  <si>
    <t>X = array[:, 0:7]</t>
  </si>
  <si>
    <t>```python
X = array[:, 0:7]
```</t>
  </si>
  <si>
    <t>Correct and concise extraction of data.</t>
  </si>
  <si>
    <t>[MODE:code] ##### DO NOT CHANGE THE CODE ##### array = dataframe.values. Extract all rows and columns 1 to 7 into variable `X`. What is X?</t>
  </si>
  <si>
    <t>{"prompt_score": 4, "response_score": 5, "overall_score": 4, "prompt_strengths": "Clear instructions and context provided.", "prompt_issues": "Could specify the programming language for clarity.", "response_strengths": "Correct and concise extraction of data.", "response_issues": "None.", "prompt_rewrite": "[MODE:code] ##### DO NOT CHANGE THE CODE ##### array = dataframe.values. Extract all rows and columns 1 to 7 into variable `X`. What is X?", "response_improvement_suggestions": "None needed; response is complete.", "verdict": "good", "needs_human_review": false}</t>
  </si>
  <si>
    <t>[MODE:code]
Kemudian, selanjutnya buatkan saya kode program untuk menampilkan ringkasan statistik dari dataset ## YOUR CODES HERE ##</t>
  </si>
  <si>
    <t>print(dataframe.describe())</t>
  </si>
  <si>
    <t>```python
print(dataframe.describe())
```</t>
  </si>
  <si>
    <t>Identifies the need for code to summarize statistics.</t>
  </si>
  <si>
    <t>Lacks specificity on the dataset and context.</t>
  </si>
  <si>
    <t>Correct and relevant code for summarizing statistics.</t>
  </si>
  <si>
    <t>Incomplete as it does not define 'dataframe'.</t>
  </si>
  <si>
    <t>Buatkan saya kode program Python untuk menampilkan ringkasan statistik dari dataset yang bernama 'dataframe'.</t>
  </si>
  <si>
    <t>Define 'dataframe' or provide an example of how to create it.</t>
  </si>
  <si>
    <t>{"prompt_score": 3, "response_score": 4, "overall_score": 3, "prompt_strengths": "Identifies the need for code to summarize statistics.", "prompt_issues": "Lacks specificity on the dataset and context.", "response_strengths": "Correct and relevant code for summarizing statistics.", "response_issues": "Incomplete as it does not define 'dataframe'.", "prompt_rewrite": "Buatkan saya kode program Python untuk menampilkan ringkasan statistik dari dataset yang bernama 'dataframe'.", "response_improvement_suggestions": "Define 'dataframe' or provide an example of how to create it.", "verdict": "fair", "needs_human_review": false}</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</si>
  <si>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</si>
  <si>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</si>
  <si>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
```</t>
  </si>
  <si>
    <t>Correctly implements the required functionality with clarity.</t>
  </si>
  <si>
    <t>None significant; all parts of the task are addressed.</t>
  </si>
  <si>
    <t>Buatlah implementasi untuk menggambar kurva precision-recall dan membangun classifier yang powerful untuk dataset MNIST. Pertama, gunakan dataset Pima Indian Diabetes untuk menggambar kurva. Kedua, implementasikan classifier dengan akurasi 97% pada dataset MNIST.</t>
  </si>
  <si>
    <t>{"prompt_score": 4, "response_score": 5, "overall_score": 5, "prompt_strengths": "Detailed and specific about the task requirements.", "prompt_issues": "Could be clearer in separating the two parts of the task.", "response_strengths": "Correctly implements the required functionality with clarity.", "response_issues": "None significant; all parts of the task are addressed.", "prompt_rewrite": "Buatlah implementasi untuk menggambar kurva precision-recall dan membangun classifier yang powerful untuk dataset MNIST. Pertama, gunakan dataset Pima Indian Diabetes untuk menggambar kurva. Kedua, implementasikan classifier dengan akurasi 97% pada dataset MNIST.", "response_improvement_suggestions": "Consider adding comments to explain each step of the code for better clarity.", "verdict": "excellent", "needs_human_review": false}</t>
  </si>
  <si>
    <t>[MODE:code]
Bagaimana caranya membuatvariabel `loocv` dari kelas `LeaveOneOut`.
##### Your Code Here #####
loocv =</t>
  </si>
  <si>
    <t>from sklearn.model_selection import LeaveOneOut</t>
  </si>
  <si>
    <t>The prompt specifies the task and context.</t>
  </si>
  <si>
    <t>Lacks clarity and specificity in the expected output.</t>
  </si>
  <si>
    <t>Correctly imports the necessary class.</t>
  </si>
  <si>
    <t>Incomplete; does not show how to create the variable `loocv`.</t>
  </si>
  <si>
    <t>Bagaimana cara membuat variabel `loocv` dari kelas `LeaveOneOut` dan berikan contoh penggunaannya.</t>
  </si>
  <si>
    <t>Provide a complete example of how to instantiate `LeaveOneOut` and assign it to `loocv`.</t>
  </si>
  <si>
    <t>{"prompt_score": 3, "response_score": 2, "overall_score": 2, "prompt_strengths": "The prompt specifies the task and context.", "prompt_issues": "Lacks clarity and specificity in the expected output.", "response_strengths": "Correctly imports the necessary class.", "response_issues": "Incomplete; does not show how to create the variable `loocv`.", "prompt_rewrite": "Bagaimana cara membuat variabel `loocv` dari kelas `LeaveOneOut` dan berikan contoh penggunaannya.", "response_improvement_suggestions": "Provide a complete example of how to instantiate `LeaveOneOut` and assign it to `loocv`.", "verdict": "fair", "needs_human_review": false}</t>
  </si>
  <si>
    <t>[MODE:code]
# Gabungkan seluruh data train dan validation untuk fitur polynomial.
X_train_final = .......................</t>
  </si>
  <si>
    <t>X_train_final = np.vstack([X_poly, X_poly_val])</t>
  </si>
  <si>
    <t>```python
X_train_final = np.vstack([X_poly, X_poly_val])
```</t>
  </si>
  <si>
    <t>The prompt indicates a specific task related to data processing.</t>
  </si>
  <si>
    <t>Lacks clarity on what 'X_poly' and 'X_poly_val' are.</t>
  </si>
  <si>
    <t>The response is relevant and correctly combines the datasets.</t>
  </si>
  <si>
    <t>[MODE:code] # Combine all training and validation data for polynomial features. Define X_poly and X_poly_val first.</t>
  </si>
  <si>
    <t>{"prompt_score": 3, "response_score": 4, "overall_score": 4, "prompt_strengths": "The prompt indicates a specific task related to data processing.", "prompt_issues": "Lacks clarity on what 'X_poly' and 'X_poly_val' are.", "response_strengths": "The response is relevant and correctly combines the datasets.", "response_issues": "Could provide more context or explanation for clarity.", "prompt_rewrite": "[MODE:code] # Combine all training and validation data for polynomial features. Define X_poly and X_poly_val first.", "response_improvement_suggestions": "Add a brief explanation of what the code does.", "verdict": "good", "needs_human_review": false}</t>
  </si>
  <si>
    <t>[MODE:code]
sekarang Setelah model dengan best hyperparameter pada train set dilatih, evaluasi model yang sudah dilatih pada test set. ##### Your Code Here ##### tuned_accuracy =</t>
  </si>
  <si>
    <t>from sklearn.metrics import accuracy_score
y_pred = best_knn_clf.predict(X_test)
tuned_accuracy = accuracy_score(y_test, y_pred)</t>
  </si>
  <si>
    <t>```python
from sklearn.metrics import accuracy_score
y_pred = best_knn_clf.predict(X_test)
tuned_accuracy = accuracy_score(y_test, y_pred)
```</t>
  </si>
  <si>
    <t>Directly asks for model evaluation code.</t>
  </si>
  <si>
    <t>Lacks clarity and context for the model and hyperparameters.</t>
  </si>
  <si>
    <t>Correctly implements model evaluation using accuracy score.</t>
  </si>
  <si>
    <t>Missing import statement for 'best_knn_clf' and 'X_test', 'y_test' context.</t>
  </si>
  <si>
    <t>Setelah melatih model dengan hyperparameter terbaik, evaluasi model tersebut pada test set dengan kode berikut: ##### Your Code Here #####</t>
  </si>
  <si>
    <t>Include necessary imports and context for 'best_knn_clf', 'X_test', and 'y_test'.</t>
  </si>
  <si>
    <t>{"prompt_score": 3, "response_score": 4, "overall_score": 3, "prompt_strengths": "Directly asks for model evaluation code.", "prompt_issues": "Lacks clarity and context for the model and hyperparameters.", "response_strengths": "Correctly implements model evaluation using accuracy score.", "response_issues": "Missing import statement for 'best_knn_clf' and 'X_test', 'y_test' context.", "prompt_rewrite": "Setelah melatih model dengan hyperparameter terbaik, evaluasi model tersebut pada test set dengan kode berikut: ##### Your Code Here #####", "response_improvement_suggestions": "Include necessary imports and context for 'best_knn_clf', 'X_test', and 'y_test'.", "verdict": "good", "needs_human_review": false}</t>
  </si>
  <si>
    <t>[MODE:summary_code_explanation]
# 1) Pilih model regresi terbaik dari Bagian 4 (berdasarkan RMSE terendah)
best_reg_name = results_df.iloc[0]["model"]
best_reg_model = models[best_reg_name]
bagian ini ada yang salah</t>
  </si>
  <si>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</si>
  <si>
    <t>Identifies a specific coding issue.</t>
  </si>
  <si>
    <t>Provides a clear and correct explanation with actionable code examples.</t>
  </si>
  <si>
    <t>[MODE:summary_code_explanation] # 1) Pilih model regresi terbaik dari Bagian 4 berdasarkan RMSE terendah. Terdapat kesalahan dalam akses kolom pada DataFrame results_df.</t>
  </si>
  <si>
    <t>Consider summarizing the explanation to focus on the key points more directly.</t>
  </si>
  <si>
    <t>{"prompt_score": 3, "response_score": 5, "overall_score": 4, "prompt_strengths": "Identifies a specific coding issue.", "prompt_issues": "Lacks clarity and context for users unfamiliar with the code.", "response_strengths": "Provides a clear and correct explanation with actionable code examples.", "response_issues": "Could be more concise.", "prompt_rewrite": "[MODE:summary_code_explanation] # 1) Pilih model regresi terbaik dari Bagian 4 berdasarkan RMSE terendah. Terdapat kesalahan dalam akses kolom pada DataFrame results_df.", "response_improvement_suggestions": "Consider summarizing the explanation to focus on the key points more directly.", "verdict": "good", "needs_human_review": false}</t>
  </si>
  <si>
    <t>[MODE:summary]
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</si>
  <si>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</si>
  <si>
    <t>Provides context and specific requests.</t>
  </si>
  <si>
    <t>Repetitive structure and unclear phrasing.</t>
  </si>
  <si>
    <t>Clear explanation with relevant analogy and example.</t>
  </si>
  <si>
    <t>Jelaskan konsep Fungsi hipotesis dalam linear regression untuk mahasiswa pemula, termasuk definisi singkat, analogi, contoh sederhana, dan penjelasan tentang decision boundary.</t>
  </si>
  <si>
    <t>Make the response more concise and clearly structured with bullet points for better readability.</t>
  </si>
  <si>
    <t>{"prompt_score": 3, "response_score": 4, "overall_score": 4, "prompt_strengths": "Provides context and specific requests.", "prompt_issues": "Repetitive structure and unclear phrasing.", "response_strengths": "Clear explanation with relevant analogy and example.", "response_issues": "Could be more concise and structured.", "prompt_rewrite": "Jelaskan konsep Fungsi hipotesis dalam linear regression untuk mahasiswa pemula, termasuk definisi singkat, analogi, contoh sederhana, dan penjelasan tentang decision boundary.", "response_improvement_suggestions": "Make the response more concise and clearly structured with bullet points for better readability.", "verdict": "good", "needs_human_review": false}</t>
  </si>
  <si>
    <t>[MODE:code]
baik berikutnya adalah Buatlah KFold dengan parameter n_splits=10 dan simpan dalam varibel kfold.
kfold = ? tolong berikan jawban yang tepat dan akurat</t>
  </si>
  <si>
    <t>from sklearn.model_selection import KFold
kfold = KFold(n_splits=10)</t>
  </si>
  <si>
    <t>```python
from sklearn.model_selection import KFold
kfold = KFold(n_splits=10)
```</t>
  </si>
  <si>
    <t>Minor language issues could affect understanding.</t>
  </si>
  <si>
    <t>Buatlah KFold dengan parameter n_splits=10 dan simpan dalam variabel kfold. Kode: kfold = ?</t>
  </si>
  <si>
    <t>None needed; response is already accurate.</t>
  </si>
  <si>
    <t>{"prompt_score": 4, "response_score": 5, "overall_score": 5, "prompt_strengths": "Clear and specific request for KFold implementation.", "prompt_issues": "Minor language issues could affect understanding.", "response_strengths": "Correct and complete code implementation.", "response_issues": "None.", "prompt_rewrite": "Buatlah KFold dengan parameter n_splits=10 dan simpan dalam variabel kfold. Kode: kfold = ?", "response_improvement_suggestions": "None needed; response is already accurate.", "verdict": "excellent", "needs_human_review": false}</t>
  </si>
  <si>
    <t>[MODE:summary_code_explanation]
[ASSESSMENT_ID:1771cf8e-0a65-11f1-b762-3e0936ad7efb]
[FORCE_GPT:true]
[AUTO_FALLBACK:true]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</si>
  <si>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</si>
  <si>
    <t>Clear and specific instructions for feature creation.</t>
  </si>
  <si>
    <t>Minor clarity issues in the explanation section.</t>
  </si>
  <si>
    <t>Jelaskan cara menyelesaikan persoalan berikut: Buat minimal tiga fitur turunan: engagement_index dari kombinasi attendance_rate, assignment_completion_rate, dan participation_score; digital_distraction_ratio dari social_media_hours dan study_hours_per_day; support_score dari online_courses_completed dan informasi tutoring. Kemudian, buat target klasifikasi at_risk, tentukan fitur untuk regresi tanpa leakage, dan bagi data menjadi train-test dengan rasio 80:20 dan random_state=42.</t>
  </si>
  <si>
    <t>Clarify the explanation section for better understanding.</t>
  </si>
  <si>
    <t>{"prompt_score": 4, "response_score": 5, "overall_score": 4, "prompt_strengths": "Clear and specific instructions for feature creation.", "prompt_issues": "Could provide more context on the dataset.", "response_strengths": "Comprehensive and well-structured code with explanations.", "response_issues": "Minor clarity issues in the explanation section.", "prompt_rewrite": "Jelaskan cara menyelesaikan persoalan berikut: Buat minimal tiga fitur turunan: engagement_index dari kombinasi attendance_rate, assignment_completion_rate, dan participation_score; digital_distraction_ratio dari social_media_hours dan study_hours_per_day; support_score dari online_courses_completed dan informasi tutoring. Kemudian, buat target klasifikasi at_risk, tentukan fitur untuk regresi tanpa leakage, dan bagi data menjadi train-test dengan rasio 80:20 dan random_state=42.", "response_improvement_suggestions": "Clarify the explanation section for better understanding.", "verdict": "good", "needs_human_review": false}</t>
  </si>
  <si>
    <t>[MODE:summary_code_explanation]
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</si>
  <si>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</si>
  <si>
    <t>Could provide more detail on the expected output.</t>
  </si>
  <si>
    <t>Thorough explanation and clear code correction.</t>
  </si>
  <si>
    <t>None significant; very complete.</t>
  </si>
  <si>
    <t>[MODE:summary_code_explanation] Konteks: Saya sedang mengerjakan fitur dan target. Error: NameError: name 'r2_score' is not defined. Kode terkait: ... Ekspektasi: r2_score sudah muncul dan penjelasan tentang cara memperbaikinya.</t>
  </si>
  <si>
    <t>Consider adding a brief example of how to test the fix.</t>
  </si>
  <si>
    <t>{"prompt_score": 4, "response_score": 5, "overall_score": 4, "prompt_strengths": "Clear context and specific error message.", "prompt_issues": "Could provide more detail on the expected output.", "response_strengths": "Thorough explanation and clear code correction.", "response_issues": "None significant; very complete.", "prompt_rewrite": "[MODE:summary_code_explanation] Konteks: Saya sedang mengerjakan fitur dan target. Error: NameError: name 'r2_score' is not defined. Kode terkait: ... Ekspektasi: r2_score sudah muncul dan penjelasan tentang cara memperbaikinya.", "response_improvement_suggestions": "Consider adding a brief example of how to test the fix.", "verdict": "excellent", "needs_human_review": false}</t>
  </si>
  <si>
    <t>[MODE:summary]
syntaxnya error pada bagian y_test tidak terdefinisi tolong berikan perbaikan untuk syntaxnyaaaaaaaaaaaaa</t>
  </si>
  <si>
    <t>precisions_forest, recalls_forest, thresholds_forest = precision_recall_curve(y, y_scores_forest)</t>
  </si>
  <si>
    <t>Indicates a specific error type.</t>
  </si>
  <si>
    <t>Lacks clarity and context; overly informal.</t>
  </si>
  <si>
    <t>Provides a relevant code snippet.</t>
  </si>
  <si>
    <t>Does not address the specific error mentioned in the prompt.</t>
  </si>
  <si>
    <t>Tolong bantu saya memperbaiki error 'y_test tidak terdefinisi' dalam kode saya.</t>
  </si>
  <si>
    <t>Include a complete code example that defines 'y_test' and explains the context.</t>
  </si>
  <si>
    <t>{"prompt_score": 2, "response_score": 3, "overall_score": 2, "prompt_strengths": "Indicates a specific error type.", "prompt_issues": "Lacks clarity and context; overly informal.", "response_strengths": "Provides a relevant code snippet.", "response_issues": "Does not address the specific error mentioned in the prompt.", "prompt_rewrite": "Tolong bantu saya memperbaiki error 'y_test tidak terdefinisi' dalam kode saya.", "response_improvement_suggestions": "Include a complete code example that defines 'y_test' and explains the context.", "verdict": "fair", "needs_human_review": false}</t>
  </si>
  <si>
    <t>[MODE:summary_code_explanation]
from sklearn.metrics import accuracy_score
y_pred = knn_clf.predict(X_test)
acc = accuracy_score(y_test, y_pred)
print(f"Accuracy: {acc:.4f}")
# alternatif singkat:
# acc = knn_clf.score(X_test, y_test)
# print(f"Accuracy: {acc:.4f}")
tolong ubah output codingannya menjadi persen, jangan desimal</t>
  </si>
  <si>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</si>
  <si>
    <t>Could specify the desired output format more explicitly.</t>
  </si>
  <si>
    <t>Correctly addresses the prompt with a clear solution.</t>
  </si>
  <si>
    <t>Ubah output codingannya menjadi persen, format dengan 2 angka di belakang koma.</t>
  </si>
  <si>
    <t>{"prompt_score": 4, "response_score": 5, "overall_score": 5, "prompt_strengths": "Clear instructions and context provided.", "prompt_issues": "Could specify the desired output format more explicitly.", "response_strengths": "Correctly addresses the prompt with a clear solution.", "response_issues": "None identified.", "prompt_rewrite": "Ubah output codingannya menjadi persen, format dengan 2 angka di belakang koma.", "response_improvement_suggestions": "None needed; response is complete and clear.", "verdict": "excellent", "needs_human_review": false}</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</si>
  <si>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</si>
  <si>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Use pandas’ built-in correlation to compute the pairwise feature correlations from your DataFrame and store the result in `correlation`. This produces a correlation matrix (DataFrame) showing how strongly each column relates to every other column.
correlation = dataframe.corr()</t>
  </si>
  <si>
    <t>Detailed explanation of the task and context.</t>
  </si>
  <si>
    <t>Summarize the task of evaluating machine learning algorithms using resampling techniques in Jupyter Notebook, including the necessary libraries and data types.</t>
  </si>
  <si>
    <t>{"prompt_score": 4, "response_score": 5, "overall_score": 5, "prompt_strengths": "Detailed explanation of the task and context.", "prompt_issues": "Could be more concise.", "response_strengths": "Directly addresses the prompt with correct code.", "response_issues": "None.", "prompt_rewrite": "Summarize the task of evaluating machine learning algorithms using resampling techniques in Jupyter Notebook, including the necessary libraries and data types.", "response_improvement_suggestions": "None needed; response is complete and clear.", "verdict": "excellent", "needs_human_review": false}</t>
  </si>
  <si>
    <t>[MODE:summary_code_explanation]
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</si>
  <si>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</si>
  <si>
    <t>Tolong bantu saya mengerjakan soal uts praktikum dibawah ini dan berikan code program penyelesaiannya dengan benar dan akurat serta valid jawabannya. Bagian 1 - Load Dataset: 1) Load dataset student_exam_performance_dataset (1).csv. 2) Tampilkan 5 baris pertama. 3) Tampilkan ukuran dataset (jumlah baris dan kolom). 4) Tampilkan tipe data setiap kolom dalam format yang jelas.</t>
  </si>
  <si>
    <t>Consider adding comments in the code to explain each step.</t>
  </si>
  <si>
    <t>{"prompt_score": 4, "response_score": 5, "overall_score": 5, "prompt_strengths": "Clear instructions and specific tasks.", "prompt_issues": "Could specify the expected output format more clearly.", "response_strengths": "Correct, complete, and clearly explained code.", "response_issues": "None.", "prompt_rewrite": "Tolong bantu saya mengerjakan soal uts praktikum dibawah ini dan berikan code program penyelesaiannya dengan benar dan akurat serta valid jawabannya. Bagian 1 - Load Dataset: 1) Load dataset student_exam_performance_dataset (1).csv. 2) Tampilkan 5 baris pertama. 3) Tampilkan ukuran dataset (jumlah baris dan kolom). 4) Tampilkan tipe data setiap kolom dalam format yang jelas.", "response_improvement_suggestions": "Consider adding comments in the code to explain each step.", "verdict": "excellent", "needs_human_review": false}</t>
  </si>
  <si>
    <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</si>
  <si>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from sklearn.model_selection import LeaveOneOut, cross_val_score
from sklearn.linear_model import LogisticRegression
loocv = LeaveOneOut()
model = LogisticRegression(solver="liblinear")
results = cross_val_score(model, X, y, cv=loocv, scoring="accuracy")
print(results.mean())</t>
  </si>
  <si>
    <t>```python
from sklearn.model_selection import LeaveOneOut, cross_val_score
from sklearn.linear_model import LogisticRegression
loocv = LeaveOneOut()
model = LogisticRegression(solver="liblinear")
results = cross_val_score(model, X, y, cv=loocv, scoring="accuracy")
print(results.mean())
```</t>
  </si>
  <si>
    <t>Provides context and specific error message.</t>
  </si>
  <si>
    <t>Could be clearer about what specific help is needed.</t>
  </si>
  <si>
    <t>Correctly addresses the error and provides a relevant solution.</t>
  </si>
  <si>
    <t>Lacks explanation of the code provided.</t>
  </si>
  <si>
    <t>Saya mengalami TypeError saat menggunakan Leave One Out Cross-Validation. Bisakah Anda membantu saya memperbaiki kode ini?</t>
  </si>
  <si>
    <t>Add comments to explain each step of the code for clarity.</t>
  </si>
  <si>
    <t>{"prompt_score": 3, "response_score": 4, "overall_score": 4, "prompt_strengths": "Provides context and specific error message.", "prompt_issues": "Could be clearer about what specific help is needed.", "response_strengths": "Correctly addresses the error and provides a relevant solution.", "response_issues": "Lacks explanation of the code provided.", "prompt_rewrite": "Saya mengalami TypeError saat menggunakan Leave One Out Cross-Validation. Bisakah Anda membantu saya memperbaiki kode ini?", "response_improvement_suggestions": "Add comments to explain each step of the code for clarity.", "verdict": "good", "needs_human_review": false}</t>
  </si>
  <si>
    <t>[MODE:code]
saya punya tugas untuk Cobalah hitung precision dari classifier Anda. dan Cobalah hitung recall dari classifier Anda.berikan syntaxnya</t>
  </si>
  <si>
    <t>from sklearn.metrics import precision_score, recall_score
precision = precision_score(y, y_pred)
recall = recall_score(y, y_pred)</t>
  </si>
  <si>
    <t>```python
from sklearn.metrics import precision_score, recall_score
precision = precision_score(y, y_pred)
recall = recall_score(y, y_pred)
```</t>
  </si>
  <si>
    <t>Clear request for code syntax related to precision and recall.</t>
  </si>
  <si>
    <t>Could provide more context about the classifier or data.</t>
  </si>
  <si>
    <t>Correct syntax for calculating precision and recall.</t>
  </si>
  <si>
    <t>[MODE:code] Saya memiliki tugas untuk menghitung precision dan recall dari classifier yang saya gunakan. Mohon berikan syntax beserta penjelasan singkatnya.</t>
  </si>
  <si>
    <t>Add comments or explanations for the code to enhance understanding.</t>
  </si>
  <si>
    <t>{"prompt_score": 4, "response_score": 4, "overall_score": 4, "prompt_strengths": "Clear request for code syntax related to precision and recall.", "prompt_issues": "Could provide more context about the classifier or data.", "response_strengths": "Correct syntax for calculating precision and recall.", "response_issues": "Lacks explanation or context for the code provided.", "prompt_rewrite": "[MODE:code] Saya memiliki tugas untuk menghitung precision dan recall dari classifier yang saya gunakan. Mohon berikan syntax beserta penjelasan singkatnya.", "response_improvement_suggestions": "Add comments or explanations for the code to enhance understanding.", "verdict": "good", "needs_human_review": false}</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</si>
  <si>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</si>
  <si>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</si>
  <si>
    <t>Detailed explanation of the machine learning evaluation process.</t>
  </si>
  <si>
    <t>Clear analogy and correct explanation of data distribution.</t>
  </si>
  <si>
    <t>Summarize the evaluation of machine learning algorithms using resampling techniques and explain data distribution balance in simple terms.</t>
  </si>
  <si>
    <t>Consider adding a brief mention of why imbalanced data can be problematic in machine learning.</t>
  </si>
  <si>
    <t>{"prompt_score": 4, "response_score": 5, "overall_score": 4, "prompt_strengths": "Detailed explanation of the machine learning evaluation process.", "prompt_issues": "Could be more concise and focused on the specific question.", "response_strengths": "Clear analogy and correct explanation of data distribution.", "response_issues": "None identified.", "prompt_rewrite": "Summarize the evaluation of machine learning algorithms using resampling techniques and explain data distribution balance in simple terms.", "response_improvement_suggestions": "Consider adding a brief mention of why imbalanced data can be problematic in machine learning.", "verdict": "good", "needs_human_review": false}</t>
  </si>
  <si>
    <t>[LANG:Python]
[MODE:code]
jika saya ingin cari tau informasi mengenai nilai null pada dataset menggunakan pandas bagaimana ya?</t>
  </si>
  <si>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</si>
  <si>
    <t>```python
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
```</t>
  </si>
  <si>
    <t>Clear and specific request for information on handling null values in a dataset.</t>
  </si>
  <si>
    <t>Could provide more context about the dataset or specific use case.</t>
  </si>
  <si>
    <t>Comprehensive and correct code examples for handling null values in pandas.</t>
  </si>
  <si>
    <t>None; the response is complete and clear.</t>
  </si>
  <si>
    <t>Bagaimana cara mencari informasi mengenai nilai null pada dataset menggunakan pandas? Berikan contoh kode.</t>
  </si>
  <si>
    <t>None; the response is already thorough and well-structured.</t>
  </si>
  <si>
    <t>{"prompt_score": 4, "response_score": 5, "overall_score": 5, "prompt_strengths": "Clear and specific request for information on handling null values in a dataset.", "prompt_issues": "Could provide more context about the dataset or specific use case.", "response_strengths": "Comprehensive and correct code examples for handling null values in pandas.", "response_issues": "None; the response is complete and clear.", "prompt_rewrite": "Bagaimana cara mencari informasi mengenai nilai null pada dataset menggunakan pandas? Berikan contoh kode.", "response_improvement_suggestions": "None; the response is already thorough and well-structured.", "verdict": "excellent", "needs_human_review": false}</t>
  </si>
  <si>
    <t>[MODE:code]
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</si>
  <si>
    <t>```python
import numpy as np
import pandas as pd
from sklearn.model_selection import train_test_split
# ====== Load data ======
# Ganti path sesuai file Anda
df = pd.read_csv("student_exam_performance_dataset (1).csv")
# ====== Helper: cari nama kolom yang mungkin berbeda penulisannya ======
def pick_col(df, candidates, required=True):
    cols = {c.lower(): c for c in df.columns}
    for cand in candidates:
        if cand.lower() in cols:
            return cols[cand.lower()]
    if required:
        raise KeyError(f"Tidak menemukan kolom dari kandidat: {candidates}\nKolom tersedia: {list(df.columns)}")
    return None
# ====== Ambil kolom sumber fitur turunan ======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"social_hours"])
study_col = pick_col(df, ["study_hours_per_day", "study_hours", "hours_studied_per_day"])
online_courses_col = pick_col(df, ["online_courses_completed", "completed_online_courses", "online_courses"])
tutoring_col = pick_col(df, ["tutoring", "tutoring_sessions", "received_tutoring", "tutoring_support"], required=False)
# ====== Buat fitur turunan ======
# engagement_index: rata-rata sederhana dari 3 komponen (asumsi skala sebanding)
df["engagement_index"] = df[[attendance_col, assignment_col, participation_col]].mean(axis=1)
# digital_distraction_ratio: social_media_hours / study_hours_per_day (hindari div 0)
df["digital_distraction_ratio"] = df[social_col] / df[study_col].replace(0, np.nan)
df["digital_distraction_ratio"] = df["digital_distraction_ratio"].fillna(0)
# support_score: online_courses_completed + tutoring info (jika ada)
# - Jika tutoring berupa boolean/yes-no -&gt; dikonversi ke 0/1
# - Jika tutoring berupa numerik (mis. jumlah sesi) -&gt; dipakai langsung
if tutoring_col is None:
    df["support_score"] = df[online_courses_col].astype(float)
else:
    if pd.api.types.is_numeric_dtype(df[tutoring_col]):
        tutoring_numeric = df[tutoring_col].astype(float)
    else:
        tutoring_numeric = (
            df[tutoring_col]
            .astype(str)
            .str.strip()
            .str.lower()
            .map({"yes": 1, "y": 1, "true": 1, "1": 1, "no": 0, "n": 0, "false": 0, "0": 0})
        )
        tutoring_numeric = tutoring_numeric.fillna(0).astype(float)
    df["support_score"] = df[online_courses_col].astype(float) + tutoring_numeric
# ====== Buat target klasifikasi at_risk ======
# Prioritas 1: jika ada kolom Pass/Fail (atau sejenis), gunakan itu.
status_col = pick_col(df, ["pass_fail", "status", "result", "outcome", "final_status"], required=False)
if status_col is not None:
    s = df[status_col].astype(str).str.strip().str.lower()
    # at_risk = 1 jika Fail, 0 jika Pass
    df["at_risk"] = s.map({"fail": 1, "failed": 1, "pass": 0, "passed": 0})
    if df["at_risk"].isna().any():
        # fallback: jika ada label lain, anggap selain pass = at_risk
        df["at_risk"] = np.where(s.isin(["pass", "passed"]), 0, 1).astype(int)
else:
    # Prioritas 2: jika ada skor akhir numerik, buat threshold (contoh: &lt; 60 = at_risk)
    final_score_col = pick_col(df, ["final_score", "exam_score", "score", "final_grade", "grade"], required=False)
    if final_score_col is None:
        raise KeyError(
            "Tidak menemukan kolom status Pass/Fail maupun skor akhir untuk membuat target at_risk."
        )
    df["at_risk"] = (df[final_score_col].astype(float) &lt; 60).astype(int)
# ====== Tentukan target regresi (contoh) dan fitur tanpa leakage ======
# Untuk regresi, pilih target numerik yang ingin diprediksi (mis</t>
  </si>
  <si>
    <t>Identifies specific features for regression analysis.</t>
  </si>
  <si>
    <t>Begins with necessary imports for data manipulation.</t>
  </si>
  <si>
    <t>Incomplete and does not address the prompt's request for code to prevent leakage.</t>
  </si>
  <si>
    <t>Tentukan fitur untuk regresi yang tidak menyebabkan leakage. Berikan kode lengkap untuk menghitung engagement_index menggunakan attendance_rate, assignment_completion_rate, participation_score, digital_distraction_ratio, dan support_score.</t>
  </si>
  <si>
    <t>Provide a complete code example that includes feature selection and leakage prevention techniques.</t>
  </si>
  <si>
    <t>{"prompt_score": 3, "response_score": 2, "overall_score": 2, "prompt_strengths": "Identifies specific features for regression analysis.", "prompt_issues": "Lacks clarity and structure, making it hard to follow.", "response_strengths": "Begins with necessary imports for data manipulation.", "response_issues": "Incomplete and does not address the prompt's request for code to prevent leakage.", "prompt_rewrite": "Tentukan fitur untuk regresi yang tidak menyebabkan leakage. Berikan kode lengkap untuk menghitung engagement_index menggunakan attendance_rate, assignment_completion_rate, participation_score, digital_distraction_ratio, dan support_score.", "response_improvement_suggestions": "Provide a complete code example that includes feature selection and leakage prevention techniques.", "verdict": "weak", "needs_human_review": false}</t>
  </si>
  <si>
    <t>[MODE:summary]
apa fungsi hipotesis terhadap linier regresion apakah softmax, 0x + bias, exponential, sigmoid dan apa yang terjadi jika SGD tanpa shuffle apakah bias, cepat, optimal, stabil</t>
  </si>
  <si>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</si>
  <si>
    <t>Addresses multiple concepts in regression and SGD.</t>
  </si>
  <si>
    <t>Accurate and relevant explanation of hypothesis and SGD effects.</t>
  </si>
  <si>
    <t>Could provide more detail on softmax, sigmoid, and exponential functions.</t>
  </si>
  <si>
    <t>Apa fungsi hipotesis dalam regresi linier? Jelaskan peran softmax, 0x + bias, exponential, dan sigmoid. Apa yang terjadi jika SGD dijalankan tanpa shuffle?</t>
  </si>
  <si>
    <t>Include brief explanations of softmax, sigmoid, and exponential functions in relation to regression.</t>
  </si>
  <si>
    <t>{"prompt_score": 3, "response_score": 4, "overall_score": 4, "prompt_strengths": "Addresses multiple concepts in regression and SGD.", "prompt_issues": "Lacks clarity and structure, making it hard to follow.", "response_strengths": "Accurate and relevant explanation of hypothesis and SGD effects.", "response_issues": "Could provide more detail on softmax, sigmoid, and exponential functions.", "prompt_rewrite": "Apa fungsi hipotesis dalam regresi linier? Jelaskan peran softmax, 0x + bias, exponential, dan sigmoid. Apa yang terjadi jika SGD dijalankan tanpa shuffle?", "response_improvement_suggestions": "Include brief explanations of softmax, sigmoid, and exponential functions in relation to regression.", "verdict": "good", "needs_human_review": false}</t>
  </si>
  <si>
    <t>[MODE:code]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</si>
  <si>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</si>
  <si>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
# =========================
# Load data
# =========================
df = pd.read_csv("student_exam_performance_dataset (1).csv")
# =========================
# Target &amp; features (hindari leakage)
# - Jangan pakai pass_fail / grade_category (turunan dari nilai)
# - Jangan pakai final_exam_score sebagai fitur (target)
# =========================
target_col = "final_exam_score"
leak_cols = ["pass_fail", "grade_category"]
drop_cols = ["student_id"]  # ID tidak informatif untuk regresi
X = df.drop(columns=[target_col] + [c for c in leak_cols if c in df.columns] + [c for c in drop_cols if c in df.columns])
y = df[target_col].astype(float)
# =========================
# Train-test split 80:20
# =========================
X_train, X_test, y_train, y_test = train_test_split(
    X, y, test_size=0.2, random_state=42
)
# =========================
# Preprocessing pipeline
# =========================
num_features = X_train.select_dtypes(include=["number"]).columns.tolist()
cat_features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
# Models
# =========================
models = {
    "LinearRegression": LinearRegression(),
    "Ridge(alpha=1.0)": Ridge(alpha=1.0, random_state=42),
}
# =========================
# Train, evaluate, pick best
# =========================
results = {}
pipelines = {}
for name, model in models.items():
    pipe = Pipeline(steps=[
        ("preprocess", preprocess),
        ("model", model),
    ])
    pipe.fit(X_train, y_train)
    y_pred_train = pipe.predict(X_train)
    y_pred_test = pipe.predict(X_test)
    rmse_train = np.sqrt(mean_squared_error(y_train, y_pred_train))
    mae_train = mean_absolute_error(y_train, y_pred_train)
    r2_train = r2_score(y_train, y_pred_train)
    rmse_test = np.sqrt(mean_squared_error(y_test, y_pred_test))
    mae_test = mean_absolute_error(y_test, y_pred_test)
    r2_test = r2_score(y_test, y_pred_test)
    results[name] = {
        "rmse_train": rmse_train, "mae_train": mae_train, "r2_train": r2_train,
        "rmse_test": rmse_test, "mae_test": mae_test, "r2_test": r2_test,
    }
    pipelines[name] = pipe
# Print evaluation
print("=== Regression Evaluation ===")
for name, m in results.items():
    print(
        f"{name:18s} | "
        f"RMSE(train)={m['rmse_train']:.4f} MAE(train)={m['mae_train']:.4f} R2(train)={m['r2_train']:.4f} || "
        f"RMSE(test)={m['rmse_test']:.4f} MAE(test)={m['mae_test']:.4f} R2(test)={m['r2_test']:.4f}"
    )
# Choose best model by lowest RMSE on test (tie-breaker: higher R2)
best_name = sorted(
    results.keys(),
    key=lambda k: (results[k]["rmse_test"], -results[k]["r2_test"])
)[0]
best_model = pipelines[best_name]
print("\nBest regression model:", best_name)
# =========================
# Save predictions for later classification stage
# =========================
y_pred_train_best = best_model.predict(X_train)
y_pred_test_best = best_model.predict(X_test)
# Optional: store into DataFrames aligned with indices
train_pred_df = pd.DataFrame(
    {"y_true": y_train, "y_pred": y_pred_train_best},
    index=y_train.index
)
test_pred_df = pd.DataFrame(
    {"y_true</t>
  </si>
  <si>
    <t>Includes necessary imports for model building.</t>
  </si>
  <si>
    <t>Lacks implementation details for model training and evaluation metrics.</t>
  </si>
  <si>
    <t>Bangun model regresi untuk memprediksi `final_exam_score` menggunakan `LinearRegression` dan `Ridge` dengan `alpha=1.0`. Gunakan pipeline untuk fitur numerik dan kategorikal. Evaluasi model dengan RMSE, MAE, dan R2. Sertakan konteks dataset dan format output yang diharapkan.</t>
  </si>
  <si>
    <t>Add code for data preprocessing, model fitting, evaluation, and saving predictions.</t>
  </si>
  <si>
    <t>{"prompt_score": 4, "response_score": 3, "overall_score": 3, "prompt_strengths": "Clear instructions and specific requirements.", "prompt_issues": "Could provide more context on the dataset and expected output format.", "response_strengths": "Includes necessary imports for model building.", "response_issues": "Lacks implementation details for model training and evaluation metrics.", "prompt_rewrite": "Bangun model regresi untuk memprediksi `final_exam_score` menggunakan `LinearRegression` dan `Ridge` dengan `alpha=1.0`. Gunakan pipeline untuk fitur numerik dan kategorikal. Evaluasi model dengan RMSE, MAE, dan R2. Sertakan konteks dataset dan format output yang diharapkan.", "response_improvement_suggestions": "Add code for data preprocessing, model fitting, evaluation, and saving predictions.", "verdict": "fair", "needs_human_review": false}</t>
  </si>
  <si>
    <t>[MODE:summary]
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</si>
  <si>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</si>
  <si>
    <t>Clear and specific multiple-choice questions.</t>
  </si>
  <si>
    <t>Lacks context for the questions.</t>
  </si>
  <si>
    <t>All answers are relevant and correct.</t>
  </si>
  <si>
    <t>Could provide more explanation for each answer.</t>
  </si>
  <si>
    <t>Answer the following multiple-choice questions related to machine learning concepts.</t>
  </si>
  <si>
    <t>Include brief explanations for each answer to enhance understanding.</t>
  </si>
  <si>
    <t>{"prompt_score": 4, "response_score": 5, "overall_score": 4, "prompt_strengths": "Clear and specific multiple-choice questions.", "prompt_issues": "Lacks context for the questions.", "response_strengths": "All answers are relevant and correct.", "response_issues": "Could provide more explanation for each answer.", "prompt_rewrite": "Answer the following multiple-choice questions related to machine learning concepts.", "response_improvement_suggestions": "Include brief explanations for each answer to enhance understanding.", "verdict": "good", "needs_human_review": false}</t>
  </si>
  <si>
    <t>[LANG:Python]
[MODE:summary_code_explanation]
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</si>
  <si>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</si>
  <si>
    <t>Thorough explanation with relevant code snippets.</t>
  </si>
  <si>
    <t>Berdasarkan EDA yang dilakukan, jawab pertanyaan berikut: 1. Berapa jumlah observasi dan fitur pada dataset? 2. Sebutkan fitur target. 3. Fitur dengan mean tertinggi dan std terbesar? 4. Fitur dengan nilai minimum = 0? 5. Fitur dengan korelasi terkuat ke variabel class? 6. Pasangan fitur dengan korelasi tinggi?</t>
  </si>
  <si>
    <t>{"prompt_score": 4, "response_score": 5, "overall_score": 5, "prompt_strengths": "Clear and detailed instructions for EDA tasks.", "prompt_issues": "Could be more concise.", "response_strengths": "Thorough explanation with relevant code snippets.", "response_issues": "None identified.", "prompt_rewrite": "Berdasarkan EDA yang dilakukan, jawab pertanyaan berikut: 1. Berapa jumlah observasi dan fitur pada dataset? 2. Sebutkan fitur target. 3. Fitur dengan mean tertinggi dan std terbesar? 4. Fitur dengan nilai minimum = 0? 5. Fitur dengan korelasi terkuat ke variabel class? 6. Pasangan fitur dengan korelasi tinggi?", "response_improvement_suggestions": "None needed; response is comprehensive.", "verdict": "excellent", "needs_human_review": false}</t>
  </si>
  <si>
    <t>[MODE:code]
Extract semua baris dan kolom ke-1 s.d. ke-7 ke dalam variabel X. bantu aku kerjakan ini dong. tolong</t>
  </si>
  <si>
    <t>Request is clear about the task.</t>
  </si>
  <si>
    <t>Lacks specificity on the data structure and programming language.</t>
  </si>
  <si>
    <t>Response is relevant and mostly correct.</t>
  </si>
  <si>
    <t>Incomplete; does not specify the data structure or context.</t>
  </si>
  <si>
    <t>[MODE:code] Extract all rows and columns 1 to 7 from a given dataset into variable X. Please specify the programming language and data structure.</t>
  </si>
  <si>
    <t>Clarify the data structure and ensure the syntax is correct for the specified programming language.</t>
  </si>
  <si>
    <t>{"prompt_score": 3, "response_score": 4, "overall_score": 3, "prompt_strengths": "Request is clear about the task.", "prompt_issues": "Lacks specificity on the data structure and programming language.", "response_strengths": "Response is relevant and mostly correct.", "response_issues": "Incomplete; does not specify the data structure or context.", "prompt_rewrite": "[MODE:code] Extract all rows and columns 1 to 7 from a given dataset into variable X. Please specify the programming language and data structure.", "response_improvement_suggestions": "Clarify the data structure and ensure the syntax is correct for the specified programming language.", "verdict": "fair", "needs_human_review": false}</t>
  </si>
  <si>
    <t>[MODE:code]
Bukan seperti itu melain kan "Pregnancies",	"Glucose",	"BloodPressure",	"SkinThickness",	"Insulin",	"BMI",	"DiabetesPedigreeFunction",	"Age",	"Outcome" adalah merupakan class classnya</t>
  </si>
  <si>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</si>
  <si>
    <t>```python
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
```</t>
  </si>
  <si>
    <t>Identifies specific classes in the dataset.</t>
  </si>
  <si>
    <t>Lacks clarity and context for the intended action.</t>
  </si>
  <si>
    <t>Provides relevant code and explanations for the dataset.</t>
  </si>
  <si>
    <t>Could be clearer in explaining the relationship between features and the target variable.</t>
  </si>
  <si>
    <t>Jelaskan bahwa "Pregnancies", "Glucose", "BloodPressure", "SkinThickness", "Insulin", "BMI", "DiabetesPedigreeFunction", "Age" adalah fitur, dan "Outcome" adalah kelas target.</t>
  </si>
  <si>
    <t>Clarify the explanation of how features relate to the target variable and simplify the code comments.</t>
  </si>
  <si>
    <t>{"prompt_score": 3, "response_score": 4, "overall_score": 3, "prompt_strengths": "Identifies specific classes in the dataset.", "prompt_issues": "Lacks clarity and context for the intended action.", "response_strengths": "Provides relevant code and explanations for the dataset.", "response_issues": "Could be clearer in explaining the relationship between features and the target variable.", "prompt_rewrite": "Jelaskan bahwa \"Pregnancies\", \"Glucose\", \"BloodPressure\", \"SkinThickness\", \"Insulin\", \"BMI\", \"DiabetesPedigreeFunction\", \"Age\" adalah fitur, dan \"Outcome\" adalah kelas target.", "response_improvement_suggestions": "Clarify the explanation of how features relate to the target variable and simplify the code comments.", "verdict": "good", "needs_human_review": false}</t>
  </si>
  <si>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</si>
  <si>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</si>
  <si>
    <t>Comprehensive code with insights for each EDA step.</t>
  </si>
  <si>
    <t>Response is cut off and lacks completion.</t>
  </si>
  <si>
    <t>[MODE:summary_code_explanation] Bagian 2 - EDA Berorientasi Risiko: Lakukan analisis EDA pada dataset akademik, termasuk cek missing value, statistik deskriptif fitur numerik, visualisasi distribusi fitur relevan, perbandingan fitur antara kelompok Pass dan Fail, serta heatmap korelasi. Berikan insight untuk setiap hasil yang diamati.</t>
  </si>
  <si>
    <t>Complete the response by finishing the code and insights for comparing features between Pass and Fail groups.</t>
  </si>
  <si>
    <t>{"prompt_score": 4, "response_score": 4, "overall_score": 4, "prompt_strengths": "Clear and detailed instructions for EDA tasks.", "prompt_issues": "Could benefit from more context on the dataset.", "response_strengths": "Comprehensive code with insights for each EDA step.", "response_issues": "Response is cut off and lacks completion.", "prompt_rewrite": "[MODE:summary_code_explanation] Bagian 2 - EDA Berorientasi Risiko: Lakukan analisis EDA pada dataset akademik, termasuk cek missing value, statistik deskriptif fitur numerik, visualisasi distribusi fitur relevan, perbandingan fitur antara kelompok Pass dan Fail, serta heatmap korelasi. Berikan insight untuk setiap hasil yang diamati.", "response_improvement_suggestions": "Complete the response by finishing the code and insights for comparing features between Pass and Fail groups.", "verdict": "good", "needs_human_review": false}</t>
  </si>
  <si>
    <t>[MODE:code]
saya punya tugas untuk correlation matrix yang diperintahkan menmbuat variabel correlation yang berisikan informasi korelasi dari dataset. berikan syntaxnya</t>
  </si>
  <si>
    <t>correlation = dataframe.corr()</t>
  </si>
  <si>
    <t>```python
correlation = dataframe.corr()
```</t>
  </si>
  <si>
    <t>Directly asks for syntax related to correlation matrix.</t>
  </si>
  <si>
    <t>Lacks clarity in dataset context and specific requirements.</t>
  </si>
  <si>
    <t>Correct and relevant syntax for calculating correlation.</t>
  </si>
  <si>
    <t>Berikan syntax untuk membuat variabel yang berisi matriks korelasi dari dataset yang diberikan.</t>
  </si>
  <si>
    <t>Include a brief explanation of the syntax and its usage.</t>
  </si>
  <si>
    <t>{"prompt_score": 3, "response_score": 4, "overall_score": 3, "prompt_strengths": "Directly asks for syntax related to correlation matrix.", "prompt_issues": "Lacks clarity in dataset context and specific requirements.", "response_strengths": "Correct and relevant syntax for calculating correlation.", "response_issues": "Lacks explanation or context for the syntax provided.", "prompt_rewrite": "Berikan syntax untuk membuat variabel yang berisi matriks korelasi dari dataset yang diberikan.", "response_improvement_suggestions": "Include a brief explanation of the syntax and its usage.", "verdict": "fair", "needs_human_review": false}</t>
  </si>
  <si>
    <t>[MODE:summary_code_explanation]
sekarang, buat scatter plot untuk melihat pengaruh bmi terhadap charges, berikut atuiran yang sudah tertera dari dosen saya</t>
  </si>
  <si>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</si>
  <si>
    <t>Clear request for a scatter plot.</t>
  </si>
  <si>
    <t>Lacks specific details about the required plot features.</t>
  </si>
  <si>
    <t>Provides a clear code example and explanation.</t>
  </si>
  <si>
    <t>Requires additional information to fully meet the prompt's needs.</t>
  </si>
  <si>
    <t>Buat scatter plot untuk melihat pengaruh BMI terhadap charges dengan aturan dari dosen, seperti warna per kategori dan ukuran figure.</t>
  </si>
  <si>
    <t>Request specific details about the plot requirements to tailor the code better.</t>
  </si>
  <si>
    <t>{"prompt_score": 3, "response_score": 4, "overall_score": 3, "prompt_strengths": "Clear request for a scatter plot.", "prompt_issues": "Lacks specific details about the required plot features.", "response_strengths": "Provides a clear code example and explanation.", "response_issues": "Requires additional information to fully meet the prompt's needs.", "prompt_rewrite": "Buat scatter plot untuk melihat pengaruh BMI terhadap charges dengan aturan dari dosen, seperti warna per kategori dan ukuran figure.", "response_improvement_suggestions": "Request specific details about the plot requirements to tailor the code better.", "verdict": "good", "needs_human_review": false}</t>
  </si>
  <si>
    <t>[MODE:summary]
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</si>
  <si>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</si>
  <si>
    <t>Clear and specific questions related to machine learning concepts.</t>
  </si>
  <si>
    <t>Could provide more context or examples for better understanding.</t>
  </si>
  <si>
    <t>Accurate, relevant, and clearly explains the concepts.</t>
  </si>
  <si>
    <t>Could include more detail or examples for completeness.</t>
  </si>
  <si>
    <t>[MODE:summary] Bertindaklah sebagai ahli dalam kecerdasan mesin. Jawab dan jelaskan secara singkat pertanyaan-pertanyaan berikut dengan contoh jika perlu: 1. Overfitting terjadi ketika? 2. Apa yang terjadi jika lambda besar pada Ridge? 3. Apa itu Mini-batch Gradient Descent dan bagaimana hubungannya dengan metode lain?</t>
  </si>
  <si>
    <t>Add examples or further explanations for each concept to enhance understanding.</t>
  </si>
  <si>
    <t>{"prompt_score": 4, "response_score": 5, "overall_score": 4, "prompt_strengths": "Clear and specific questions related to machine learning concepts.", "prompt_issues": "Could provide more context or examples for better understanding.", "response_strengths": "Accurate, relevant, and clearly explains the concepts.", "response_issues": "Could include more detail or examples for completeness.", "prompt_rewrite": "[MODE:summary] Bertindaklah sebagai ahli dalam kecerdasan mesin. Jawab dan jelaskan secara singkat pertanyaan-pertanyaan berikut dengan contoh jika perlu: 1. Overfitting terjadi ketika? 2. Apa yang terjadi jika lambda besar pada Ridge? 3. Apa itu Mini-batch Gradient Descent dan bagaimana hubungannya dengan metode lain?", "response_improvement_suggestions": "Add examples or further explanations for each concept to enhance understanding.", "verdict": "good", "needs_human_review": false}</t>
  </si>
  <si>
    <t>[MODE:code]
filename = "pima-indians-diabetes.data.csv"
Gunakan method read_csv dengan parameter: filename dan names adalah names. Simpan hasil read_csv dalam variabel dataframe.</t>
  </si>
  <si>
    <t>dataframe = read_csv(filename, names=names)</t>
  </si>
  <si>
    <t>```python
dataframe = read_csv(filename, names=names)
```</t>
  </si>
  <si>
    <t>Clear instructions with specific parameters.</t>
  </si>
  <si>
    <t>Correct use of read_csv method.</t>
  </si>
  <si>
    <t>Read the CSV file 'pima-indians-diabetes.data.csv' using read_csv with specified names and store it in a variable called dataframe. Provide context on the data.</t>
  </si>
  <si>
    <t>Add comments explaining the code for better clarity.</t>
  </si>
  <si>
    <t>{"prompt_score": 4, "response_score": 4, "overall_score": 4, "prompt_strengths": "Clear instructions with specific parameters.", "prompt_issues": "Could provide more context on the data.", "response_strengths": "Correct use of read_csv method.", "response_issues": "Lacks explanation or comments for clarity.", "prompt_rewrite": "Read the CSV file 'pima-indians-diabetes.data.csv' using read_csv with specified names and store it in a variable called dataframe. Provide context on the data.", "response_improvement_suggestions": "Add comments explaining the code for better clarity.", "verdict": "good", "needs_human_review": false}</t>
  </si>
  <si>
    <t>[MODE:code]
ini malah error
filename = 'diabetes.csv'
dataframe = read_csv(filename, names=names)
ini pesan errornya
---------------------------------------------------------------------------
NameError                                 Traceback (most recent call last)
Cell In[4], line 2
      1 filename = 'diabetes.csv'
----&gt; 2 dataframe = read_csv(filename, names=names)
NameError: name 'names' is not defined</t>
  </si>
  <si>
    <t>import pandas as pd
filename = "pima-indians-diabetes.data.csv"
names = [
    "preg", "plas", "pres", "skin", "test", "mass", "pedi", "age", "class"
]
dataframe = pd.read_csv(filename, names=names)</t>
  </si>
  <si>
    <t>```python
import pandas as pd
filename = "pima-indians-diabetes.data.csv"
names = [
    "preg", "plas", "pres", "skin", "test", "mass", "pedi", "age", "class"
]
dataframe = pd.read_csv(filename, names=names)
```</t>
  </si>
  <si>
    <t>Lacks clarity on the context and expected outcome.</t>
  </si>
  <si>
    <t>Provides a correct and complete solution.</t>
  </si>
  <si>
    <t>Could include more explanation of the solution.</t>
  </si>
  <si>
    <t>What is causing the NameError in this code snippet: filename = 'diabetes.csv' dataframe = read_csv(filename, names=names)?</t>
  </si>
  <si>
    <t>Add a brief explanation of why the error occurs and how the solution resolves it.</t>
  </si>
  <si>
    <t>{"prompt_score": 3, "response_score": 4, "overall_score": 3, "prompt_strengths": "Identifies a specific error in code.", "prompt_issues": "Lacks clarity on the context and expected outcome.", "response_strengths": "Provides a correct and complete solution.", "response_issues": "Could include more explanation of the solution.", "prompt_rewrite": "What is causing the NameError in this code snippet: filename = 'diabetes.csv' dataframe = read_csv(filename, names=names)?", "response_improvement_suggestions": "Add a brief explanation of why the error occurs and how the solution resolves it.", "verdict": "good", "needs_human_review": false}</t>
  </si>
  <si>
    <t>[MODE:summary]
Konteks: Jelaskan konsep [λ besar pada Ridge menyebabkan 
]: Level: pemula Minta: definisi singkat, analogi, contoh nyata, dan kapan konsep ini dipakai.</t>
  </si>
  <si>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</si>
  <si>
    <t>Could provide more context on the audience's background.</t>
  </si>
  <si>
    <t>Could simplify language for beginners.</t>
  </si>
  <si>
    <t>Jelaskan konsep λ besar pada Ridge dalam konteks pemula: definisi singkat, analogi, contoh nyata, dan aplikasi praktis.</t>
  </si>
  <si>
    <t>Use simpler language and define technical terms for clarity.</t>
  </si>
  <si>
    <t>{"prompt_score": 4, "response_score": 5, "overall_score": 5, "prompt_strengths": "Clear and specific request for explanation.", "prompt_issues": "Could provide more context on the audience's background.", "response_strengths": "Accurate, comprehensive, and includes relevant examples.", "response_issues": "Could simplify language for beginners.", "prompt_rewrite": "Jelaskan konsep λ besar pada Ridge dalam konteks pemula: definisi singkat, analogi, contoh nyata, dan aplikasi praktis.", "response_improvement_suggestions": "Use simpler language and define technical terms for clarity.", "verdict": "excellent", "needs_human_review": false}</t>
  </si>
  <si>
    <t>[MODE:code]
dari kdoe ini result = model.score(X_test, y_test) saya diruuh untuk cetak hasil akurasinya. disuruhnya kek gini Cetaklah hasil prediksi pada `X_test` sbb:      
`Accuracy: XX%`    
Harapannya, akurasi $\approx 76\%$.</t>
  </si>
  <si>
    <t>print("Accuracy: %.2f%%" % (result * 100))</t>
  </si>
  <si>
    <t>```python
print("Accuracy: %.2f%%" % (result * 100))
```</t>
  </si>
  <si>
    <t>Specifies the desired output format and accuracy expectation.</t>
  </si>
  <si>
    <t>Lacks clarity in language and structure, making it somewhat difficult to understand.</t>
  </si>
  <si>
    <t>Correctly formats the output for accuracy and is clear.</t>
  </si>
  <si>
    <t>Could include a comment or explanation for clarity.</t>
  </si>
  <si>
    <t>Cetaklah hasil prediksi pada `X_test` dengan format `Accuracy: XX%`, diharapkan akurasi mendekati 76%.</t>
  </si>
  <si>
    <t>Add a comment explaining the code for better understanding.</t>
  </si>
  <si>
    <t>{"prompt_score": 3, "response_score": 5, "overall_score": 4, "prompt_strengths": "Specifies the desired output format and accuracy expectation.", "prompt_issues": "Lacks clarity in language and structure, making it somewhat difficult to understand.", "response_strengths": "Correctly formats the output for accuracy and is clear.", "response_issues": "Could include a comment or explanation for clarity.", "prompt_rewrite": "Cetaklah hasil prediksi pada `X_test` dengan format `Accuracy: XX%`, diharapkan akurasi mendekati 76%.", "response_improvement_suggestions": "Add a comment explaining the code for better understanding.", "verdict": "good", "needs_human_review": false}</t>
  </si>
  <si>
    <t>[MODE:code]
bantu saya menyelesaikan praktikum w4 dengan mengisi ##### Your Code Here #####
dataframe = untuk read_csv dengan parameter: filename dan names adalah names. Simpan hasil read_csv dalam variabel dataframe.berikan code yang singkat, padat, dan jelas. jangan panjang panjang</t>
  </si>
  <si>
    <t>Correct and concise code.</t>
  </si>
  <si>
    <t>Lacks explanation or comments.</t>
  </si>
  <si>
    <t>Bantu saya menyelesaikan praktikum w4 dengan mengisi ##### Your Code Here ##### dataframe = untuk read_csv dengan parameter: filename dan names adalah names. Simpan hasil read_csv dalam variabel dataframe. Berikan code yang singkat, padat, dan jelas. Sertakan penjelasan singkat tentang fungsi read_csv.</t>
  </si>
  <si>
    <t>Add a brief explanation of the read_csv function.</t>
  </si>
  <si>
    <t>{"prompt_score": 4, "response_score": 5, "overall_score": 4, "prompt_strengths": "Clear instructions and specific requirements.", "prompt_issues": "Could provide more context about the data.", "response_strengths": "Correct and concise code.", "response_issues": "Lacks explanation or comments.", "prompt_rewrite": "Bantu saya menyelesaikan praktikum w4 dengan mengisi ##### Your Code Here ##### dataframe = untuk read_csv dengan parameter: filename dan names adalah names. Simpan hasil read_csv dalam variabel dataframe. Berikan code yang singkat, padat, dan jelas. Sertakan penjelasan singkat tentang fungsi read_csv.", "response_improvement_suggestions": "Add a brief explanation of the read_csv function.", "verdict": "good", "needs_human_review": false}</t>
  </si>
  <si>
    <t>[MODE:summary_code_explanation]
#################################
# DO NOT CHANGE THE CODE BELOW
#################################
from sklearn.datasets import fetch_openml
mnist = fetch_openml('mnist_784', as_frame=False)
X, y = mnist.data, mnist.target
Mari kita bagi `X` dan `y` menjadi 60000 gambar untuk train set dan 10000 untuk test set.</t>
  </si>
  <si>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</si>
  <si>
    <t>Accurate, clear, and complete explanation with code.</t>
  </si>
  <si>
    <t>[MODE:summary_code_explanation] ################################# # DO NOT CHANGE THE CODE BELOW ################################# from sklearn.datasets import fetch_openml mnist = fetch_openml('mnist_784', as_frame=False) X, y = mnist.data, mnist.target Mari kita bagi `X` dan `y` menjadi 60000 gambar untuk train set dan 10000 untuk test set. Please provide a summary and explanation in a structured format.</t>
  </si>
  <si>
    <t>{"prompt_score": 4, "response_score": 5, "overall_score": 4, "prompt_strengths": "Clear instructions and context provided.", "prompt_issues": "Could specify the expected format of the output more clearly.", "response_strengths": "Accurate, clear, and complete explanation with code.", "response_issues": "None noted.", "prompt_rewrite": "[MODE:summary_code_explanation] ################################# # DO NOT CHANGE THE CODE BELOW ################################# from sklearn.datasets import fetch_openml mnist = fetch_openml('mnist_784', as_frame=False) X, y = mnist.data, mnist.target Mari kita bagi `X` dan `y` menjadi 60000 gambar untuk train set dan 10000 untuk test set. Please provide a summary and explanation in a structured format.", "response_improvement_suggestions": "None needed; response is already strong.", "verdict": "good", "needs_human_review": false}</t>
  </si>
  <si>
    <t>[MODE:code]
NameError                                 Traceback (most recent call last)
Cell In[14], line 2
      1 svr_pipeline = Pipeline(steps=[
----&gt; 2     ("preprocessing", preprocessing),
      3     ("svr", SVR())
      4 ])
      6 svr_pipeline
NameError: name 'preprocessing' is not defined
terdapat error seperti ini</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</si>
  <si>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</si>
  <si>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```python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t>
  </si>
  <si>
    <t>Identifies a specific error and context.</t>
  </si>
  <si>
    <t>Lacks clarity in asking for a solution.</t>
  </si>
  <si>
    <t>Provides a comprehensive and correct solution.</t>
  </si>
  <si>
    <t>Could be better organized for readability.</t>
  </si>
  <si>
    <t>How can I resolve the NameError regarding 'preprocessing' in my pipeline code?</t>
  </si>
  <si>
    <t>Add comments to clarify each section of the code for better understanding.</t>
  </si>
  <si>
    <t>{"prompt_score": 3, "response_score": 5, "overall_score": 4, "prompt_strengths": "Identifies a specific error and context.", "prompt_issues": "Lacks clarity in asking for a solution.", "response_strengths": "Provides a comprehensive and correct solution.", "response_issues": "Could be better organized for readability.", "prompt_rewrite": "How can I resolve the NameError regarding 'preprocessing' in my pipeline code?", "response_improvement_suggestions": "Add comments to clarify each section of the code for better understanding.", "verdict": "good", "needs_human_review": false}</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</si>
  <si>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</si>
  <si>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</si>
  <si>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Clear instructions with specific context for the task.</t>
  </si>
  <si>
    <t>Could provide more detail on expected input data structure.</t>
  </si>
  <si>
    <t>Thorough and accurate explanation with complete code example.</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</si>
  <si>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Pastikan untuk menjelaskan format data input yang diharapkan.</t>
  </si>
  <si>
    <t>Consider adding comments in the code to explain each step for clarity.</t>
  </si>
  <si>
    <t>{"prompt_score": 4, "response_score": 5, "overall_score": 5, "prompt_strengths": "Clear instructions with specific context for the task.", "prompt_issues": "Could provide more detail on expected input data structure.", "response_strengths": "Thorough and accurate explanation with complete code example.", "response_issues": "None significant; all parts of the task are addressed.", "prompt_rewrite": "[MODE:summary_code_explanation]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Pastikan untuk menjelaskan format data input yang diharapkan.", "response_improvement_suggestions": "Consider adding comments in the code to explain each step for clarity.", "verdict": "excellent", "needs_human_review": false}</t>
  </si>
  <si>
    <t>[MODE:code]
Sekarang, kita akan lihat hasil dari model yang di train menggunakan linear regression. bantu aku apak</t>
  </si>
  <si>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</si>
  <si>
    <t>```python
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
```</t>
  </si>
  <si>
    <t>The prompt indicates a coding context and requests assistance with linear regression.</t>
  </si>
  <si>
    <t>The prompt is incomplete and lacks clarity on what specific help is needed.</t>
  </si>
  <si>
    <t>The response provides a complete and relevant code example for training a linear regression model.</t>
  </si>
  <si>
    <t>The response could benefit from additional comments or explanations for clarity.</t>
  </si>
  <si>
    <t>[MODE:code] Please help me understand the results of a linear regression model I trained. What should I look for?</t>
  </si>
  <si>
    <t>{"prompt_score": 3, "response_score": 4, "overall_score": 4, "prompt_strengths": "The prompt indicates a coding context and requests assistance with linear regression.", "prompt_issues": "The prompt is incomplete and lacks clarity on what specific help is needed.", "response_strengths": "The response provides a complete and relevant code example for training a linear regression model.", "response_issues": "The response could benefit from additional comments or explanations for clarity.", "prompt_rewrite": "[MODE:code] Please help me understand the results of a linear regression model I trained. What should I look for?", "response_improvement_suggestions": "Add comments to explain each step of the code for better understanding.", "verdict": "good", "needs_human_review": false}</t>
  </si>
  <si>
    <t>[MODE:summary_code_explanation]
Mari kita hitung _accuracy_ dari classifier knn yang sudah dibuat ##### Your Code Here ##### baseline_accuracy =</t>
  </si>
  <si>
    <t>**SUMMARY**  
Hitung akurasi KNN pada test set dan simpan ke `baseline_accuracy`.
```python
baseline_accuracy = knn_clf.score(X_test, y_test)
```
**EXPLANATION**  
Method `.score(X_test, y_test)` pada classifier scikit-learn mengembalikan **accuracy** (proporsi prediksi yang benar) untuk data uji.</t>
  </si>
  <si>
    <t>Lacks context on what KNN is and what data is being used.</t>
  </si>
  <si>
    <t>The response is relevant and provides a correct code snippet.</t>
  </si>
  <si>
    <t>Could include more explanation on the significance of accuracy.</t>
  </si>
  <si>
    <t>Calculate the accuracy of the KNN classifier on the test set using the provided data.</t>
  </si>
  <si>
    <t>Add a brief explanation of why accuracy is important in evaluating classifiers.</t>
  </si>
  <si>
    <t>{"prompt_score": 3, "response_score": 4, "overall_score": 4, "prompt_strengths": "The prompt specifies the task clearly.", "prompt_issues": "Lacks context on what KNN is and what data is being used.", "response_strengths": "The response is relevant and provides a correct code snippet.", "response_issues": "Could include more explanation on the significance of accuracy.", "prompt_rewrite": "Calculate the accuracy of the KNN classifier on the test set using the provided data.", "response_improvement_suggestions": "Add a brief explanation of why accuracy is important in evaluating classifiers.", "verdict": "good", "needs_human_review": false}</t>
  </si>
  <si>
    <t>[LANG:Python]
[MODE:code]
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</si>
  <si>
    <t>from sklearn.pipeline import make_pipeline
from sklearn.impute import SimpleImputer
from sklearn.preprocessing import OneHotEncoder
# DO NOT CHANGE THE CODE
cat_pipeline = make_pipeline(
    SimpleImputer(strategy="most_frequent"),
    OneHotEncoder(handle_unknown="ignore")
)</t>
  </si>
  <si>
    <t>```python
from sklearn.pipeline import make_pipeline
from sklearn.impute import SimpleImputer
from sklearn.preprocessing import OneHotEncoder
# DO NOT CHANGE THE CODE
cat_pipeline = make_pipeline(
    SimpleImputer(strategy="most_frequent"),
    OneHotEncoder(handle_unknown="ignore")
)
```</t>
  </si>
  <si>
    <t>Correctly imports necessary libraries and implements the pipeline as requested.</t>
  </si>
  <si>
    <t>Buat pipeline untuk memproses kolom bertipe categorical dalam dataset yang tidak memiliki kolom 'median_house_value'. Kolom yang ada: ['longitude', 'latitude', 'housing_median_age', 'total_rooms', 'total_bedrooms', 'population', 'households', 'median_income', 'ocean_proximity']. Pastikan untuk tidak mengubah kode yang diberikan.</t>
  </si>
  <si>
    <t>{"prompt_score": 4, "response_score": 5, "overall_score": 4, "prompt_strengths": "Clear and specific about the task and context.", "prompt_issues": "Could provide more context on the dataset's purpose.", "response_strengths": "Correctly imports necessary libraries and implements the pipeline as requested.", "response_issues": "None; the response is complete and clear.", "prompt_rewrite": "Buat pipeline untuk memproses kolom bertipe categorical dalam dataset yang tidak memiliki kolom 'median_house_value'. Kolom yang ada: ['longitude', 'latitude', 'housing_median_age', 'total_rooms', 'total_bedrooms', 'population', 'households', 'median_income', 'ocean_proximity']. Pastikan untuk tidak mengubah kode yang diberikan.", "response_improvement_suggestions": "None; the response is already optimal.", "verdict": "excellent", "needs_human_review": false}</t>
  </si>
  <si>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</si>
  <si>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</si>
  <si>
    <t>Clear instructions and specific tasks for EDA.</t>
  </si>
  <si>
    <t>Could benefit from clearer expectations for explanations.</t>
  </si>
  <si>
    <t>Relevant analysis with correct interpretations and clear insights.</t>
  </si>
  <si>
    <t>Could include more detailed explanations for non-expert readers.</t>
  </si>
  <si>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Sertakan penjelasan yang mudah dipahami untuk setiap output yang dihasilkan.</t>
  </si>
  <si>
    <t>Add more context or examples in the explanations to enhance understanding for a broader audience.</t>
  </si>
  <si>
    <t>{"prompt_score": 4, "response_score": 4, "overall_score": 4, "prompt_strengths": "Clear instructions and specific tasks for EDA.", "prompt_issues": "Could benefit from clearer expectations for explanations.", "response_strengths": "Relevant analysis with correct interpretations and clear insights.", "response_issues": "Could include more detailed explanations for non-expert readers.", "prompt_rewrite": "[MODE:summary]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Sertakan penjelasan yang mudah dipahami untuk setiap output yang dihasilkan.", "response_improvement_suggestions": "Add more context or examples in the explanations to enhance understanding for a broader audience.", "verdict": "good", "needs_human_review": false}</t>
  </si>
  <si>
    <t>[MODE:code]
tolong buatkan Buatlah `KFold` dengan parameter `n_splits=10` dan simpan dalam varibel `kfold` pada jupyter</t>
  </si>
  <si>
    <t>Clear and specific request for code implementation.</t>
  </si>
  <si>
    <t>Could provide more context on the intended use of KFold.</t>
  </si>
  <si>
    <t>Lacks comments or explanation for clarity.</t>
  </si>
  <si>
    <t>Buatlah `KFold` dengan parameter `n_splits=10` untuk digunakan dalam validasi model, dan simpan dalam variabel `kfold` pada Jupyter Notebook.</t>
  </si>
  <si>
    <t>Add comments to explain the code for better understanding.</t>
  </si>
  <si>
    <t>{"prompt_score": 4, "response_score": 5, "overall_score": 4, "prompt_strengths": "Clear and specific request for code implementation.", "prompt_issues": "Could provide more context on the intended use of KFold.", "response_strengths": "Correct and complete code implementation.", "response_issues": "Lacks comments or explanation for clarity.", "prompt_rewrite": "Buatlah `KFold` dengan parameter `n_splits=10` untuk digunakan dalam validasi model, dan simpan dalam variabel `kfold` pada Jupyter Notebook.", "response_improvement_suggestions": "Add comments to explain the code for better understanding.", "verdict": "good", "needs_human_review": false}</t>
  </si>
  <si>
    <t>[LANG:Python]
[MODE:summary_code_explanation]
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</si>
  <si>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</si>
  <si>
    <t>Clear and specific about the task and requirements.</t>
  </si>
  <si>
    <t>Could provide more context on the dataset or specific null handling.</t>
  </si>
  <si>
    <t>Comprehensive, efficient code with clear explanations and usage examples.</t>
  </si>
  <si>
    <t>None noted; response meets all requirements.</t>
  </si>
  <si>
    <t>Create a Python function called srcNull() to scan a CSV for null values at a specific index, using efficient chunking methods suitable for a large dataset with 16,512 entries and 9 features.</t>
  </si>
  <si>
    <t>Consider adding more examples or edge cases in the explanation.</t>
  </si>
  <si>
    <t>{"prompt_score": 4, "response_score": 5, "overall_score": 5, "prompt_strengths": "Clear and specific about the task and requirements.", "prompt_issues": "Could provide more context on the dataset or specific null handling.", "response_strengths": "Comprehensive, efficient code with clear explanations and usage examples.", "response_issues": "None noted; response meets all requirements.", "prompt_rewrite": "Create a Python function called srcNull() to scan a CSV for null values at a specific index, using efficient chunking methods suitable for a large dataset with 16,512 entries and 9 features.", "response_improvement_suggestions": "Consider adding more examples or edge cases in the explanation.", "verdict": "excellent", "needs_human_review": false}</t>
  </si>
  <si>
    <t>[MODE:code]
bagaimana cara menghitung f1 score menggunakan classifier yang dimiliki jika classifier yang dimiliki adalah y dan x</t>
  </si>
  <si>
    <t>from sklearn.model_selection import cross_val_predict
from sklearn.metrics import f1_score
# Prediksi dengan cross-validation (gunakan model &amp; kfold yang sudah dibuat)
y_pred = cross_val_predict(model, x, y, cv=kfold)
# Hitung F1-score
f1 = f1_score(y, y_pred)
print("F1-score:", f1)</t>
  </si>
  <si>
    <t>```python
from sklearn.model_selection import cross_val_predict
from sklearn.metrics import f1_score
# Prediksi dengan cross-validation (gunakan model &amp; kfold yang sudah dibuat)
y_pred = cross_val_predict(model, x, y, cv=kfold)
# Hitung F1-score
f1 = f1_score(y, y_pred)
print("F1-score:", f1)
```</t>
  </si>
  <si>
    <t>Clear and specific request for F1 score calculation.</t>
  </si>
  <si>
    <t>Could provide more context on the classifier type.</t>
  </si>
  <si>
    <t>Correct implementation with relevant libraries and clear output.</t>
  </si>
  <si>
    <t>Bagaimana cara menghitung F1 score menggunakan classifier yang sudah dilatih dengan data x dan y?</t>
  </si>
  <si>
    <t>{"prompt_score": 4, "response_score": 5, "overall_score": 5, "prompt_strengths": "Clear and specific request for F1 score calculation.", "prompt_issues": "Could provide more context on the classifier type.", "response_strengths": "Correct implementation with relevant libraries and clear output.", "response_issues": "None significant; could include comments for clarity.", "prompt_rewrite": "Bagaimana cara menghitung F1 score menggunakan classifier yang sudah dilatih dengan data x dan y?", "response_improvement_suggestions": "Add comments to explain each step of the code.", "verdict": "excellent", "needs_human_review": false}</t>
  </si>
  <si>
    <t>[MODE:summary_code_explanation]
fix this problem for jupiter notebook
All estimators should implement fit and transform, or can be 'drop' or 'passthrough' specifiers. 'Pipeline(steps=[('imputer', SimpleImputer(strategy='median')),
                StandardScaler()])' (type &lt;class 'sklearn.pipeline.Pipeline'&gt;) doesn't.</t>
  </si>
  <si>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</si>
  <si>
    <t>Clear problem statement with specific error message.</t>
  </si>
  <si>
    <t>Could provide more context about the data or the intended use of the pipeline.</t>
  </si>
  <si>
    <t>Accurate explanation with a clear solution and code example.</t>
  </si>
  <si>
    <t>None noted; response is complete and actionable.</t>
  </si>
  <si>
    <t>Fix the error in this Jupyter Notebook: 'All estimators should implement fit and transform, or can be 'drop' or 'passthrough' specifiers.' The pipeline 'Pipeline(steps=[('imputer', SimpleImputer(strategy='median')), StandardScaler()])' is causing this issue.</t>
  </si>
  <si>
    <t>Consider adding a brief explanation of how to use the corrected pipeline in a broader context.</t>
  </si>
  <si>
    <t>{"prompt_score": 4, "response_score": 5, "overall_score": 5, "prompt_strengths": "Clear problem statement with specific error message.", "prompt_issues": "Could provide more context about the data or the intended use of the pipeline.", "response_strengths": "Accurate explanation with a clear solution and code example.", "response_issues": "None noted; response is complete and actionable.", "prompt_rewrite": "Fix the error in this Jupyter Notebook: 'All estimators should implement fit and transform, or can be 'drop' or 'passthrough' specifiers.' The pipeline 'Pipeline(steps=[('imputer', SimpleImputer(strategy='median')), StandardScaler()])' is causing this issue.", "response_improvement_suggestions": "Consider adding a brief explanation of how to use the corrected pipeline in a broader context.", "verdict": "excellent", "needs_human_review": false}</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</si>
  <si>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</si>
  <si>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</si>
  <si>
    <t>Clear context and specific statistical focus.</t>
  </si>
  <si>
    <t>Could benefit from clearer constraints on expected response length.</t>
  </si>
  <si>
    <t>Thorough explanation with relevant details and practical implications.</t>
  </si>
  <si>
    <t>Jelaskan arti dari mean dan standar deviasi tertinggi pada fitur `Insulin` dalam konteks variasi dan distribusi data.</t>
  </si>
  <si>
    <t>{"prompt_score": 4, "response_score": 5, "overall_score": 4, "prompt_strengths": "Clear context and specific statistical focus.", "prompt_issues": "Could benefit from clearer constraints on expected response length.", "response_strengths": "Thorough explanation with relevant details and practical implications.", "response_issues": "Could be more concise in some areas.", "prompt_rewrite": "Jelaskan arti dari mean dan standar deviasi tertinggi pada fitur `Insulin` dalam konteks variasi dan distribusi data.", "response_improvement_suggestions": "Summarize key points more succinctly to enhance clarity.", "verdict": "good", "needs_human_review": false}</t>
  </si>
  <si>
    <t>[MODE:code]
Sekarang, kita akan pisahkan fitur dan target (X dan y). kolom target adalah charge sedangkan fitur adalah sisanya
X = ## YOUR CODE HERE ##
y = ## YOUR CODE HERE ##</t>
  </si>
  <si>
    <t>X = df.drop(columns=["charges"])
y = df["charges"]</t>
  </si>
  <si>
    <t>```python
X = df.drop(columns=["charges"])
y = df["charges"]
```</t>
  </si>
  <si>
    <t>Correct and complete code for separating features and target.</t>
  </si>
  <si>
    <t>Pisahkan fitur dan target dari DataFrame df, di mana kolom target adalah 'charges' dan fitur adalah kolom lainnya.</t>
  </si>
  <si>
    <t>None needed; response is already clear and correct.</t>
  </si>
  <si>
    <t>{"prompt_score": 4, "response_score": 5, "overall_score": 4, "prompt_strengths": "Clear and specific about the task.", "prompt_issues": "Could provide more context on the data structure.", "response_strengths": "Correct and complete code for separating features and target.", "response_issues": "None.", "prompt_rewrite": "Pisahkan fitur dan target dari DataFrame df, di mana kolom target adalah 'charges' dan fitur adalah kolom lainnya.", "response_improvement_suggestions": "None needed; response is already clear and correct.", "verdict": "good", "needs_human_review": false}</t>
  </si>
  <si>
    <t>[MODE:summary_code_explanation]
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</si>
  <si>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</si>
  <si>
    <t>Clear and specific about the topic.</t>
  </si>
  <si>
    <t>Thorough, well-structured, and directly addresses the prompt.</t>
  </si>
  <si>
    <t>Could include examples or visual aids for better understanding.</t>
  </si>
  <si>
    <t>[MODE:summary_code_explanation] Apakah hasil prediksi GD dan Normal Equation mendekati sama? Dalam kasus fitur banyak dan dataset besar, pendekatan mana yang lebih praktis? Mohon jelaskan lebih lanjut dengan contoh atau analogi yang mudah dipahami.</t>
  </si>
  <si>
    <t>Incorporate examples or visual aids to enhance understanding.</t>
  </si>
  <si>
    <t>{"prompt_score": 4, "response_score": 5, "overall_score": 5, "prompt_strengths": "Clear and specific about the topic.", "prompt_issues": "Could provide more context on the audience's knowledge level.", "response_strengths": "Thorough, well-structured, and directly addresses the prompt.", "response_issues": "Could include examples or visual aids for better understanding.", "prompt_rewrite": "[MODE:summary_code_explanation] Apakah hasil prediksi GD dan Normal Equation mendekati sama? Dalam kasus fitur banyak dan dataset besar, pendekatan mana yang lebih praktis? Mohon jelaskan lebih lanjut dengan contoh atau analogi yang mudah dipahami.", "response_improvement_suggestions": "Incorporate examples or visual aids to enhance understanding.", "verdict": "excellent", "needs_human_review": false}</t>
  </si>
  <si>
    <t>[LANG:Python]
[MODE:summary_code_explanation]
saya sudah membuat grid (gridsearchCV) juga, sekarang saya ingin melatih grid menggunakan .fit. bagaimana caranya</t>
  </si>
  <si>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</si>
  <si>
    <t>Clear and specific request for guidance on using GridSearchCV.</t>
  </si>
  <si>
    <t>Could provide more context about the dataset or parameters being used.</t>
  </si>
  <si>
    <t>Accurate, complete, and clearly explains the fitting process with relevant code.</t>
  </si>
  <si>
    <t>Saya sudah membuat objek GridSearchCV. Bagaimana cara melatihnya menggunakan .fit dengan data latih saya?</t>
  </si>
  <si>
    <t>Consider adding an example of the data or parameters for more context.</t>
  </si>
  <si>
    <t>{"prompt_score": 4, "response_score": 5, "overall_score": 5, "prompt_strengths": "Clear and specific request for guidance on using GridSearchCV.", "prompt_issues": "Could provide more context about the dataset or parameters being used.", "response_strengths": "Accurate, complete, and clearly explains the fitting process with relevant code.", "response_issues": "None identified.", "prompt_rewrite": "Saya sudah membuat objek GridSearchCV. Bagaimana cara melatihnya menggunakan .fit dengan data latih saya?", "response_improvement_suggestions": "Consider adding an example of the data or parameters for more context.", "verdict": "excellent", "needs_human_review": false}</t>
  </si>
  <si>
    <t>[MODE:code]
aku adalah seorang beginner di bidang AI tolong ajarkan aku sebuah materi dasar tentang gridsearch.GridSearch digunakan untuk apa</t>
  </si>
  <si>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</si>
  <si>
    <t>```text
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
```</t>
  </si>
  <si>
    <t>Clear and specific request for basic information on GridSearch.</t>
  </si>
  <si>
    <t>Could provide more context on the user's current knowledge level.</t>
  </si>
  <si>
    <t>Thorough explanation covering purpose, process, advantages, and alternatives of GridSearch.</t>
  </si>
  <si>
    <t>Aku adalah seorang pemula di bidang AI. Tolong ajarkan aku tentang GridSearch dan bagaimana cara kerjanya.</t>
  </si>
  <si>
    <t>Consider providing a simple code example for practical understanding.</t>
  </si>
  <si>
    <t>{"prompt_score": 4, "response_score": 5, "overall_score": 5, "prompt_strengths": "Clear and specific request for basic information on GridSearch.", "prompt_issues": "Could provide more context on the user's current knowledge level.", "response_strengths": "Thorough explanation covering purpose, process, advantages, and alternatives of GridSearch.", "response_issues": "None significant; very comprehensive.", "prompt_rewrite": "Aku adalah seorang pemula di bidang AI. Tolong ajarkan aku tentang GridSearch dan bagaimana cara kerjanya.", "response_improvement_suggestions": "Consider providing a simple code example for practical understanding.", "verdict": "excellent", "needs_human_review": false}</t>
  </si>
  <si>
    <t>[MODE:summary]
Apa fungsi grid.best_score_? ******* Model terbaik, Dataset terbaik, Skor validasi terbaik, Label terbaik</t>
  </si>
  <si>
    <t>grid.best_score_ berisi skor validasi terbaik (rata-rata cross-validation) yang dicapai oleh kombinasi hyperparameter terbaik saat GridSearchCV. Jadi jawabannya: Skor validasi terbaik.</t>
  </si>
  <si>
    <t>Clear and specific about the function of grid.best_score_</t>
  </si>
  <si>
    <t>Could provide more context about GridSearchCV</t>
  </si>
  <si>
    <t>Accurate and directly answers the question</t>
  </si>
  <si>
    <t>Could elaborate on the significance of the score</t>
  </si>
  <si>
    <t>[MODE:summary] Apa fungsi grid.best_score_ dalam konteks GridSearchCV?</t>
  </si>
  <si>
    <t>Include an explanation of why the best score is important.</t>
  </si>
  <si>
    <t>{"prompt_score": 4, "response_score": 5, "overall_score": 4, "prompt_strengths": "Clear and specific about the function of grid.best_score_", "prompt_issues": "Could provide more context about GridSearchCV", "response_strengths": "Accurate and directly answers the question", "response_issues": "Could elaborate on the significance of the score", "prompt_rewrite": "[MODE:summary] Apa fungsi grid.best_score_ dalam konteks GridSearchCV?", "response_improvement_suggestions": "Include an explanation of why the best score is important.", "verdict": "good", "needs_human_review": false}</t>
  </si>
  <si>
    <t>[MODE:code]
bagaimana cara menghitung MSE cost untuk theta saat ini dengan (e=Xθ−y), berikut inisialisasi useful values m = y.size</t>
  </si>
  <si>
    <t>import numpy as np
def mse_cost(X, y, theta):
    """
    Menghitung MSE cost untuk theta saat ini.
    e = X @ theta - y
    J = (1/(2m)) * sum(e^2)
    """
    y = np.asarray(y).reshape(-1)
    theta = np.asarray(theta).reshape(-1)
    m = y.size
    e = X @ theta - y
    J = (1.0 / (2.0 * m)) * np.sum(e ** 2)
    return J, e
# Contoh:
# m = y.size
# J, e = mse_cost(X, y, theta)</t>
  </si>
  <si>
    <t>```python
import numpy as np
def mse_cost(X, y, theta):
    """
    Menghitung MSE cost untuk theta saat ini.
    e = X @ theta - y
    J = (1/(2m)) * sum(e^2)
    """
    y = np.asarray(y).reshape(-1)
    theta = np.asarray(theta).reshape(-1)
    m = y.size
    e = X @ theta - y
    J = (1.0 / (2.0 * m)) * np.sum(e ** 2)
    return J, e
# Contoh:
# m = y.size
# J, e = mse_cost(X, y, theta)
```</t>
  </si>
  <si>
    <t>Clear and specific about MSE calculation.</t>
  </si>
  <si>
    <t>Could provide more context on input shapes.</t>
  </si>
  <si>
    <t>Correct implementation with clear explanation.</t>
  </si>
  <si>
    <t>Could include example inputs for clarity.</t>
  </si>
  <si>
    <t>Bagaimana cara menghitung MSE cost untuk theta saat ini dengan e = Xθ - y, dengan inisialisasi m = y.size dan bentuk input yang sesuai?</t>
  </si>
  <si>
    <t>Add example inputs and outputs for better understanding.</t>
  </si>
  <si>
    <t>{"prompt_score": 4, "response_score": 5, "overall_score": 5, "prompt_strengths": "Clear and specific about MSE calculation.", "prompt_issues": "Could provide more context on input shapes.", "response_strengths": "Correct implementation with clear explanation.", "response_issues": "Could include example inputs for clarity.", "prompt_rewrite": "Bagaimana cara menghitung MSE cost untuk theta saat ini dengan e = Xθ - y, dengan inisialisasi m = y.size dan bentuk input yang sesuai?", "response_improvement_suggestions": "Add example inputs and outputs for better understanding.", "verdict": "excellent", "needs_human_review": false}</t>
  </si>
  <si>
    <t>[MODE:summary]
apakah Pipeline([(‘scaler' StandardScaler()), (‘model’, SVR())]) untuk scalling lalu training model, atau clustering, atau menghapus dataset, atau classificcation</t>
  </si>
  <si>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</si>
  <si>
    <t>The prompt is specific about the use of a pipeline.</t>
  </si>
  <si>
    <t>The phrasing is somewhat unclear and contains typographical errors.</t>
  </si>
  <si>
    <t>Could provide more detail on the implications of using SVR versus SVC.</t>
  </si>
  <si>
    <t>[MODE:summary] Apakah Pipeline([('scaler', StandardScaler()), ('model', SVR())]) digunakan untuk scaling dan pelatihan model, atau untuk clustering, penghapusan dataset, atau klasifikasi?</t>
  </si>
  <si>
    <t>Include examples of when to use SVR versus SVC for clarity.</t>
  </si>
  <si>
    <t>{"prompt_score": 3, "response_score": 4, "overall_score": 4, "prompt_strengths": "The prompt is specific about the use of a pipeline.", "prompt_issues": "The phrasing is somewhat unclear and contains typographical errors.", "response_strengths": "The response is relevant, correct, and provides a clear explanation.", "response_issues": "Could provide more detail on the implications of using SVR versus SVC.", "prompt_rewrite": "[MODE:summary] Apakah Pipeline([('scaler', StandardScaler()), ('model', SVR())]) digunakan untuk scaling dan pelatihan model, atau untuk clustering, penghapusan dataset, atau klasifikasi?", "response_improvement_suggestions": "Include examples of when to use SVR versus SVC for clarity.", "verdict": "good", "needs_human_review": false}</t>
  </si>
  <si>
    <t>[LANG:Python]
[MODE:summary_code_explanation]
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</si>
  <si>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</si>
  <si>
    <t>Clear and specific instructions for completing the code.</t>
  </si>
  <si>
    <t>Thorough and correct completion of the code with clear explanations.</t>
  </si>
  <si>
    <t>None significant; all parts of the prompt are addressed.</t>
  </si>
  <si>
    <t>Lengkapi kode berikut untuk melakukan Grid Search pada model KNeighborsClassifier dengan 5-fold cross-validation dan evaluasi akurasi pada test set.</t>
  </si>
  <si>
    <t>Consider adding comments in the code to explain each step for better clarity.</t>
  </si>
  <si>
    <t>{"prompt_score": 4, "response_score": 5, "overall_score": 5, "prompt_strengths": "Clear and specific instructions for completing the code.", "prompt_issues": "Could provide more context on the expected output format.", "response_strengths": "Thorough and correct completion of the code with clear explanations.", "response_issues": "None significant; all parts of the prompt are addressed.", "prompt_rewrite": "Lengkapi kode berikut untuk melakukan Grid Search pada model KNeighborsClassifier dengan 5-fold cross-validation dan evaluasi akurasi pada test set.", "response_improvement_suggestions": "Consider adding comments in the code to explain each step for better clarity.", "verdict": "excellent", "needs_human_review": false}</t>
  </si>
  <si>
    <t>[MODE:code]
cara membuat ringasan statistik dari data set, mengecek adanya nilai null didataset dan membuat 2 visualisasi data untuk lebih memahami dataset dengan dataset yang berisikan Pregnancies	Glucose	BloodPressure	SkinThickness	Insulin	BMI	DiabetesPedigreeFunction	Age	Outcome</t>
  </si>
  <si>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</si>
  <si>
    <t>```python
#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
```</t>
  </si>
  <si>
    <t>Clear and specific instructions for data analysis tasks.</t>
  </si>
  <si>
    <t>Could benefit from more context on the dataset's source or purpose.</t>
  </si>
  <si>
    <t>Comprehensive and well-structured code that addresses all prompt requirements.</t>
  </si>
  <si>
    <t>None identified; response is complete and clear.</t>
  </si>
  <si>
    <t>Buat ringkasan statistik dari dataset diabetes, periksa nilai null, dan buat 2 visualisasi untuk memahami data: Pregnancies, Glucose, BloodPressure, SkinThickness, Insulin, BMI, DiabetesPedigreeFunction, Age, Outcome.</t>
  </si>
  <si>
    <t>{"prompt_score": 4, "response_score": 5, "overall_score": 5, "prompt_strengths": "Clear and specific instructions for data analysis tasks.", "prompt_issues": "Could benefit from more context on the dataset's source or purpose.", "response_strengths": "Comprehensive and well-structured code that addresses all prompt requirements.", "response_issues": "None identified; response is complete and clear.", "prompt_rewrite": "Buat ringkasan statistik dari dataset diabetes, periksa nilai null, dan buat 2 visualisasi untuk memahami data: Pregnancies, Glucose, BloodPressure, SkinThickness, Insulin, BMI, DiabetesPedigreeFunction, Age, Outcome.", "response_improvement_suggestions": "Consider adding comments to explain each step of the code for better clarity.", "verdict": "excellent", "needs_human_review": false}</t>
  </si>
  <si>
    <t>[LANG:Python]
[MODE:code]
[ASSESSMENT_ID:1771cf7d-0a65-11f1-b762-3e0936ad7efb]
[FORCE_GPT:true]
[AUTO_FALLBACK:true]
Gunakan method read_csv dengan parameter: filename dan names adalah names. Simpan hasil read_csv dalam variabel dataframe.
##### Your Code Here #####
dataframe = read_csv(filename, names=names)</t>
  </si>
  <si>
    <t>Could specify the expected format of 'filename' and 'names'.</t>
  </si>
  <si>
    <t>Directly addresses the prompt with correct syntax.</t>
  </si>
  <si>
    <t>Lacks additional context or explanation.</t>
  </si>
  <si>
    <t>Gunakan method read_csv dengan parameter: filename (string) dan names (list of strings). Simpan hasil read_csv dalam variabel dataframe.</t>
  </si>
  <si>
    <t>{"prompt_score": 4, "response_score": 5, "overall_score": 4, "prompt_strengths": "Clear instructions and context provided.", "prompt_issues": "Could specify the expected format of 'filename' and 'names'.", "response_strengths": "Directly addresses the prompt with correct syntax.", "response_issues": "Lacks additional context or explanation.", "prompt_rewrite": "Gunakan method read_csv dengan parameter: filename (string) dan names (list of strings). Simpan hasil read_csv dalam variabel dataframe.", "response_improvement_suggestions": "Add a brief explanation of what the code does.", "verdict": "good", "needs_human_review": false}</t>
  </si>
  <si>
    <t>[MODE:summary]
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</si>
  <si>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</si>
  <si>
    <t>Clear context and specific data features mentioned.</t>
  </si>
  <si>
    <t>Could provide more explicit questions or constraints.</t>
  </si>
  <si>
    <t>Accurate, detailed explanation of statistical concepts.</t>
  </si>
  <si>
    <t>[MODE:summary] Analyze the diabetes dataset with features: Pregnancies, Glucose, BloodPressure, SkinThickness, Insulin, BMI, DiabetesPedigreeFunction, Age, and Outcome. Explain the implications of Glucose having the highest mean and Insulin having the highest standard deviation on data variance and distribution. Include any relevant statistical considerations.</t>
  </si>
  <si>
    <t>Add examples or visual aids to illustrate the concepts discussed.</t>
  </si>
  <si>
    <t>{"prompt_score": 4, "response_score": 5, "overall_score": 4, "prompt_strengths": "Clear context and specific data features mentioned.", "prompt_issues": "Could provide more explicit questions or constraints.", "response_strengths": "Accurate, detailed explanation of statistical concepts.", "response_issues": "Could include examples or visual aids for better understanding.", "prompt_rewrite": "[MODE:summary] Analyze the diabetes dataset with features: Pregnancies, Glucose, BloodPressure, SkinThickness, Insulin, BMI, DiabetesPedigreeFunction, Age, and Outcome. Explain the implications of Glucose having the highest mean and Insulin having the highest standard deviation on data variance and distribution. Include any relevant statistical considerations.", "response_improvement_suggestions": "Add examples or visual aids to illustrate the concepts discussed.", "verdict": "good", "needs_human_review": false}</t>
  </si>
  <si>
    <t>[MODE:summary]
Okay. Now, can you explain to me in short, which one was more stable when the outliers (data points that differ significantly from the rest of a dataset) are high? RMSE, or MAE? Can you explain why one of them is not stable?</t>
  </si>
  <si>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</si>
  <si>
    <t>Clear and specific question about stability of metrics.</t>
  </si>
  <si>
    <t>Could provide more context on RMSE and MAE.</t>
  </si>
  <si>
    <t>[MODE:summary] Can you briefly explain which metric, RMSE or MAE, is more stable when outliers are high, and why one is less stable? Please provide context on both metrics.</t>
  </si>
  <si>
    <t>{"prompt_score": 4, "response_score": 5, "overall_score": 5, "prompt_strengths": "Clear and specific question about stability of metrics.", "prompt_issues": "Could provide more context on RMSE and MAE.", "response_strengths": "Accurate, clear, and directly addresses the prompt.", "response_issues": "None.", "prompt_rewrite": "[MODE:summary] Can you briefly explain which metric, RMSE or MAE, is more stable when outliers are high, and why one is less stable? Please provide context on both metrics.", "response_improvement_suggestions": "None needed; response is complete and clear.", "verdict": "excellent", "needs_human_review": false}</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</si>
  <si>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</si>
  <si>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</si>
  <si>
    <t>Could provide more detail on expected preprocessing steps.</t>
  </si>
  <si>
    <t>Correct and complete code with clear explanation.</t>
  </si>
  <si>
    <t>Memisahkan fitur dan target (X dan y) dengan kolom target "charges" dan fitur lainnya. Lengkapi kode untuk pipeline Random Forest dengan preprocessing yang sama.</t>
  </si>
  <si>
    <t>{"prompt_score": 4, "response_score": 5, "overall_score": 4, "prompt_strengths": "Clear context and specific task.", "prompt_issues": "Could provide more detail on expected preprocessing steps.", "response_strengths": "Correct and complete code with clear explanation.", "response_issues": "None.", "prompt_rewrite": "Memisahkan fitur dan target (X dan y) dengan kolom target \"charges\" dan fitur lainnya. Lengkapi kode untuk pipeline Random Forest dengan preprocessing yang sama.", "response_improvement_suggestions": "None needed; response is already strong.", "verdict": "good", "needs_human_review": false}</t>
  </si>
  <si>
    <t>[LANG:Python]
[MODE:summary_code_explanation]
buatkan saya Pipeline dengan preprocessing dan SVR()berikan saya codingan nya untuk di masukkan ke dalam jupyter notebook juga tolong kalau bisa codingan nya yang singkat saja</t>
  </si>
  <si>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</si>
  <si>
    <t>Clear request for a specific coding task.</t>
  </si>
  <si>
    <t>Could be more specific about the dataset and features.</t>
  </si>
  <si>
    <t>Provides a complete and correct implementation with explanation.</t>
  </si>
  <si>
    <t>None significant; clear and concise.</t>
  </si>
  <si>
    <t>Buatkan saya Pipeline dengan preprocessing dan SVR() untuk dataset housing, sertakan codingan singkat untuk Jupyter Notebook.</t>
  </si>
  <si>
    <t>{"prompt_score": 4, "response_score": 5, "overall_score": 5, "prompt_strengths": "Clear request for a specific coding task.", "prompt_issues": "Could be more specific about the dataset and features.", "response_strengths": "Provides a complete and correct implementation with explanation.", "response_issues": "None significant; clear and concise.", "prompt_rewrite": "Buatkan saya Pipeline dengan preprocessing dan SVR() untuk dataset housing, sertakan codingan singkat untuk Jupyter Notebook.", "response_improvement_suggestions": "Consider adding comments in the code for better understanding.", "verdict": "excellent", "needs_human_review": false}</t>
  </si>
  <si>
    <t>[MODE:code]
ada yang error pada kodenya dia bilang NameError: name 'ConfusionMatrixDisplay' is not defined, tolong diperbaiki</t>
  </si>
  <si>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</si>
  <si>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t>
  </si>
  <si>
    <t>Clear request for code correction with specific error mentioned.</t>
  </si>
  <si>
    <t>Could provide more context about the code or its purpose.</t>
  </si>
  <si>
    <t>Correctly addresses the error and provides a complete solution with relevant code.</t>
  </si>
  <si>
    <t>None significant; response is comprehensive and clear.</t>
  </si>
  <si>
    <t>Tolong perbaiki kode ini yang menghasilkan error 'NameError: name 'ConfusionMatrixDisplay' is not defined'.</t>
  </si>
  <si>
    <t>{"prompt_score": 4, "response_score": 5, "overall_score": 5, "prompt_strengths": "Clear request for code correction with specific error mentioned.", "prompt_issues": "Could provide more context about the code or its purpose.", "response_strengths": "Correctly addresses the error and provides a complete solution with relevant code.", "response_issues": "None significant; response is comprehensive and clear.", "prompt_rewrite": "Tolong perbaiki kode ini yang menghasilkan error 'NameError: name 'ConfusionMatrixDisplay' is not defined'.", "response_improvement_suggestions": "Consider adding comments to explain each section of the code for better clarity.", "verdict": "excellent", "needs_human_review": false}</t>
  </si>
  <si>
    <t>[MODE:code]
λ besar pada Lasso * Tidak berubah Besar semua Beberapa nol Semua aktif Decision boundary * y=0 θ·x=0 θ·x=1 θ=0</t>
  </si>
  <si>
    <t>λ besar pada Lasso: Beberapa nol
Decision boundary: θ·x = 0</t>
  </si>
  <si>
    <t>```text
λ besar pada Lasso: Beberapa nol
Decision boundary: θ·x = 0
```</t>
  </si>
  <si>
    <t>Attempts to address Lasso and decision boundaries.</t>
  </si>
  <si>
    <t>Lacks clarity and specificity; difficult to understand.</t>
  </si>
  <si>
    <t>Provides some relevant information.</t>
  </si>
  <si>
    <t>Incomplete and lacks clarity; does not fully address the prompt.</t>
  </si>
  <si>
    <t>Explain the significance of λ in Lasso regression and its effect on decision boundaries.</t>
  </si>
  <si>
    <t>Expand on the role of λ in Lasso and clarify the decision boundary equations.</t>
  </si>
  <si>
    <t>{"prompt_score": 2, "response_score": 3, "overall_score": 2, "prompt_strengths": "Attempts to address Lasso and decision boundaries.", "prompt_issues": "Lacks clarity and specificity; difficult to understand.", "response_strengths": "Provides some relevant information.", "response_issues": "Incomplete and lacks clarity; does not fully address the prompt.", "prompt_rewrite": "Explain the significance of λ in Lasso regression and its effect on decision boundaries.", "response_improvement_suggestions": "Expand on the role of λ in Lasso and clarify the decision boundary equations.", "verdict": "fair", "needs_human_review": false}</t>
  </si>
  <si>
    <t>[MODE:code]
Hyperparameter adalah?
*
Output model
Parameter yang dipelajari model
Dataset
Parameter sebelum training
ini adlah soal [ilihan ganda</t>
  </si>
  <si>
    <t>Parameter sebelum training</t>
  </si>
  <si>
    <t>```text
Parameter sebelum training
```</t>
  </si>
  <si>
    <t>Attempts to define hyperparameters.</t>
  </si>
  <si>
    <t>Lacks clarity and specificity; poorly structured.</t>
  </si>
  <si>
    <t>Directly addresses the question.</t>
  </si>
  <si>
    <t>Incomplete and lacks detail.</t>
  </si>
  <si>
    <t>Apa yang dimaksud dengan hyperparameter dalam konteks machine learning? Berikan penjelasan singkat.</t>
  </si>
  <si>
    <t>Expand on the definition and provide examples.</t>
  </si>
  <si>
    <t>{"prompt_score": 2, "response_score": 3, "overall_score": 2, "prompt_strengths": "Attempts to define hyperparameters.", "prompt_issues": "Lacks clarity and specificity; poorly structured.", "response_strengths": "Directly addresses the question.", "response_issues": "Incomplete and lacks detail.", "prompt_rewrite": "Apa yang dimaksud dengan hyperparameter dalam konteks machine learning? Berikan penjelasan singkat.", "response_improvement_suggestions": "Expand on the definition and provide examples.", "verdict": "fair", "needs_human_review": false}</t>
  </si>
  <si>
    <t>[MODE:summary]
lalu ada pertanyaan apa fungsi StandardScaler()? RMSE digunakan untuk? Apa arti handle_unknown='ignore'?</t>
  </si>
  <si>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</si>
  <si>
    <t>Could provide more context for better understanding.</t>
  </si>
  <si>
    <t>[MODE:summary] Apa fungsi StandardScaler()? Apa itu RMSE dan untuk apa digunakan? Apa arti dari handle_unknown='ignore' dalam konteks OneHotEncoder?</t>
  </si>
  <si>
    <t>{"prompt_score": 4, "response_score": 5, "overall_score": 5, "prompt_strengths": "Clear and specific questions.", "prompt_issues": "Could provide more context for better understanding.", "response_strengths": "Accurate, complete, and clear explanations.", "response_issues": "None identified.", "prompt_rewrite": "[MODE:summary] Apa fungsi StandardScaler()? Apa itu RMSE dan untuk apa digunakan? Apa arti dari handle_unknown='ignore' dalam konteks OneHotEncoder?", "response_improvement_suggestions": "None needed; response is already comprehensive.", "verdict": "excellent", "needs_human_review": false}</t>
  </si>
  <si>
    <t>[MODE:code]
untuk selanjutnya bagaimana caranya jika saya ingin melatih grid_search tersebut pada 6000 data pertama</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</si>
  <si>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</si>
  <si>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```python
#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
```</t>
  </si>
  <si>
    <t>Clear request for guidance on training with a subset of data.</t>
  </si>
  <si>
    <t>Could provide more context about the dataset or model.</t>
  </si>
  <si>
    <t>Directly addresses the prompt with relevant code and explanations.</t>
  </si>
  <si>
    <t>Could include comments on potential pitfalls or assumptions.</t>
  </si>
  <si>
    <t>Bagaimana cara melatih grid_search pada 6000 data pertama dari dataset yang telah dibagi?</t>
  </si>
  <si>
    <t>Add comments on data assumptions and potential issues with subset training.</t>
  </si>
  <si>
    <t>{"prompt_score": 4, "response_score": 5, "overall_score": 4, "prompt_strengths": "Clear request for guidance on training with a subset of data.", "prompt_issues": "Could provide more context about the dataset or model.", "response_strengths": "Directly addresses the prompt with relevant code and explanations.", "response_issues": "Could include comments on potential pitfalls or assumptions.", "prompt_rewrite": "Bagaimana cara melatih grid_search pada 6000 data pertama dari dataset yang telah dibagi?", "response_improvement_suggestions": "Add comments on data assumptions and potential issues with subset training.", "verdict": "good", "needs_human_review": false}</t>
  </si>
  <si>
    <t>[MODE:summary_code_explanation]
Sudah berhasil untuk perbaikan sebelumnya. Sekarang kita harus membuat confusion matrix dari hasil prediksi (y_pred) dan nilai sebenarnya (y).</t>
  </si>
  <si>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</si>
  <si>
    <t>[MODE:summary_code_explanation] Setelah perbaikan sebelumnya, buatlah confusion matrix dari hasil prediksi (y_pred) dan nilai sebenarnya (y) untuk analisis lebih lanjut.</t>
  </si>
  <si>
    <t>Consider adding a brief explanation of confusion matrix metrics.</t>
  </si>
  <si>
    <t>{"prompt_score": 4, "response_score": 5, "overall_score": 5, "prompt_strengths": "Clear and specific about the task.", "prompt_issues": "Could provide more context on the data.", "response_strengths": "Accurate, complete, and well-structured explanation.", "response_issues": "None.", "prompt_rewrite": "[MODE:summary_code_explanation] Setelah perbaikan sebelumnya, buatlah confusion matrix dari hasil prediksi (y_pred) dan nilai sebenarnya (y) untuk analisis lebih lanjut.", "response_improvement_suggestions": "Consider adding a brief explanation of confusion matrix metrics.", "verdict": "excellent", "needs_human_review": false}</t>
  </si>
  <si>
    <t>[MODE:code]
saya punya tugas untuk Load dataset student_exam_performance_dataset (1).csv,  Tampilkan 5 baris pertama,  Tampilkan ukuran dataset (jumlah baris dan kolom) dan Tampilkan tipe data setiap kolom. berikan saya codenya</t>
  </si>
  <si>
    <t>import pandas as pd
file_path = "student_exam_performance_dataset (1).csv"
df = pd.read_csv(file_path)
print("5 baris pertama:")
print(df.head(5))
print("\nUkuran dataset (baris, kolom):")
print(df.shape)
print("\nTipe data setiap kolom:")
print(df.dtypes)</t>
  </si>
  <si>
    <t>```python
import pandas as pd
file_path = "student_exam_performance_dataset (1).csv"
df = pd.read_csv(file_path)
print("5 baris pertama:")
print(df.head(5))
print("\nUkuran dataset (baris, kolom):")
print(df.shape)
print("\nTipe data setiap kolom:")
print(df.dtypes)
```</t>
  </si>
  <si>
    <t>Clear and specific about the tasks required.</t>
  </si>
  <si>
    <t>Correct, complete, and clearly formatted code.</t>
  </si>
  <si>
    <t>Saya perlu kode untuk memuat dataset 'student_exam_performance_dataset (1).csv', menampilkan 5 baris pertama, ukuran dataset, dan tipe data setiap kolom. Mohon sertakan penjelasan singkat tentang dataset.</t>
  </si>
  <si>
    <t>{"prompt_score": 4, "response_score": 5, "overall_score": 5, "prompt_strengths": "Clear and specific about the tasks required.", "prompt_issues": "Could provide more context about the dataset.", "response_strengths": "Correct, complete, and clearly formatted code.", "response_issues": "None.", "prompt_rewrite": "Saya perlu kode untuk memuat dataset 'student_exam_performance_dataset (1).csv', menampilkan 5 baris pertama, ukuran dataset, dan tipe data setiap kolom. Mohon sertakan penjelasan singkat tentang dataset.", "response_improvement_suggestions": "Consider adding comments in the code for better understanding.", "verdict": "excellent", "needs_human_review": false}</t>
  </si>
  <si>
    <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</si>
  <si>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</si>
  <si>
    <t>Accurate, complete, and well-explained code.</t>
  </si>
  <si>
    <t>Could include a brief explanation of gradient descent.</t>
  </si>
  <si>
    <t>Diberikan studi kasus untuk Variasi A: Optimasi Gradient Descent pada regresi linier multivariat (2 fitur). Fokus pada dampak feature scaling, learning rate, dan iterasi. Hitung mean dan standar deviasi tiap fitur, lalu normalisasi data. Berikan konteks tentang dataset yang digunakan.</t>
  </si>
  <si>
    <t>Add a brief explanation of how gradient descent works and why feature scaling is important.</t>
  </si>
  <si>
    <t>{"prompt_score": 4, "response_score": 5, "overall_score": 4, "prompt_strengths": "Clear instructions and specific tasks.", "prompt_issues": "Could provide more context on the dataset.", "response_strengths": "Accurate, complete, and well-explained code.", "response_issues": "Could include a brief explanation of gradient descent.", "prompt_rewrite": "Diberikan studi kasus untuk Variasi A: Optimasi Gradient Descent pada regresi linier multivariat (2 fitur). Fokus pada dampak feature scaling, learning rate, dan iterasi. Hitung mean dan standar deviasi tiap fitur, lalu normalisasi data. Berikan konteks tentang dataset yang digunakan.", "response_improvement_suggestions": "Add a brief explanation of how gradient descent works and why feature scaling is important.", "verdict": "good", "needs_human_review": false}</t>
  </si>
  <si>
    <t>[MODE:summary_code_explanation]
[ASSESSMENT_ID:1771cf81-0a65-11f1-b762-3e0936ad7efb]
[FORCE_GPT:true]
[AUTO_FALLBACK:true]
Pertanyaan Refleksi - Menurut pendapat Anda, bagaimana perbandingan performance antara Logistic Regression dengan Random Forest? dengan singkat 
roc LR = 0.8247611940298508
roc RF = 0.823</t>
  </si>
  <si>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</si>
  <si>
    <t>Clear question about model performance comparison.</t>
  </si>
  <si>
    <t>Could provide more context on the models' applications.</t>
  </si>
  <si>
    <t>Accurate, clear, and provides a practical interpretation of results.</t>
  </si>
  <si>
    <t>Could include more detail on the implications of the findings.</t>
  </si>
  <si>
    <t>Bandingkan performa Logistic Regression dan Random Forest berdasarkan ROC AUC dan jelaskan hasilnya.</t>
  </si>
  <si>
    <t>Add examples of scenarios where one model might be preferred over the other.</t>
  </si>
  <si>
    <t>{"prompt_score": 4, "response_score": 5, "overall_score": 4, "prompt_strengths": "Clear question about model performance comparison.", "prompt_issues": "Could provide more context on the models' applications.", "response_strengths": "Accurate, clear, and provides a practical interpretation of results.", "response_issues": "Could include more detail on the implications of the findings.", "prompt_rewrite": "Bandingkan performa Logistic Regression dan Random Forest berdasarkan ROC AUC dan jelaskan hasilnya.", "response_improvement_suggestions": "Add examples of scenarios where one model might be preferred over the other.", "verdict": "good", "needs_human_review": false}</t>
  </si>
  <si>
    <t>[MODE:summary_code_explanation]
masih error nama sns tidak terdefinisi dari syntax tersebut tolong jelaskan dan berikan perbaikan syntaxnya</t>
  </si>
  <si>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</si>
  <si>
    <t>Clear request for explanation and syntax correction.</t>
  </si>
  <si>
    <t>Could provide more context about the specific error encountered.</t>
  </si>
  <si>
    <t>Thorough explanation with clear steps for resolution and code examples.</t>
  </si>
  <si>
    <t>[MODE:summary_code_explanation] Saya mengalami error 'NameError: name 'sns' is not defined'. Tolong jelaskan penyebabnya dan berikan perbaikan syntaxnya.</t>
  </si>
  <si>
    <t>Consider adding a brief explanation of what seaborn is for users unfamiliar with it.</t>
  </si>
  <si>
    <t>{"prompt_score": 4, "response_score": 5, "overall_score": 5, "prompt_strengths": "Clear request for explanation and syntax correction.", "prompt_issues": "Could provide more context about the specific error encountered.", "response_strengths": "Thorough explanation with clear steps for resolution and code examples.", "response_issues": "None significant; very comprehensive.", "prompt_rewrite": "[MODE:summary_code_explanation] Saya mengalami error 'NameError: name 'sns' is not defined'. Tolong jelaskan penyebabnya dan berikan perbaikan syntaxnya.", "response_improvement_suggestions": "Consider adding a brief explanation of what seaborn is for users unfamiliar with it.", "verdict": "excellent", "needs_human_review": false}</t>
  </si>
  <si>
    <t>[MODE:summary_code_explanation]
oke berhasil,sekarang bantu aku untuk Cetaklah hasil cross-validation sbb:
Accuracy: &lt;Nilai Rata-Rata&gt;% (&lt;Nilai Simpangan Baku&gt;%)
Harapannya nilai akurasi 
Hint: Gunakan method masing-masing mean dan std untuk rata-rata dan simpangan baku.</t>
  </si>
  <si>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</si>
  <si>
    <t>Could benefit from clearer context on the model and data.</t>
  </si>
  <si>
    <t>Bantu aku untuk mencetak hasil cross-validation dengan format: Accuracy: &lt;Nilai Rata-Rata&gt;% (&lt;Nilai Simpangan Baku&gt;%). Gunakan method mean dan std untuk menghitungnya.</t>
  </si>
  <si>
    <t>Consider adding a brief explanation of LOOCV for clarity.</t>
  </si>
  <si>
    <t>{"prompt_score": 4, "response_score": 5, "overall_score": 5, "prompt_strengths": "Clear instructions and specific requirements.", "prompt_issues": "Could benefit from clearer context on the model and data.", "response_strengths": "Accurate, complete, and clearly explains the code.", "response_issues": "None identified.", "prompt_rewrite": "Bantu aku untuk mencetak hasil cross-validation dengan format: Accuracy: &lt;Nilai Rata-Rata&gt;% (&lt;Nilai Simpangan Baku&gt;%). Gunakan method mean dan std untuk menghitungnya.", "response_improvement_suggestions": "Consider adding a brief explanation of LOOCV for clarity.", "verdict": "excellent", "needs_human_review": false}</t>
  </si>
  <si>
    <t>[MODE:code]
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</si>
  <si>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</si>
  <si>
    <t>```python
#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
```</t>
  </si>
  <si>
    <t>Provides detailed null data and context.</t>
  </si>
  <si>
    <t>Could be clearer in asking for a definition of NULL.</t>
  </si>
  <si>
    <t>Accurate explanation of NULL and relevant to the prompt.</t>
  </si>
  <si>
    <t>Could improve clarity in the explanation.</t>
  </si>
  <si>
    <t>Dari informasi di atas, apakah yang NULL itu adalah total_bedrooms? Jelaskan secara singkat apa itu NULL.</t>
  </si>
  <si>
    <t>Simplify the explanation of NULL for better clarity.</t>
  </si>
  <si>
    <t>{"prompt_score": 3, "response_score": 4, "overall_score": 4, "prompt_strengths": "Provides detailed null data and context.", "prompt_issues": "Could be clearer in asking for a definition of NULL.", "response_strengths": "Accurate explanation of NULL and relevant to the prompt.", "response_issues": "Could improve clarity in the explanation.", "prompt_rewrite": "Dari informasi di atas, apakah yang NULL itu adalah total_bedrooms? Jelaskan secara singkat apa itu NULL.", "response_improvement_suggestions": "Simplify the explanation of NULL for better clarity.", "verdict": "good", "needs_human_review": false}</t>
  </si>
  <si>
    <t>[MODE:summary]
jawaban dari pertanyaan ini apa?
Learning rate terlalu besar menyebabkan
*
Optimal
Stabil
Divergen
Lambat</t>
  </si>
  <si>
    <t>Learning rate yang terlalu besar menyebabkan proses training menjadi divergen (loss bisa naik/tidak konvergen) karena langkah update parameter terlalu jauh dan “melewati” titik minimum.</t>
  </si>
  <si>
    <t>Identifies a specific topic (learning rate) and asks for an answer.</t>
  </si>
  <si>
    <t>Lacks clarity and context; the phrasing is confusing.</t>
  </si>
  <si>
    <t>Accurate explanation of the effects of a large learning rate.</t>
  </si>
  <si>
    <t>Could be more concise and structured for better clarity.</t>
  </si>
  <si>
    <t>What are the effects of a learning rate that is too large in training models?</t>
  </si>
  <si>
    <t>Provide a more structured response with examples or implications.</t>
  </si>
  <si>
    <t>{"prompt_score": 3, "response_score": 4, "overall_score": 3, "prompt_strengths": "Identifies a specific topic (learning rate) and asks for an answer.", "prompt_issues": "Lacks clarity and context; the phrasing is confusing.", "response_strengths": "Accurate explanation of the effects of a large learning rate.", "response_issues": "Could be more concise and structured for better clarity.", "prompt_rewrite": "What are the effects of a learning rate that is too large in training models?", "response_improvement_suggestions": "Provide a more structured response with examples or implications.", "verdict": "good", "needs_human_review": false}</t>
  </si>
  <si>
    <t>[MODE:summary_code_explanation]
bagaimana jika dari soal nya tidak bisa di kecilkan harus segini yaitu 0.001 apakah masih bisa dijalankan tanpa error?</t>
  </si>
  <si>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</si>
  <si>
    <t>Clear and specific question about handling a fixed learning rate.</t>
  </si>
  <si>
    <t>Could provide more context on the problem being addressed.</t>
  </si>
  <si>
    <t>Thorough explanation with relevant code examples and practical advice.</t>
  </si>
  <si>
    <t>Bagaimana cara menangani situasi di mana learning rate harus tetap 0.001 tanpa menyebabkan error dalam gradient descent?</t>
  </si>
  <si>
    <t>Consider adding more examples or edge cases for clarity.</t>
  </si>
  <si>
    <t>{"prompt_score": 4, "response_score": 5, "overall_score": 5, "prompt_strengths": "Clear and specific question about handling a fixed learning rate.", "prompt_issues": "Could provide more context on the problem being addressed.", "response_strengths": "Thorough explanation with relevant code examples and practical advice.", "response_issues": "None significant; response is comprehensive.", "prompt_rewrite": "Bagaimana cara menangani situasi di mana learning rate harus tetap 0.001 tanpa menyebabkan error dalam gradient descent?", "response_improvement_suggestions": "Consider adding more examples or edge cases for clarity.", "verdict": "excellent", "needs_human_review": false}</t>
  </si>
  <si>
    <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</si>
  <si>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</si>
  <si>
    <t>Could be slightly overwhelming due to length.</t>
  </si>
  <si>
    <t>Thorough, relevant, and provides actionable guidance.</t>
  </si>
  <si>
    <t>Lacks specific examples from the dataset.</t>
  </si>
  <si>
    <t>[MODE:summary] 1. **Struktur Dataset**: Berapa jumlah **observasi** dan **fitur** pada dataset? Sebutkan **target variable**. 2. **Statistik Deskriptif**: Fitur dengan **mean tertinggi** dan **standar deviasi terbesar**? Apa arti temuan ini? 3. **Pemeriksaan Nilai Minimum**: Fitur dengan **nilai minimum = 0** yang tidak realistis? Sebutkan dan jelaskan penyebabnya. 4. **Analisis Correlation Matrix**: Fitur dengan **korelasi paling kuat** terhadap `class`? Hubungan positif atau negatif? 5. **Korelasi Antar Fitur**: Pasangan fitur dengan **korelasi tinggi**? Implikasi terhadap model?</t>
  </si>
  <si>
    <t>Include specific examples or hypothetical values to illustrate points.</t>
  </si>
  <si>
    <t>{"prompt_score": 4, "response_score": 5, "overall_score": 5, "prompt_strengths": "Detailed and structured with clear questions.", "prompt_issues": "Could be slightly overwhelming due to length.", "response_strengths": "Thorough, relevant, and provides actionable guidance.", "response_issues": "Lacks specific examples from the dataset.", "prompt_rewrite": "[MODE:summary] 1. **Struktur Dataset**: Berapa jumlah **observasi** dan **fitur** pada dataset? Sebutkan **target variable**. 2. **Statistik Deskriptif**: Fitur dengan **mean tertinggi** dan **standar deviasi terbesar**? Apa arti temuan ini? 3. **Pemeriksaan Nilai Minimum**: Fitur dengan **nilai minimum = 0** yang tidak realistis? Sebutkan dan jelaskan penyebabnya. 4. **Analisis Correlation Matrix**: Fitur dengan **korelasi paling kuat** terhadap `class`? Hubungan positif atau negatif? 5. **Korelasi Antar Fitur**: Pasangan fitur dengan **korelasi tinggi**? Implikasi terhadap model?", "response_improvement_suggestions": "Include specific examples or hypothetical values to illustrate points.", "verdict": "excellent", "needs_human_review": false}</t>
  </si>
  <si>
    <t>[MODE:code]
sekarang ini :
def mse(y_true, y_pred):
    # ===================== Write Your Code Here ====================
def rmse(y_true, y_pred):
    # ===================== Write Your Code Here ====================
def r2_score(y_true, y_pred):
    # ===================== Write Your Code Here ====================</t>
  </si>
  <si>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</si>
  <si>
    <t>```python
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
```</t>
  </si>
  <si>
    <t>Clearly outlines the functions to be implemented.</t>
  </si>
  <si>
    <t>Lacks context on the purpose of the functions.</t>
  </si>
  <si>
    <t>Correctly implements the required functions with clarity.</t>
  </si>
  <si>
    <t>Could include comments for better understanding.</t>
  </si>
  <si>
    <t>Implement the following statistical functions: mean squared error (mse), root mean squared error (rmse), and R-squared (r2_score) for evaluating model performance.</t>
  </si>
  <si>
    <t>Add comments explaining each function's purpose and logic.</t>
  </si>
  <si>
    <t>{"prompt_score": 3, "response_score": 5, "overall_score": 4, "prompt_strengths": "Clearly outlines the functions to be implemented.", "prompt_issues": "Lacks context on the purpose of the functions.", "response_strengths": "Correctly implements the required functions with clarity.", "response_issues": "Could include comments for better understanding.", "prompt_rewrite": "Implement the following statistical functions: mean squared error (mse), root mean squared error (rmse), and R-squared (r2_score) for evaluating model performance.", "response_improvement_suggestions": "Add comments explaining each function's purpose and logic.", "verdict": "good", "needs_human_review": false}</t>
  </si>
  <si>
    <t>[MODE:summary_code_explanation]
Extract semua baris dan kolom ke-1 s.d. ke-7 ke dalam variabel X dan bagaimana cara  Simpan semua baris dari kolom ke-7 ke dalam variabel y.</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</si>
  <si>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</si>
  <si>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Could clarify the indexing difference more explicitly.</t>
  </si>
  <si>
    <t>Extract all rows and columns 1 to 7 into variable X and save all rows from column 7 into variable y, assuming a NumPy array or DataFrame structure.</t>
  </si>
  <si>
    <t>Add a brief note on the importance of understanding indexing in Python.</t>
  </si>
  <si>
    <t>{"prompt_score": 4, "response_score": 5, "overall_score": 4, "prompt_strengths": "Clear and specific about the task.", "prompt_issues": "Could provide more context on the data structure.", "response_strengths": "Accurate, complete, and clear explanation with code examples.", "response_issues": "Could clarify the indexing difference more explicitly.", "prompt_rewrite": "Extract all rows and columns 1 to 7 into variable X and save all rows from column 7 into variable y, assuming a NumPy array or DataFrame structure.", "response_improvement_suggestions": "Add a brief note on the importance of understanding indexing in Python.", "verdict": "good", "needs_human_review": false}</t>
  </si>
  <si>
    <t>[LANG:Python]
[MODE:code]
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</si>
  <si>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</si>
  <si>
    <t>```python
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
```</t>
  </si>
  <si>
    <t>Clear and specific requirements for model evaluation.</t>
  </si>
  <si>
    <t>Could provide more context on the dataset or model type.</t>
  </si>
  <si>
    <t>Comprehensive and correctly implements all requested metrics and visualizations.</t>
  </si>
  <si>
    <t>None significant; all requirements are met.</t>
  </si>
  <si>
    <t>Berikan contoh evaluasi model klasifikasi sklearn dengan dataset biner, termasuk accuracy, precision, recall, f1, roc_auc, confusion matrix, dan classification report.</t>
  </si>
  <si>
    <t>Include comments on the assumptions made about the model and data.</t>
  </si>
  <si>
    <t>{"prompt_score": 4, "response_score": 5, "overall_score": 5, "prompt_strengths": "Clear and specific requirements for model evaluation.", "prompt_issues": "Could provide more context on the dataset or model type.", "response_strengths": "Comprehensive and correctly implements all requested metrics and visualizations.", "response_issues": "None significant; all requirements are met.", "prompt_rewrite": "Berikan contoh evaluasi model klasifikasi sklearn dengan dataset biner, termasuk accuracy, precision, recall, f1, roc_auc, confusion matrix, dan classification report.", "response_improvement_suggestions": "Include comments on the assumptions made about the model and data.", "verdict": "excellent", "needs_human_review": false}</t>
  </si>
  <si>
    <t>[MODE:summary_code_explanation]
Buatlah model yang merupakan model LogisticRegression dengan parameter solver adalah liblinear dan Latihlah `model` dengan cara memanggil method `fit` dan diberi parameter `X_train` dan `y_train`.</t>
  </si>
  <si>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</si>
  <si>
    <t>Clear and specific instructions for creating and training a model.</t>
  </si>
  <si>
    <t>Could provide more context on the dataset or expected outcomes.</t>
  </si>
  <si>
    <t>Accurate, complete, and clearly explains the code and its purpose.</t>
  </si>
  <si>
    <t>Buatlah model LogisticRegression dengan solver='liblinear' dan latihlah model tersebut menggunakan fit(X_train, y_train) pada dataset yang sesuai.</t>
  </si>
  <si>
    <t>Consider adding an example of the expected output or performance metrics.</t>
  </si>
  <si>
    <t>{"prompt_score": 4, "response_score": 5, "overall_score": 5, "prompt_strengths": "Clear and specific instructions for creating and training a model.", "prompt_issues": "Could provide more context on the dataset or expected outcomes.", "response_strengths": "Accurate, complete, and clearly explains the code and its purpose.", "response_issues": "None identified.", "prompt_rewrite": "Buatlah model LogisticRegression dengan solver='liblinear' dan latihlah model tersebut menggunakan fit(X_train, y_train) pada dataset yang sesuai.", "response_improvement_suggestions": "Consider adding an example of the expected output or performance metrics.", "verdict": "excellent", "needs_human_review": false}</t>
  </si>
  <si>
    <t>[MODE:code]
Sekarang ayo kita munculkan best score dan best parameter dari grid. buatkan saya kode untuk memunculkan best score dan best parameter dari  grid saya</t>
  </si>
  <si>
    <t>print("Best Score:", grid.best_score_)
print("Best Parameters:", grid.best_params_)</t>
  </si>
  <si>
    <t>```python
print("Best Score:", grid.best_score_)
print("Best Parameters:", grid.best_params_)
```</t>
  </si>
  <si>
    <t>Clear request for code to display best score and parameters.</t>
  </si>
  <si>
    <t>Correct and relevant code snippet provided.</t>
  </si>
  <si>
    <t>Buatkan saya kode Python untuk memunculkan best score dan best parameter dari grid saya.</t>
  </si>
  <si>
    <t>Add comments to explain the code functionality.</t>
  </si>
  <si>
    <t>{"prompt_score": 4, "response_score": 4, "overall_score": 4, "prompt_strengths": "Clear request for code to display best score and parameters.", "prompt_issues": "Could specify the programming language for clarity.", "response_strengths": "Correct and relevant code snippet provided.", "response_issues": "Lacks explanation or context for the code.", "prompt_rewrite": "Buatkan saya kode Python untuk memunculkan best score dan best parameter dari grid saya.", "response_improvement_suggestions": "Add comments to explain the code functionality.", "verdict": "good", "needs_human_review": false}</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</si>
  <si>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</si>
  <si>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Feature selection (relevan)
# - Hindari leakage: buang target regresi &amp; target klasifikasi dari fitur
# =========================
feature_cols = [c for c in df.columns if c not in [target_reg, target_clf]]
X = df[feature_cols].copy()
y_reg = df[target_reg].copy()
y_clf_raw = df[target_clf].copy()
# =========================
# Encode classification label to numeric if needed
# =========================
if pd.api.types.is_numeric_dtype(y_clf_raw):
    y_clf = y_clf_raw.astype(int)
else:
    # Map common labels; fallback to factorize
    s = y_clf_raw.astype(str).str.strip().str.lower()
    common_map = {
        "pass": 1, "passed": 1, "yes": 1, "y": 1, "true": 1, "1": 1,
        "fail": 0, "failed": 0, "no": 0, "n": 0, "false": 0, "0": 0
    }
    mapped = s.map(common_map)
    if mapped.isna().any():
        y_clf, uniques = pd.factorize(y_clf_raw)
        print("Label 'pass_fail' tidak cocok dengan mapping umum. Menggunakan factorize.")
        print("Mapping factorize:", {i: v for i, v in enumerate(uniques)})
    else:
        y_clf = mapped.astype(int)
# =========================
# Train-test split 80:20 (gunakan split yang sama untuk regresi &amp; klasifikasi)
# =========================
X_train, X_test, y_reg_train, y_reg_test, y_clf_train, y_clf_test = train_test_split(
    X, y_reg, y_clf, test_size=0.2, random_state=42
)
# =========================
# Preprocessing (numeric + categorical)
# =========================
numeric_features = X_train.select_dtypes(include=[np.number]).columns.tolist()
categorical_features = [c for c in X_train.columns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REGRESSION: target = final_exam_score
# =========================
reg_model = Pipeline(steps=[
    ("preprocess", preprocess),
    ("model", LinearRegression())
])
reg_model.fit(X_train, y_reg_train)
# Prediksi regresi (dipakai sebagai input untuk klasifikasi)
y_reg_pred_train = reg_model.predict(X_train)
y_reg_pred_test = reg_model.predict(X_test)
# =========================
# CLASSIFICATION: target = pass_fail
# Gunakan hasil prediksi regresi sebagai input fitur tambahan
# =========================
# Fitur klasifikasi = [prediksi_regresi] saja (sesuai instruksi),
# atau bisa ditambah fitur lain jika diizinkan. Di sini: hanya prediksi regresi.
X_clf_train = pd.DataFrame({"pred_final_exam_score": y_reg_pred_train})
X_clf_test = pd.DataFrame({"pred_final_exam_score": y_reg_pred_test})
clf_model = LogisticRegression(max_iter=1000)
clf_model.fit(X_clf_train, y_clf_train)
# =========================
# Output ringkas: ukuran split &amp; contoh
# =========================
print("=== Split 80:20 ===")
print("X_train:", X_train.shape, "X_test:", X_test.shape)
print("y_reg_train:", y_reg_train.shape,</t>
  </si>
  <si>
    <t>Clear task instructions and structure.</t>
  </si>
  <si>
    <t>Lacks specific details on feature selection.</t>
  </si>
  <si>
    <t>Includes relevant libraries for regression and classification.</t>
  </si>
  <si>
    <t>Incomplete implementation; lacks data processing and model fitting.</t>
  </si>
  <si>
    <t>Tugas Regresi: Tentukan target regresi: final_exam_score dan pilih fitur yang relevan. Tugas Klasifikasi: Tentukan target klasifikasi: pass_fail, ubah label target menjadi format numerik, dan gunakan hasil prediksi dari model regresi sebagai input untuk klasifikasi. Bagi data menjadi data latih dan uji dengan rasio 80:20, sertakan contoh fitur yang relevan.</t>
  </si>
  <si>
    <t>Provide a complete code example including data loading, preprocessing, model fitting, and evaluation.</t>
  </si>
  <si>
    <t>{"prompt_score": 4, "response_score": 3, "overall_score": 3, "prompt_strengths": "Clear task instructions and structure.", "prompt_issues": "Lacks specific details on feature selection.", "response_strengths": "Includes relevant libraries for regression and classification.", "response_issues": "Incomplete implementation; lacks data processing and model fitting.", "prompt_rewrite": "Tugas Regresi: Tentukan target regresi: final_exam_score dan pilih fitur yang relevan. Tugas Klasifikasi: Tentukan target klasifikasi: pass_fail, ubah label target menjadi format numerik, dan gunakan hasil prediksi dari model regresi sebagai input untuk klasifikasi. Bagi data menjadi data latih dan uji dengan rasio 80:20, sertakan contoh fitur yang relevan.", "response_improvement_suggestions": "Provide a complete code example including data loading, preprocessing, model fitting, and evaluation.", "verdict": "fair", "needs_human_review": false}</t>
  </si>
  <si>
    <t>[LANG:Python]
[MODE:code]
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</si>
  <si>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</si>
  <si>
    <t>```python
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
```</t>
  </si>
  <si>
    <t>The prompt specifies the need for multiple pipelines and mentions specific transformations.</t>
  </si>
  <si>
    <t>Lacks clarity in structure and could be more concise.</t>
  </si>
  <si>
    <t>The response provides a comprehensive implementation of the requested pipelines and includes necessary imports.</t>
  </si>
  <si>
    <t>Could improve clarity by adding comments or explanations for complex parts.</t>
  </si>
  <si>
    <t>Buat dua pipeline: satu untuk `log` transformation dan satu untuk memproses kolom numerik. Juga, buat `cluster_simil` untuk kolom _latitude_ dan _longitude_. Gabungkan semua pipeline dalam kelas ColumnTransformer bernama `preprocessing`.</t>
  </si>
  <si>
    <t>Add comments to explain the purpose of each pipeline and transformation for better clarity.</t>
  </si>
  <si>
    <t>{"prompt_score": 3, "response_score": 4, "overall_score": 3, "prompt_strengths": "The prompt specifies the need for multiple pipelines and mentions specific transformations.", "prompt_issues": "Lacks clarity in structure and could be more concise.", "response_strengths": "The response provides a comprehensive implementation of the requested pipelines and includes necessary imports.", "response_issues": "Could improve clarity by adding comments or explanations for complex parts.", "prompt_rewrite": "Buat dua pipeline: satu untuk `log` transformation dan satu untuk memproses kolom numerik. Juga, buat `cluster_simil` untuk kolom _latitude_ dan _longitude_. Gabungkan semua pipeline dalam kelas ColumnTransformer bernama `preprocessing`.", "response_improvement_suggestions": "Add comments to explain the purpose of each pipeline and transformation for better clarity.", "verdict": "good", "needs_human_review": false}</t>
  </si>
  <si>
    <t>[MODE:code]
saya ingin insight per diagram grafiknya saja, intinya saja beritahu ke saya apa yang harus saya jelaskan per diagram grafiknya</t>
  </si>
  <si>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</si>
  <si>
    <t>```python
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
```</t>
  </si>
  <si>
    <t>Clear request for insights on graphs.</t>
  </si>
  <si>
    <t>Could specify which diagrams or data are being referenced.</t>
  </si>
  <si>
    <t>Provides detailed insights for multiple graphs, clear and actionable.</t>
  </si>
  <si>
    <t>None significant; all insights are relevant and well-explained.</t>
  </si>
  <si>
    <t>Berikan insight singkat untuk setiap diagram grafik yang ada, termasuk apa yang perlu saya jelaskan.</t>
  </si>
  <si>
    <t>Consider adding a summary or conclusion for the insights provided.</t>
  </si>
  <si>
    <t>{"prompt_score": 4, "response_score": 5, "overall_score": 5, "prompt_strengths": "Clear request for insights on graphs.", "prompt_issues": "Could specify which diagrams or data are being referenced.", "response_strengths": "Provides detailed insights for multiple graphs, clear and actionable.", "response_issues": "None significant; all insights are relevant and well-explained.", "prompt_rewrite": "Berikan insight singkat untuk setiap diagram grafik yang ada, termasuk apa yang perlu saya jelaskan.", "response_improvement_suggestions": "Consider adding a summary or conclusion for the insights provided.", "verdict": "excellent", "needs_human_review": false}</t>
  </si>
  <si>
    <t>[MODE:summary_code_explanation]
Buatlah confusion matrix dari hasil prediksi (y_pred) dan nilai sebenarnya (y).from sklearn.metrics import confusion_matrix
##### Your Code Here #####
cm =</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</si>
  <si>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</si>
  <si>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Could provide more context on the data types.</t>
  </si>
  <si>
    <t>Correct, complete, and clearly explains the confusion matrix.</t>
  </si>
  <si>
    <t>Buatlah confusion matrix dari hasil prediksi (y_pred) dan nilai sebenarnya (y) menggunakan sklearn. Pastikan untuk menjelaskan input yang diharapkan.</t>
  </si>
  <si>
    <t>Consider adding an example of the output of the confusion matrix.</t>
  </si>
  <si>
    <t>{"prompt_score": 4, "response_score": 5, "overall_score": 5, "prompt_strengths": "Clear and specific about the task.", "prompt_issues": "Could provide more context on the data types.", "response_strengths": "Correct, complete, and clearly explains the confusion matrix.", "response_issues": "None.", "prompt_rewrite": "Buatlah confusion matrix dari hasil prediksi (y_pred) dan nilai sebenarnya (y) menggunakan sklearn. Pastikan untuk menjelaskan input yang diharapkan.", "response_improvement_suggestions": "Consider adding an example of the output of the confusion matrix.", "verdict": "excellent", "needs_human_review": false}</t>
  </si>
  <si>
    <t>[MODE:summary]
lalu ada pertanyaan tentang pepline, Apa fungsi pipeline.predict(X_test)? dan Mengapa preprocessing dimasukkan dalam pipeline?</t>
  </si>
  <si>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</si>
  <si>
    <t>Clear and specific question about pipeline functionality.</t>
  </si>
  <si>
    <t>Accurate, complete, and clearly explains the function and importance of preprocessing in a pipeline.</t>
  </si>
  <si>
    <t>Apa fungsi dari pipeline.predict(X_test) dalam konteks machine learning, dan mengapa preprocessing penting untuk dimasukkan dalam pipeline?</t>
  </si>
  <si>
    <t>{"prompt_score": 4, "response_score": 5, "overall_score": 5, "prompt_strengths": "Clear and specific question about pipeline functionality.", "prompt_issues": "Could provide more context on the audience's knowledge level.", "response_strengths": "Accurate, complete, and clearly explains the function and importance of preprocessing in a pipeline.", "response_issues": "None identified.", "prompt_rewrite": "Apa fungsi dari pipeline.predict(X_test) dalam konteks machine learning, dan mengapa preprocessing penting untuk dimasukkan dalam pipeline?", "response_improvement_suggestions": "None needed; response is already comprehensive.", "verdict": "excellent", "needs_human_review": false}</t>
  </si>
  <si>
    <t>[LANG:Python]
[MODE:code]
dari kode tersebut, saya ingin ada output yang dihasilkan, jadi setelah dilatih saya ingin ada output dari hasil training tersebut</t>
  </si>
  <si>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</si>
  <si>
    <t>```python
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
```</t>
  </si>
  <si>
    <t>The prompt specifies a clear request for output after training.</t>
  </si>
  <si>
    <t>Lacks detail on the specific type of output desired.</t>
  </si>
  <si>
    <t>The response provides a complete code snippet that addresses the prompt's request.</t>
  </si>
  <si>
    <t>Could improve clarity by explaining the code sections.</t>
  </si>
  <si>
    <t>Saya ingin agar setelah melatih model, output yang dihasilkan mencakup parameter terbaik dan RMSE. Mohon sertakan penjelasan singkat tentang output tersebut.</t>
  </si>
  <si>
    <t>{"prompt_score": 3, "response_score": 4, "overall_score": 4, "prompt_strengths": "The prompt specifies a clear request for output after training.", "prompt_issues": "Lacks detail on the specific type of output desired.", "response_strengths": "The response provides a complete code snippet that addresses the prompt's request.", "response_issues": "Could improve clarity by explaining the code sections.", "prompt_rewrite": "Saya ingin agar setelah melatih model, output yang dihasilkan mencakup parameter terbaik dan RMSE. Mohon sertakan penjelasan singkat tentang output tersebut.", "response_improvement_suggestions": "Add comments to explain each part of the code for better clarity.", "verdict": "good", "needs_human_review": false}</t>
  </si>
  <si>
    <t>[LANG:Python]
[MODE:code]
Cell In[63], line 19
X_train X test, y train, y_test, train_test_split(X, y, test size=0.2, random_state=42)
SyntaxError: invalid syntax
bagaimana mengatasinya</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</si>
  <si>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</si>
  <si>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
```</t>
  </si>
  <si>
    <t>Identifies a specific syntax error.</t>
  </si>
  <si>
    <t>Lacks clarity and context for the error.</t>
  </si>
  <si>
    <t>Provides a complete and correct code solution.</t>
  </si>
  <si>
    <t>Could improve clarity in explaining the fix.</t>
  </si>
  <si>
    <t>How can I fix the SyntaxError in my Python code related to train_test_split?</t>
  </si>
  <si>
    <t>Add comments explaining each step of the code.</t>
  </si>
  <si>
    <t>{"prompt_score": 3, "response_score": 4, "overall_score": 3, "prompt_strengths": "Identifies a specific syntax error.", "prompt_issues": "Lacks clarity and context for the error.", "response_strengths": "Provides a complete and correct code solution.", "response_issues": "Could improve clarity in explaining the fix.", "prompt_rewrite": "How can I fix the SyntaxError in my Python code related to train_test_split?", "response_improvement_suggestions": "Add comments explaining each step of the code.", "verdict": "good", "needs_human_review": false}</t>
  </si>
  <si>
    <t>[MODE:code]
Setelah model ini dilatih, evaluasi model yang sudah dilatih pada test set. tolong buatkan model accuracynya kemudian jelaskan codingannya secra teori setiap fungsinya</t>
  </si>
  <si>
    <t>from sklearn.metrics import accuracy_score
# Prediksi label untuk data test
y_pred = knn_clf.predict(X_test)
# Hitung akurasi pada test set
test_accuracy = accuracy_score(y_test, y_pred)
test_accuracy</t>
  </si>
  <si>
    <t>```python
from sklearn.metrics import accuracy_score
# Prediksi label untuk data test
y_pred = knn_clf.predict(X_test)
# Hitung akurasi pada test set
test_accuracy = accuracy_score(y_test, y_pred)
test_accuracy
```</t>
  </si>
  <si>
    <t>The prompt is clear about the task and context.</t>
  </si>
  <si>
    <t>Lacks specificity in the explanation request and does not define the model type.</t>
  </si>
  <si>
    <t>The response provides relevant code and correctly uses accuracy_score.</t>
  </si>
  <si>
    <t>Lacks a theoretical explanation of the code functions as requested.</t>
  </si>
  <si>
    <t>[MODE:code] Setelah model ini dilatih, evaluasi model yang sudah dilatih pada test set. Tolong buatkan model accuracynya dan jelaskan setiap fungsi dalam kode secara teori.</t>
  </si>
  <si>
    <t>Add a detailed explanation of each function used in the code.</t>
  </si>
  <si>
    <t>{"prompt_score": 3, "response_score": 4, "overall_score": 3, "prompt_strengths": "The prompt is clear about the task and context.", "prompt_issues": "Lacks specificity in the explanation request and does not define the model type.", "response_strengths": "The response provides relevant code and correctly uses accuracy_score.", "response_issues": "Lacks a theoretical explanation of the code functions as requested.", "prompt_rewrite": "[MODE:code] Setelah model ini dilatih, evaluasi model yang sudah dilatih pada test set. Tolong buatkan model accuracynya dan jelaskan setiap fungsi dalam kode secara teori.", "response_improvement_suggestions": "Add a detailed explanation of each function used in the code.", "verdict": "fair", "needs_human_review": false}</t>
  </si>
  <si>
    <t>[LANG:Python]
[MODE:summary_code_explanation]
Let's say I want to create a Correlation Heatmap and Outcome Class Distribution using Counterplot. What benefits will I get? And, how do I create them? Can you give me the code template?</t>
  </si>
  <si>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</si>
  <si>
    <t>Clear and specific request for benefits and code template.</t>
  </si>
  <si>
    <t>Could specify the dataset type for better context.</t>
  </si>
  <si>
    <t>Thorough explanation and complete code template provided.</t>
  </si>
  <si>
    <t>Minor clarity issues in code comments could be improved.</t>
  </si>
  <si>
    <t>[LANG:Python] [MODE:summary_code_explanation] I want to create a Correlation Heatmap and Outcome Class Distribution using Counterplot for my dataset. What benefits will I get? And, how do I create them? Please provide a code template.</t>
  </si>
  <si>
    <t>Clarify comments in the code for better understanding.</t>
  </si>
  <si>
    <t>{"prompt_score": 4, "response_score": 5, "overall_score": 5, "prompt_strengths": "Clear and specific request for benefits and code template.", "prompt_issues": "Could specify the dataset type for better context.", "response_strengths": "Thorough explanation and complete code template provided.", "response_issues": "Minor clarity issues in code comments could be improved.", "prompt_rewrite": "[LANG:Python] [MODE:summary_code_explanation] I want to create a Correlation Heatmap and Outcome Class Distribution using Counterplot for my dataset. What benefits will I get? And, how do I create them? Please provide a code template.", "response_improvement_suggestions": "Clarify comments in the code for better understanding.", "verdict": "excellent", "needs_human_review": false}</t>
  </si>
  <si>
    <t>[MODE:summary_code_explanation]
Jelaskan saja mengenai ClusterSimilarity jika dipakai untuk memproses latitude dan longitude cara kerjanya gimana. Librarynya menggunakan Kmeans dari sklearn.cluster</t>
  </si>
  <si>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</si>
  <si>
    <t>Clear and specific request for explanation of ClusterSimilarity.</t>
  </si>
  <si>
    <t>Could provide more context on the intended application of the explanation.</t>
  </si>
  <si>
    <t>Thorough explanation with code example, clear steps, and practical implications.</t>
  </si>
  <si>
    <t>Could simplify some technical terms for broader audience understanding.</t>
  </si>
  <si>
    <t>Jelaskan cara kerja ClusterSimilarity dalam memproses latitude dan longitude menggunakan KMeans dari sklearn.cluster, serta aplikasinya.</t>
  </si>
  <si>
    <t>Consider simplifying technical jargon and providing a real-world example of application.</t>
  </si>
  <si>
    <t>{"prompt_score": 4, "response_score": 5, "overall_score": 4, "prompt_strengths": "Clear and specific request for explanation of ClusterSimilarity.", "prompt_issues": "Could provide more context on the intended application of the explanation.", "response_strengths": "Thorough explanation with code example, clear steps, and practical implications.", "response_issues": "Could simplify some technical terms for broader audience understanding.", "prompt_rewrite": "Jelaskan cara kerja ClusterSimilarity dalam memproses latitude dan longitude menggunakan KMeans dari sklearn.cluster, serta aplikasinya.", "response_improvement_suggestions": "Consider simplifying technical jargon and providing a real-world example of application.", "verdict": "good", "needs_human_review": false}</t>
  </si>
  <si>
    <t>[MODE:code]
[ASSESSMENT_ID:1771cf8e-0a65-11f1-b762-3e0936ad7efb]
[FORCE_GPT:true]
[AUTO_FALLBACK:true]
logreg_pipe.fit(X_train_A, y_train_cls)
     50 y_pred_A = logreg_pipe.predict(X_test_A)
     51 eval_binary(y_test_cls, y_pred_A, "Skenario A: predicted_final_exam_score saja")
NameError: name 'y_train_cls' is not defined</t>
  </si>
  <si>
    <t>from sklearn.pipeline import Pipeline
from sklearn.preprocessing import StandardScaler
from sklearn.linear_model import LogisticRegression
from sklearn.metrics import confusion_matrix, accuracy_score, precision_score, recall_score, f1_score</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</si>
  <si>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AUTO-DETECT target klasifikasi (y_train_cls/y_test_cls)
# =========================
# Prasyarat minimal:
# - X_train_cls, X_test_cls sudah ada
# - Salah satu dari ini ada:
#   (a) y_train_cls &amp; y_test_cls, atau
#   (b) y_train_at_risk &amp; y_test_at_risk, atau
#   (c) y_train &amp; y_test (jika itu memang target klasifikasi), atau
#   (d) data['at_risk'] + indeks X_train_cls/X_test_cls cocok dengan data
def _resolve_y():
    g = globals()
    # (a) sudah sesuai nama yang diharapkan
    if "y_train_cls" in g and "y_test_cls" in g:
        return g["y_train_cls"], g["y_test_cls"]
    # (b) alternatif umum
    if "y_train_at_risk" in g and "y_test_at_risk" in g:
        return g["y_train_at_risk"], g["y_test_at_risk"]
    # (c) fallback: y_train/y_test (HATI-HATI: pastikan ini memang target klasifikasi at_risk)
    if "y_train" in g and "y_test" in g:
        # jika y_train/y_test berupa float kontinu, kemungkinan itu target regresi -&gt; jangan dipakai
        ytr, yte = g["y_train"], g["y_test"]
        if pd.api.types.is_numeric_dtype(ytr) and (pd.Series(ytr).nunique() &gt; 10):
            raise ValueError(
                "Ditemukan y_train/y_test tetapi terlihat seperti target regresi (kontinu). "
                "Buat dulu y_train_cls/y_test_cls untuk target at_risk."
            )
        return ytr, yte
    # (d) ambil dari data['at_risk'] berdasarkan index X_train_cls/X_test_cls
    if "data" in g and isinstance(g["data"], pd.DataFrame) and "at_risk" in g["data"].columns:
        df = g["data"]
        if hasattr(X_train_cls, "index") and hasattr(X_test_cls, "index"):
            return df.loc[X_train_cls.index, "at_risk"], df.loc[X_test_cls.index, "at_risk"]
    raise NameError(
        "Target klasifikasi tidak ditemukan. Pastikan Anda punya y_train_cls &amp; y_test_cls "
        "atau data['at_risk'] dengan index yang sesuai."
    )
y_train_cls, y_test_cls = _resolve_y()
# =========================
# Validasi kolom prediksi regresi
# =========================
pred_col = "pred_final_exam_score"
if pred_col not in X_train_cls.columns or pred_col not in X_test_cls.columns:
    raise ValueError(
        f"Kolom '{pred_col}' tidak ditemukan di X_train_cls/X_test_cls. "
        "Pastikan Anda sudah menyimpan prediksi regresi ke kolom ini."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t>
  </si>
  <si>
    <t>Lacks clarity and context for the error and expected output.</t>
  </si>
  <si>
    <t>Includes relevant imports for logistic regression.</t>
  </si>
  <si>
    <t>Does not address the specific error or provide a solution.</t>
  </si>
  <si>
    <t>What is causing the NameError for 'y_train_cls' in the logistic regression code, and how can it be resolved?</t>
  </si>
  <si>
    <t>Provide a complete code snippet that defines 'y_train_cls' and resolves the NameError.</t>
  </si>
  <si>
    <t>{"prompt_score": 3, "response_score": 2, "overall_score": 2, "prompt_strengths": "Identifies a specific error in code.", "prompt_issues": "Lacks clarity and context for the error and expected output.", "response_strengths": "Includes relevant imports for logistic regression.", "response_issues": "Does not address the specific error or provide a solution.", "prompt_rewrite": "What is causing the NameError for 'y_train_cls' in the logistic regression code, and how can it be resolved?", "response_improvement_suggestions": "Provide a complete code snippet that defines 'y_train_cls' and resolves the NameError.", "verdict": "weak", "needs_human_review": false}</t>
  </si>
  <si>
    <t>[LANG:Python]
[MODE:code]
ok sekarang kita akan membuat grid_search dengan 6000 data yang ada pada file csv sebelumnya. coba buatkan kingg</t>
  </si>
  <si>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</si>
  <si>
    <t>```python
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
```</t>
  </si>
  <si>
    <t>Lacks specificity in what 'kingg' means and does not define the model or parameters for grid search.</t>
  </si>
  <si>
    <t>The response is relevant, correct, and provides a complete implementation of grid search.</t>
  </si>
  <si>
    <t>Assumes prior knowledge of 'svr_pipeline' and 'param_grid' without explanation.</t>
  </si>
  <si>
    <t>Buatkan kode Python untuk melakukan grid search menggunakan 6000 data dari file CSV yang telah disebutkan, dengan menyertakan model dan parameter yang diperlukan.</t>
  </si>
  <si>
    <t>Include explanations for 'svr_pipeline' and 'param_grid' to enhance clarity for users unfamiliar with them.</t>
  </si>
  <si>
    <t>{"prompt_score": 3, "response_score": 4, "overall_score": 4, "prompt_strengths": "The prompt specifies the task and context clearly.", "prompt_issues": "Lacks specificity in what 'kingg' means and does not define the model or parameters for grid search.", "response_strengths": "The response is relevant, correct, and provides a complete implementation of grid search.", "response_issues": "Assumes prior knowledge of 'svr_pipeline' and 'param_grid' without explanation.", "prompt_rewrite": "Buatkan kode Python untuk melakukan grid search menggunakan 6000 data dari file CSV yang telah disebutkan, dengan menyertakan model dan parameter yang diperlukan.", "response_improvement_suggestions": "Include explanations for 'svr_pipeline' and 'param_grid' to enhance clarity for users unfamiliar with them.", "verdict": "good", "needs_human_review": false}</t>
  </si>
  <si>
    <t>[MODE:code]
[ASSESSMENT_ID:1771cf8e-0a65-11f1-b762-3e0936ad7efb]
[FORCE_GPT:true]
[AUTO_FALLBACK:true]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</si>
  <si>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</si>
  <si>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t>
  </si>
  <si>
    <t>The prompt provides a clear coding context and specifies the task.</t>
  </si>
  <si>
    <t>Lacks clarity on the specific requirements for the missing code.</t>
  </si>
  <si>
    <t>The response is relevant, correct, and provides a complete solution.</t>
  </si>
  <si>
    <t>Could improve clarity by adding comments to explain each step.</t>
  </si>
  <si>
    <t>Lengkapi bagian yang diberikan komentar dengan kode yang tepat untuk mendefinisikan y_pred_reg_train dan y_pred_reg_test.</t>
  </si>
  <si>
    <t>Add comments to explain the purpose of each code block for better clarity.</t>
  </si>
  <si>
    <t>{"prompt_score": 3, "response_score": 4, "overall_score": 4, "prompt_strengths": "The prompt provides a clear coding context and specifies the task.", "prompt_issues": "Lacks clarity on the specific requirements for the missing code.", "response_strengths": "The response is relevant, correct, and provides a complete solution.", "response_issues": "Could improve clarity by adding comments to explain each step.", "prompt_rewrite": "Lengkapi bagian yang diberikan komentar dengan kode yang tepat untuk mendefinisikan y_pred_reg_train dan y_pred_reg_test.", "response_improvement_suggestions": "Add comments to explain the purpose of each code block for better clarity.", "verdict": "good", "needs_human_review": false}</t>
  </si>
  <si>
    <t>[MODE:code]
cara mengekstrak semua baris dan kolom ke-1 sampai ke-7 ke dalam variabel x dalam train dan test set (back to Home)</t>
  </si>
  <si>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</si>
  <si>
    <t>```python
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
```</t>
  </si>
  <si>
    <t>Correct, complete, and clearly written code.</t>
  </si>
  <si>
    <t>Bagaimana cara mengekstrak semua baris dan kolom ke-1 sampai ke-7 dari dataset diabetes ke dalam variabel X dalam train dan test set?</t>
  </si>
  <si>
    <t>{"prompt_score": 4, "response_score": 5, "overall_score": 5, "prompt_strengths": "Clear and specific about the task.", "prompt_issues": "Could provide more context about the dataset.", "response_strengths": "Correct, complete, and clearly written code.", "response_issues": "None.", "prompt_rewrite": "Bagaimana cara mengekstrak semua baris dan kolom ke-1 sampai ke-7 dari dataset diabetes ke dalam variabel X dalam train dan test set?", "response_improvement_suggestions": "None needed; the response is already complete.", "verdict": "excellent", "needs_human_review": false}</t>
  </si>
  <si>
    <t>[MODE:summary_code_explanation]
props = dataframe["Outcome"].value_counts(normalize=True).sort_index()
ax = sns.barplot(x=props.index, y=props.values)
ax.bar_label(ax.containers[0], labels=[f"{v:.1%}" for v in props.values], padding=3)
ax.set(title="Outcome Class Proportion", xlabel="Outcome", ylabel="Proportion")
plt.tight_layout()
plt.show() jelaskan kode ini</t>
  </si>
  <si>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</si>
  <si>
    <t>Clear and specific request for code explanation.</t>
  </si>
  <si>
    <t>Could provide more context about the audience's familiarity with the code.</t>
  </si>
  <si>
    <t>Thorough explanation with clear breakdown of each code component.</t>
  </si>
  <si>
    <t>Jelaskan kode berikut yang digunakan untuk mem-plot proporsi kelas pada kolom 'Outcome' dalam dataframe.</t>
  </si>
  <si>
    <t>Consider adding a brief introduction about the importance of visualizing class proportions.</t>
  </si>
  <si>
    <t>{"prompt_score": 4, "response_score": 5, "overall_score": 5, "prompt_strengths": "Clear and specific request for code explanation.", "prompt_issues": "Could provide more context about the audience's familiarity with the code.", "response_strengths": "Thorough explanation with clear breakdown of each code component.", "response_issues": "None significant; very comprehensive.", "prompt_rewrite": "Jelaskan kode berikut yang digunakan untuk mem-plot proporsi kelas pada kolom 'Outcome' dalam dataframe.", "response_improvement_suggestions": "Consider adding a brief introduction about the importance of visualizing class proportions.", "verdict": "excellent", "needs_human_review": false}</t>
  </si>
  <si>
    <t>[MODE:code]
sekarang saya diminta untuk
Cobalah hitung  F1 score dari classifier Anda.
Seharusnya nilai F1 score &gt;61%</t>
  </si>
  <si>
    <t>from sklearn.metrics import f1_score
##### Your Code Here #####
f1 = f1_score(y, y_pred)
print("F1 Score:", f1)</t>
  </si>
  <si>
    <t>```python
from sklearn.metrics import f1_score
##### Your Code Here #####
f1 = f1_score(y, y_pred)
print("F1 Score:", f1)
```</t>
  </si>
  <si>
    <t>Directly asks for F1 score calculation.</t>
  </si>
  <si>
    <t>Lacks clarity in context and specific details about the classifier.</t>
  </si>
  <si>
    <t>Provides relevant code for calculating F1 score.</t>
  </si>
  <si>
    <t>Incomplete code; lacks context for 'y' and 'y_pred'.</t>
  </si>
  <si>
    <t>Hitung F1 score dari classifier Anda dan pastikan nilainya lebih dari 61%. Berikan detail tentang classifier yang digunakan.</t>
  </si>
  <si>
    <t>Include definitions or examples for 'y' and 'y_pred' to ensure completeness.</t>
  </si>
  <si>
    <t>{"prompt_score": 3, "response_score": 4, "overall_score": 3, "prompt_strengths": "Directly asks for F1 score calculation.", "prompt_issues": "Lacks clarity in context and specific details about the classifier.", "response_strengths": "Provides relevant code for calculating F1 score.", "response_issues": "Incomplete code; lacks context for 'y' and 'y_pred'.", "prompt_rewrite": "Hitung F1 score dari classifier Anda dan pastikan nilainya lebih dari 61%. Berikan detail tentang classifier yang digunakan.", "response_improvement_suggestions": "Include definitions or examples for 'y' and 'y_pred' to ensure completeness.", "verdict": "fair", "needs_human_review": false}</t>
  </si>
  <si>
    <t>[MODE:code]
##### DONT CHANGE THE CODE #####
grid = GridSearchCV(
    estimator=model,
    param_grid=param_grid,
    cv=10,
    scoring='accuracy'
)
sekarang kita latih `grid` menggunakan `.fit`
bagaimana codenya</t>
  </si>
  <si>
    <t>Could provide more context on the model and data.</t>
  </si>
  <si>
    <t>Directly answers the prompt with correct code.</t>
  </si>
  <si>
    <t>Please provide the code to fit the GridSearchCV object `grid` using the `.fit` method with training data.</t>
  </si>
  <si>
    <t>{"prompt_score": 4, "response_score": 5, "overall_score": 5, "prompt_strengths": "Clear and specific about the task.", "prompt_issues": "Could provide more context on the model and data.", "response_strengths": "Directly answers the prompt with correct code.", "response_issues": "None.", "prompt_rewrite": "Please provide the code to fit the GridSearchCV object `grid` using the `.fit` method with training data.", "response_improvement_suggestions": "None needed; response is complete.", "verdict": "excellent", "needs_human_review": false}</t>
  </si>
  <si>
    <t>[MODE:code]
Konteks: Saya butuh load data txt.
Bahasa: phyton
Output: data = np.loadtxt('ex1data1.txt', delimiter=',').</t>
  </si>
  <si>
    <t>import numpy as np
data = np.loadtxt('ex1data1.txt', delimiter=',')</t>
  </si>
  <si>
    <t>```python
import numpy as np
data = np.loadtxt('ex1data1.txt', delimiter=',')
```</t>
  </si>
  <si>
    <t>Clear context and specific request for code.</t>
  </si>
  <si>
    <t>Minor grammatical error in 'phyton' should be 'python'.</t>
  </si>
  <si>
    <t>Correct and complete code for loading data.</t>
  </si>
  <si>
    <t>[MODE:code] Konteks: Saya butuh load data txt. Bahasa: python Output: data = np.loadtxt('ex1data1.txt', delimiter=',').</t>
  </si>
  <si>
    <t>{"prompt_score": 4, "response_score": 5, "overall_score": 4, "prompt_strengths": "Clear context and specific request for code.", "prompt_issues": "Minor grammatical error in 'phyton' should be 'python'.", "response_strengths": "Correct and complete code for loading data.", "response_issues": "Lacks explanation or comments for clarity.", "prompt_rewrite": "[MODE:code] Konteks: Saya butuh load data txt. Bahasa: python Output: data = np.loadtxt('ex1data1.txt', delimiter=',').", "response_improvement_suggestions": "Add comments to explain the code.", "verdict": "good", "needs_human_review": false}</t>
  </si>
  <si>
    <t>[MODE:code]
apa tujuan melatih sebuah model, lalu bagaimana cara menentukan apa yang tepat untuk model tersebut ?</t>
  </si>
  <si>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</si>
  <si>
    <t>Clear and specific about model training goals.</t>
  </si>
  <si>
    <t>Could provide more context on the type of model.</t>
  </si>
  <si>
    <t>Thorough, relevant, and well-structured explanation.</t>
  </si>
  <si>
    <t>[MODE:code] Apa tujuan melatih model machine learning dan bagaimana cara menentukan model yang tepat untuk masalah tertentu?</t>
  </si>
  <si>
    <t>Consider adding examples of models for each type of problem.</t>
  </si>
  <si>
    <t>{"prompt_score": 4, "response_score": 5, "overall_score": 5, "prompt_strengths": "Clear and specific about model training goals.", "prompt_issues": "Could provide more context on the type of model.", "response_strengths": "Thorough, relevant, and well-structured explanation.", "response_issues": "None significant; very comprehensive.", "prompt_rewrite": "[MODE:code] Apa tujuan melatih model machine learning dan bagaimana cara menentukan model yang tepat untuk masalah tertentu?", "response_improvement_suggestions": "Consider adding examples of models for each type of problem.", "verdict": "excellent", "needs_human_review": false}</t>
  </si>
  <si>
    <t>[LANG:Python]
[MODE:summary_code_explanation]
untuk pertanyaan lebih lanjut, ini saya cukup menggunakan file data housing_dataset. atau dengan housing_labels?</t>
  </si>
  <si>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</si>
  <si>
    <t>Addresses a specific coding context and dataset.</t>
  </si>
  <si>
    <t>Lacks clarity in the request and specific action needed.</t>
  </si>
  <si>
    <t>Provides a clear and relevant explanation with code examples.</t>
  </si>
  <si>
    <t>Could be more concise and focused on the main question.</t>
  </si>
  <si>
    <t>[LANG:Python] [MODE:summary_code_explanation] Bagaimana cara memeriksa nilai null di housing_dataset dan housing_labels?</t>
  </si>
  <si>
    <t>Summarize key points more succinctly and focus on the most critical aspects of handling null values.</t>
  </si>
  <si>
    <t>{"prompt_score": 3, "response_score": 4, "overall_score": 4, "prompt_strengths": "Addresses a specific coding context and dataset.", "prompt_issues": "Lacks clarity in the request and specific action needed.", "response_strengths": "Provides a clear and relevant explanation with code examples.", "response_issues": "Could be more concise and focused on the main question.", "prompt_rewrite": "[LANG:Python] [MODE:summary_code_explanation] Bagaimana cara memeriksa nilai null di housing_dataset dan housing_labels?", "response_improvement_suggestions": "Summarize key points more succinctly and focus on the most critical aspects of handling null values.", "verdict": "good", "needs_human_review": false}</t>
  </si>
  <si>
    <t>[MODE:summary]
berikan jawaban dari pertanyaan berikut
Learning rate kecil
*
Divergen
Stabil
Cepat
Lambat
berikan jawaban singkat</t>
  </si>
  <si>
    <t>Learning rate kecil: Lambat.</t>
  </si>
  <si>
    <t>Direct and focused on a specific question.</t>
  </si>
  <si>
    <t>Lacks clarity in terms of expected format and context.</t>
  </si>
  <si>
    <t>Directly answers the question.</t>
  </si>
  <si>
    <t>Too brief and lacks explanation or context.</t>
  </si>
  <si>
    <t>[MODE:summary] Berikan jawaban singkat dan jelas untuk pertanyaan berikut: Apa dampak dari learning rate kecil dalam konteks stabilitas dan kecepatan konvergensi?</t>
  </si>
  <si>
    <t>Provide a more detailed explanation of why a small learning rate is considered slow.</t>
  </si>
  <si>
    <t>{"prompt_score": 3, "response_score": 3, "overall_score": 3, "prompt_strengths": "Direct and focused on a specific question.", "prompt_issues": "Lacks clarity in terms of expected format and context.", "response_strengths": "Directly answers the question.", "response_issues": "Too brief and lacks explanation or context.", "prompt_rewrite": "[MODE:summary] Berikan jawaban singkat dan jelas untuk pertanyaan berikut: Apa dampak dari learning rate kecil dalam konteks stabilitas dan kecepatan konvergensi?", "response_improvement_suggestions": "Provide a more detailed explanation of why a small learning rate is considered slow.", "verdict": "fair", "needs_human_review": false}</t>
  </si>
  <si>
    <t>[MODE:summary_code_explanation]
[ASSESSMENT_ID:1771cf81-0a65-11f1-b762-3e0936ad7efb]
[FORCE_GPT:true]
[AUTO_FALLBACK:true]
from sklearn.metrics import precision_score
precision = precision_score(y, y_pred)
tolong bantu saya  berikan code untuk Cobalah hitung recall dari classifier Anda.</t>
  </si>
  <si>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</si>
  <si>
    <t>Could specify the type of classifier for more tailored help.</t>
  </si>
  <si>
    <t>Bantu saya hitung recall dari classifier saya dengan kode Python.</t>
  </si>
  <si>
    <t>{"prompt_score": 4, "response_score": 5, "overall_score": 5, "prompt_strengths": "Clear request for code and context provided.", "prompt_issues": "Could specify the type of classifier for more tailored help.", "response_strengths": "Correct and complete explanation with relevant code.", "response_issues": "None.", "prompt_rewrite": "Bantu saya hitung recall dari classifier saya dengan kode Python.", "response_improvement_suggestions": "None needed; response is already clear and complete.", "verdict": "excellent", "needs_human_review": false}</t>
  </si>
  <si>
    <t>[MODE:summary_code_explanation]
saya mau bertanya untuk menjawab pertanyaan refleksi, bagaimana perbandingan performance antara Logistic Regression dengan Random Forest? mohon jelaskan secara singkat, padat, dan jelas</t>
  </si>
  <si>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</si>
  <si>
    <t>Clear and specific request for comparison.</t>
  </si>
  <si>
    <t>Thorough, clear, and well-structured explanation with practical examples.</t>
  </si>
  <si>
    <t>None significant; could include more specific metrics or examples.</t>
  </si>
  <si>
    <t>Bagaimana perbandingan performa Logistic Regression dan Random Forest dalam konteks klasifikasi? Mohon jelaskan secara singkat dan jelas.</t>
  </si>
  <si>
    <t>Consider adding specific examples of datasets where each model excels.</t>
  </si>
  <si>
    <t>{"prompt_score": 4, "response_score": 5, "overall_score": 5, "prompt_strengths": "Clear and specific request for comparison.", "prompt_issues": "Could provide more context on the audience's knowledge level.", "response_strengths": "Thorough, clear, and well-structured explanation with practical examples.", "response_issues": "None significant; could include more specific metrics or examples.", "prompt_rewrite": "Bagaimana perbandingan performa Logistic Regression dan Random Forest dalam konteks klasifikasi? Mohon jelaskan secara singkat dan jelas.", "response_improvement_suggestions": "Consider adding specific examples of datasets where each model excels.", "verdict": "excellent", "needs_human_review": false}</t>
  </si>
  <si>
    <t>[MODE:code]
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</si>
  <si>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</si>
  <si>
    <t>```python
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
```</t>
  </si>
  <si>
    <t>In Python, I have imported pandas as pd and partially imported scikit-learn. What additional imports do I need to calculate the ROC AUC for a RandomForestClassifier named forest_clf, using cross-validation predictions stored in y_probas_forest?</t>
  </si>
  <si>
    <t>Consider adding comments to explain each step of the code.</t>
  </si>
  <si>
    <t>{"prompt_score": 4, "response_score": 5, "overall_score": 5, "prompt_strengths": "Clear and specific about the task.", "prompt_issues": "Could provide more context about the dataset.", "response_strengths": "Correct and complete code with clear explanations.", "response_issues": "None.", "prompt_rewrite": "In Python, I have imported pandas as pd and partially imported scikit-learn. What additional imports do I need to calculate the ROC AUC for a RandomForestClassifier named forest_clf, using cross-validation predictions stored in y_probas_forest?", "response_improvement_suggestions": "Consider adding comments to explain each step of the code.", "verdict": "excellent", "needs_human_review": false}</t>
  </si>
  <si>
    <t>[MODE:code]
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</si>
  <si>
    <t># Correlation matrix (pandas memakai .corr(), bukan .correlation())
correlation_matrix = dataframe.corr(numeric_only=True)
print(correlation_matrix)</t>
  </si>
  <si>
    <t>```python
# Correlation matrix (pandas memakai .corr(), bukan .correlation())
correlation_matrix = dataframe.corr(numeric_only=True)
print(correlation_matrix)
```</t>
  </si>
  <si>
    <t>Could be clearer about the expected output.</t>
  </si>
  <si>
    <t>Directly addresses the error with a correct solution.</t>
  </si>
  <si>
    <t>Could include a brief explanation of the correction.</t>
  </si>
  <si>
    <t>Saya mengalami kesalahan AttributeError saat mencoba membuat correlation matrix. Berikut adalah pesan kesalahan: ... Apa yang salah dan bagaimana cara memperbaikinya?</t>
  </si>
  <si>
    <t>Add a brief explanation of why .corr() is used instead of .correlation().</t>
  </si>
  <si>
    <t>{"prompt_score": 3, "response_score": 5, "overall_score": 4, "prompt_strengths": "Provides context and specific error message.", "prompt_issues": "Could be clearer about the expected output.", "response_strengths": "Directly addresses the error with a correct solution.", "response_issues": "Could include a brief explanation of the correction.", "prompt_rewrite": "Saya mengalami kesalahan AttributeError saat mencoba membuat correlation matrix. Berikut adalah pesan kesalahan: ... Apa yang salah dan bagaimana cara memperbaikinya?", "response_improvement_suggestions": "Add a brief explanation of why .corr() is used instead of .correlation().", "verdict": "good", "needs_human_review": false}</t>
  </si>
  <si>
    <t>[MODE:summary_code_explanation]
[ASSESSMENT_ID:1771cf87-0a65-11f1-b762-3e0936ad7efb]
[FORCE_GPT:true]
[AUTO_FALLBACK:true]
def gradient_descent(X, y, theta, eta, num_iters):
    m = y.size
    MSE_history = np.zeros(num_iters)
    for i in range(num_iters):
        # ===================== Write Your Code Here =====================
        # Instruksi : update theta dengan batch gradient descent
    return theta, MSE_history</t>
  </si>
  <si>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</si>
  <si>
    <t>Clear instructions for code implementation.</t>
  </si>
  <si>
    <t>Accurate and complete explanation of the gradient descent algorithm.</t>
  </si>
  <si>
    <t>Could improve clarity by breaking down complex terms further.</t>
  </si>
  <si>
    <t>Explain the purpose of the gradient descent function and provide specific constraints for the implementation.</t>
  </si>
  <si>
    <t>Consider adding examples or visual aids to clarify the concepts further.</t>
  </si>
  <si>
    <t>{"prompt_score": 4, "response_score": 5, "overall_score": 4, "prompt_strengths": "Clear instructions for code implementation.", "prompt_issues": "Could provide more context on the purpose of the function.", "response_strengths": "Accurate and complete explanation of the gradient descent algorithm.", "response_issues": "Could improve clarity by breaking down complex terms further.", "prompt_rewrite": "Explain the purpose of the gradient descent function and provide specific constraints for the implementation.", "response_improvement_suggestions": "Consider adding examples or visual aids to clarify the concepts further.", "verdict": "good", "needs_human_review": false}</t>
  </si>
  <si>
    <t>[MODE:summary]
[ASSESSMENT_ID:1771cf81-0a65-11f1-b762-3e0936ad7efb]
[FORCE_GPT:true]
[AUTO_FALLBACK:true]
Ada berapa jumlah setting hyperparameter yang akan diujicobakan dari param_grid? tolong berikan jawaban pada pertnayaan refleksi dibawah ini dengan benar, jelas, dan terstruktur serta tersusun rapih hasil jawaban diatas</t>
  </si>
  <si>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</si>
  <si>
    <t>Clear and specific request for structured information.</t>
  </si>
  <si>
    <t>Could provide more context on the type of hyperparameters.</t>
  </si>
  <si>
    <t>Accurate, clear, and provides a structured explanation.</t>
  </si>
  <si>
    <t>[MODE:summary] [ASSESSMENT_ID:1771cf81-0a65-11f1-b762-3e0936ad7efb] [FORCE_GPT:true] [AUTO_FALLBACK:true] Berapa jumlah setting hyperparameter yang akan diujicobakan dari param_grid? Mohon berikan jawaban yang jelas dan terstruktur, serta contoh jika perlu.</t>
  </si>
  <si>
    <t>Include a brief example of a param_grid to enhance understanding.</t>
  </si>
  <si>
    <t>{"prompt_score": 4, "response_score": 5, "overall_score": 5, "prompt_strengths": "Clear and specific request for structured information.", "prompt_issues": "Could provide more context on the type of hyperparameters.", "response_strengths": "Accurate, clear, and provides a structured explanation.", "response_issues": "None.", "prompt_rewrite": "[MODE:summary] [ASSESSMENT_ID:1771cf81-0a65-11f1-b762-3e0936ad7efb] [FORCE_GPT:true] [AUTO_FALLBACK:true] Berapa jumlah setting hyperparameter yang akan diujicobakan dari param_grid? Mohon berikan jawaban yang jelas dan terstruktur, serta contoh jika perlu.", "response_improvement_suggestions": "Include a brief example of a param_grid to enhance understanding.", "verdict": "excellent", "needs_human_review": false}</t>
  </si>
  <si>
    <t>[MODE:summary_code_explanation]
Buatkan penjelasan inshight tentang distribusi biaya asuransi berdsarkan data program dibawah ini
plt.figure(figsize=(6,4))
sns.histplot(df['charges'], bins=30, kde=True)
plt.title("Distribusi Biaya Asuransi")
plt.xlabel("Charges")
plt.ylabel("Frekuensi")
plt.show()</t>
  </si>
  <si>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</si>
  <si>
    <t>Clear and specific request for analysis of insurance cost distribution.</t>
  </si>
  <si>
    <t>Could provide more context on the dataset or specific aspects to focus on.</t>
  </si>
  <si>
    <t>Thorough explanation with relevant insights and clear structure.</t>
  </si>
  <si>
    <t>Buatkan penjelasan insight tentang distribusi biaya asuransi berdasarkan data program di bawah ini, termasuk analisis tentang outlier dan implikasi untuk modeling.</t>
  </si>
  <si>
    <t>Consider adding visual interpretation tips for the histogram.</t>
  </si>
  <si>
    <t>{"prompt_score": 4, "response_score": 5, "overall_score": 5, "prompt_strengths": "Clear and specific request for analysis of insurance cost distribution.", "prompt_issues": "Could provide more context on the dataset or specific aspects to focus on.", "response_strengths": "Thorough explanation with relevant insights and clear structure.", "response_issues": "None significant; response is comprehensive.", "prompt_rewrite": "Buatkan penjelasan insight tentang distribusi biaya asuransi berdasarkan data program di bawah ini, termasuk analisis tentang outlier dan implikasi untuk modeling.", "response_improvement_suggestions": "Consider adding visual interpretation tips for the histogram.", "verdict": "excellent", "needs_human_review": false}</t>
  </si>
  <si>
    <t>[MODE:summary_code_explanation]
The rest of the ROC graph looks similar between logisticregression and randomforest, so from this, what can I determine about the performance comparison between logisticregression(sgd) and randomforest?</t>
  </si>
  <si>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</si>
  <si>
    <t>Clear and specific about the models and comparison needed.</t>
  </si>
  <si>
    <t>Could provide more context on the dataset or specific metrics of interest.</t>
  </si>
  <si>
    <t>Highly relevant, correct, and comprehensive with clear explanations and practical code examples.</t>
  </si>
  <si>
    <t>[MODE:summary_code_explanation] Given the ROC curves for LogisticRegression(SGD) and RandomForest are similar, how should I compare their performance? Please consider specific metrics and practical implications.</t>
  </si>
  <si>
    <t>{"prompt_score": 4, "response_score": 5, "overall_score": 5, "prompt_strengths": "Clear and specific about the models and comparison needed.", "prompt_issues": "Could provide more context on the dataset or specific metrics of interest.", "response_strengths": "Highly relevant, correct, and comprehensive with clear explanations and practical code examples.", "response_issues": "Could be slightly more concise in some explanations.", "prompt_rewrite": "[MODE:summary_code_explanation] Given the ROC curves for LogisticRegression(SGD) and RandomForest are similar, how should I compare their performance? Please consider specific metrics and practical implications.", "response_improvement_suggestions": "Consider summarizing key points more concisely to enhance readability.", "verdict": "excellent", "needs_human_review": false}</t>
  </si>
  <si>
    <t>[MODE:code]
data sudah dilakukan clustering sesuai kategorinya, lalu sekarang buat kode pipeline untuk melakukan preprocessing dan SVR (svr_pipeline)</t>
  </si>
  <si>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</si>
  <si>
    <t>```python
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
```</t>
  </si>
  <si>
    <t>Clear request for a coding task with specific components.</t>
  </si>
  <si>
    <t>Well-structured code that addresses the prompt effectively.</t>
  </si>
  <si>
    <t>Could include comments for better clarity on each step.</t>
  </si>
  <si>
    <t>Buat kode pipeline untuk preprocessing dan SVR (svr_pipeline) berdasarkan dataset clustering yang sudah ada, sertakan detail tentang dataset.</t>
  </si>
  <si>
    <t>Add comments explaining each section of the code for better understanding.</t>
  </si>
  <si>
    <t>{"prompt_score": 4, "response_score": 5, "overall_score": 4, "prompt_strengths": "Clear request for a coding task with specific components.", "prompt_issues": "Could provide more context on the dataset or specific requirements.", "response_strengths": "Well-structured code that addresses the prompt effectively.", "response_issues": "Could include comments for better clarity on each step.", "prompt_rewrite": "Buat kode pipeline untuk preprocessing dan SVR (svr_pipeline) berdasarkan dataset clustering yang sudah ada, sertakan detail tentang dataset.", "response_improvement_suggestions": "Add comments explaining each section of the code for better understanding.", "verdict": "good", "needs_human_review": false}</t>
  </si>
  <si>
    <t>[MODE:code]
apa jawaban dari soal berikut Mini-batch GD adalah kombinasi
*
Batch &amp; SGD
Linear &amp; logistic
Ridge &amp; Lasso
PCA &amp; SVD</t>
  </si>
  <si>
    <t>Batch &amp; SGD</t>
  </si>
  <si>
    <t>Identifies a specific topic in machine learning.</t>
  </si>
  <si>
    <t>Lacks clarity and context for the question.</t>
  </si>
  <si>
    <t>Directly answers part of the question.</t>
  </si>
  <si>
    <t>Incomplete and lacks explanation.</t>
  </si>
  <si>
    <t>[MODE:code] Apa jawaban dari soal berikut: Sebutkan kombinasi yang tepat dari Mini-batch GD, Batch, dan SGD dalam konteks pembelajaran mesin.</t>
  </si>
  <si>
    <t>Provide a more comprehensive answer that includes explanations for each term.</t>
  </si>
  <si>
    <t>{"prompt_score": 3, "response_score": 3, "overall_score": 3, "prompt_strengths": "Identifies a specific topic in machine learning.", "prompt_issues": "Lacks clarity and context for the question.", "response_strengths": "Directly answers part of the question.", "response_issues": "Incomplete and lacks explanation.", "prompt_rewrite": "[MODE:code] Apa jawaban dari soal berikut: Sebutkan kombinasi yang tepat dari Mini-batch GD, Batch, dan SGD dalam konteks pembelajaran mesin.", "response_improvement_suggestions": "Provide a more comprehensive answer that includes explanations for each term.", "verdict": "fair", "needs_human_review": false}</t>
  </si>
  <si>
    <t>[MODE:summary]
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</si>
  <si>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</si>
  <si>
    <t>Clear and specific about the question and context.</t>
  </si>
  <si>
    <t>Thorough explanation, clear and relevant to the question.</t>
  </si>
  <si>
    <t>[MODE:summary] Explain the purpose of feature scaling in machine learning to someone with no experience. Include the correct answer from the following options: To delete outlier, To make all features to be in the same scale, To change the label, To delete the dataset.</t>
  </si>
  <si>
    <t>Consider summarizing the explanation to focus on key points to enhance clarity.</t>
  </si>
  <si>
    <t>{"prompt_score": 4, "response_score": 5, "overall_score": 4, "prompt_strengths": "Clear and specific about the question and context.", "prompt_issues": "Could be more concise and focused on the main question.", "response_strengths": "Thorough explanation, clear and relevant to the question.", "response_issues": "Could be slightly more concise.", "prompt_rewrite": "[MODE:summary] Explain the purpose of feature scaling in machine learning to someone with no experience. Include the correct answer from the following options: To delete outlier, To make all features to be in the same scale, To change the label, To delete the dataset.", "response_improvement_suggestions": "Consider summarizing the explanation to focus on key points to enhance clarity.", "verdict": "good", "needs_human_review": false}</t>
  </si>
  <si>
    <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</si>
  <si>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</si>
  <si>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Clear and specific instructions for feature engineering and data preparation.</t>
  </si>
  <si>
    <t>Thorough and correct implementation of the requested features and data preparation steps.</t>
  </si>
  <si>
    <t>Could improve clarity in some explanations and provide more comments in the code.</t>
  </si>
  <si>
    <t>[MODE:summary] ## Bagian 3 - Feature Engineering dan Persiapan Data Untuk dataset yang berisi informasi tentang kinerja siswa,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</si>
  <si>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Add more comments in the code to enhance clarity and understanding for users unfamiliar with the context.</t>
  </si>
  <si>
    <t>{"prompt_score": 4, "response_score": 5, "overall_score": 4, "prompt_strengths": "Clear and specific instructions for feature engineering and data preparation.", "prompt_issues": "Could provide more context on the dataset and its purpose.", "response_strengths": "Thorough and correct implementation of the requested features and data preparation steps.", "response_issues": "Could improve clarity in some explanations and provide more comments in the code.", "prompt_rewrite": "[MODE:summary] ## Bagian 3 - Feature Engineering dan Persiapan Data Untuk dataset yang berisi informasi tentang kinerja siswa,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"response_improvement_suggestions": "Add more comments in the code to enhance clarity and understanding for users unfamiliar with the context.", "verdict": "good", "needs_human_review": false}</t>
  </si>
  <si>
    <t>[MODE:code]
setelah berhasil membaca dataset, didalam dataset terdapat kolom; age, sex, bmi, children, smoker, region dan charges. Saya ingin membuat scatterplot untuk melihat pengaruh bmi terhadap charges</t>
  </si>
  <si>
    <t>import matplotlib.pyplot as plt
import seaborn as sns
# df = pd.read_csv("your_dataset.csv")  # pastikan df sudah ada
plt.figure(figsize=(8, 5))
sns.scatterplot(data=df, x="bmi", y="charges", alpha=0.7)
plt.title("Scatterplot BMI vs Charges")
plt.xlabel("BMI")
plt.ylabel("Charges")
plt.tight_layout()
plt.show()</t>
  </si>
  <si>
    <t>```python
import matplotlib.pyplot as plt
import seaborn as sns
# df = pd.read_csv("your_dataset.csv")  # pastikan df sudah ada
plt.figure(figsize=(8, 5))
sns.scatterplot(data=df, x="bmi", y="charges", alpha=0.7)
plt.title("Scatterplot BMI vs Charges")
plt.xlabel("BMI")
plt.ylabel("Charges")
plt.tight_layout()
plt.show()
```</t>
  </si>
  <si>
    <t>Clear and specific about the dataset and desired output.</t>
  </si>
  <si>
    <t>Could provide more context on the dataset source.</t>
  </si>
  <si>
    <t>Correctly implements a scatterplot with appropriate libraries and parameters.</t>
  </si>
  <si>
    <t>Assumes the dataset is already loaded without clarification.</t>
  </si>
  <si>
    <t>[MODE:code] Setelah berhasil membaca dataset yang berisi kolom; age, sex, bmi, children, smoker, region, dan charges dari file CSV, saya ingin membuat scatterplot untuk melihat pengaruh bmi terhadap charges.</t>
  </si>
  <si>
    <t>Include a line to load the dataset and check for missing values before plotting.</t>
  </si>
  <si>
    <t>{"prompt_score": 4, "response_score": 5, "overall_score": 4, "prompt_strengths": "Clear and specific about the dataset and desired output.", "prompt_issues": "Could provide more context on the dataset source.", "response_strengths": "Correctly implements a scatterplot with appropriate libraries and parameters.", "response_issues": "Assumes the dataset is already loaded without clarification.", "prompt_rewrite": "[MODE:code] Setelah berhasil membaca dataset yang berisi kolom; age, sex, bmi, children, smoker, region, dan charges dari file CSV, saya ingin membuat scatterplot untuk melihat pengaruh bmi terhadap charges.", "response_improvement_suggestions": "Include a line to load the dataset and check for missing values before plotting.", "verdict": "good", "needs_human_review": false}</t>
  </si>
  <si>
    <t>[MODE:code]
saya membutuhkan kode utnuk membuat pairplot yang menghubungkan antarfitur sekaligus menggunakan librasi sns dengan atribut pairplot dan hue='class'</t>
  </si>
  <si>
    <t>Clear request for code with specific requirements.</t>
  </si>
  <si>
    <t>Could provide more context about the dataframe.</t>
  </si>
  <si>
    <t>Correct use of seaborn for pairplot with hue.</t>
  </si>
  <si>
    <t>Assumes 'dataframe' is defined without explanation.</t>
  </si>
  <si>
    <t>Saya membutuhkan kode untuk membuat pairplot yang menghubungkan antarfitur menggunakan librari sns dengan atribut pairplot dan hue='class' pada dataframe yang berisi data saya.</t>
  </si>
  <si>
    <t>Include a brief explanation of how to define 'dataframe' or provide an example.</t>
  </si>
  <si>
    <t>{"prompt_score": 4, "response_score": 4, "overall_score": 4, "prompt_strengths": "Clear request for code with specific requirements.", "prompt_issues": "Could provide more context about the dataframe.", "response_strengths": "Correct use of seaborn for pairplot with hue.", "response_issues": "Assumes 'dataframe' is defined without explanation.", "prompt_rewrite": "Saya membutuhkan kode untuk membuat pairplot yang menghubungkan antarfitur menggunakan librari sns dengan atribut pairplot dan hue='class' pada dataframe yang berisi data saya.", "response_improvement_suggestions": "Include a brief explanation of how to define 'dataframe' or provide an example.", "verdict": "good", "needs_human_review": false}</t>
  </si>
  <si>
    <t>[MODE:summary_code_explanation]
I'm trying to determine the score differences between using SGD and RandomForest. Which part of Random Forest is when the algorithm does the "random" thing? Because from what I can see, the ROC graph of SGD starts from above and RandomForest starts from low.</t>
  </si>
  <si>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</si>
  <si>
    <t>Clear and specific about the comparison between SGD and RandomForest.</t>
  </si>
  <si>
    <t>Thorough explanation of Random Forest's randomness and detailed comparison with SGD, including code example.</t>
  </si>
  <si>
    <t>Could briefly summarize key points at the end for clarity.</t>
  </si>
  <si>
    <t>Can you explain the differences in scoring between SGD and RandomForest, particularly focusing on the randomness in Random Forest and how it affects ROC curves? Also, what factors might cause the ROC curve of SGD to start higher than that of RandomForest?</t>
  </si>
  <si>
    <t>Add a brief summary of key points at the end to reinforce understanding.</t>
  </si>
  <si>
    <t>{"prompt_score": 4, "response_score": 5, "overall_score": 5, "prompt_strengths": "Clear and specific about the comparison between SGD and RandomForest.", "prompt_issues": "Could provide more context on the dataset or specific metrics of interest.", "response_strengths": "Thorough explanation of Random Forest's randomness and detailed comparison with SGD, including code example.", "response_issues": "Could briefly summarize key points at the end for clarity.", "prompt_rewrite": "Can you explain the differences in scoring between SGD and RandomForest, particularly focusing on the randomness in Random Forest and how it affects ROC curves? Also, what factors might cause the ROC curve of SGD to start higher than that of RandomForest?", "response_improvement_suggestions": "Add a brief summary of key points at the end to reinforce understanding.", "verdict": "excellent", "needs_human_review": false}</t>
  </si>
  <si>
    <t>[MODE:summary_code_explanation]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</si>
  <si>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</si>
  <si>
    <t>Clear structure and specific insights.</t>
  </si>
  <si>
    <t>Summarizes key insights effectively.</t>
  </si>
  <si>
    <t>Lacks additional code or examples.</t>
  </si>
  <si>
    <t>Buat ringkasan singkat tentang distribusi `charges` dan faktor-faktor yang mempengaruhi, termasuk perokok, usia, dan BMI.</t>
  </si>
  <si>
    <t>Include a brief code example or visualization to enhance understanding.</t>
  </si>
  <si>
    <t>{"prompt_score": 4, "response_score": 4, "overall_score": 4, "prompt_strengths": "Clear structure and specific insights.", "prompt_issues": "Could be more concise.", "response_strengths": "Summarizes key insights effectively.", "response_issues": "Lacks additional code or examples.", "prompt_rewrite": "Buat ringkasan singkat tentang distribusi `charges` dan faktor-faktor yang mempengaruhi, termasuk perokok, usia, dan BMI.", "response_improvement_suggestions": "Include a brief code example or visualization to enhance understanding.", "verdict": "good", "needs_human_review": false}</t>
  </si>
  <si>
    <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</si>
  <si>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</si>
  <si>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Clear instructions for visualizing data and model testing.</t>
  </si>
  <si>
    <t>Could provide more context on the dataset or specific goals.</t>
  </si>
  <si>
    <t>Thorough explanation and complete code for polynomial model testing.</t>
  </si>
  <si>
    <t>Could include more details on interpreting the metrics.</t>
  </si>
  <si>
    <t>[MODE:summary_code_explanation] # Visualisasi data train/test dan kurva baseline. Berikan konteks dataset dan tujuan analisis. plt.figure(figsize=(8, 5)) ... buatkan test model polynomial.</t>
  </si>
  <si>
    <t>Add explanations for interpreting MSE, RMSE, and R² metrics.</t>
  </si>
  <si>
    <t>{"prompt_score": 4, "response_score": 5, "overall_score": 4, "prompt_strengths": "Clear instructions for visualizing data and model testing.", "prompt_issues": "Could provide more context on the dataset or specific goals.", "response_strengths": "Thorough explanation and complete code for polynomial model testing.", "response_issues": "Could include more details on interpreting the metrics.", "prompt_rewrite": "[MODE:summary_code_explanation] # Visualisasi data train/test dan kurva baseline. Berikan konteks dataset dan tujuan analisis. plt.figure(figsize=(8, 5)) ... buatkan test model polynomial.", "response_improvement_suggestions": "Add explanations for interpreting MSE, RMSE, and R² metrics.", "verdict": "good", "needs_human_review": false}</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</si>
  <si>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</si>
  <si>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</si>
  <si>
    <t>Could be more concise; some sections are overly verbose.</t>
  </si>
  <si>
    <t>Clear breakdown of additional functions and their purposes.</t>
  </si>
  <si>
    <t>Could improve on naming suggestions for clarity.</t>
  </si>
  <si>
    <t>[MODE:summary] EXPLANATION PRAKTIKUM 02 ========================= = ClusterSimilarity= 1) Apa yang dilakukan ClusterSimilarity untuk latitude dan longitude? - Input: dua kolom latitude dan longitude. - Tujuan: mengubah lat/long menjadi fitur yang menunjukkan kedekatan dengan cluster. 2) Cara kerja fit() - Menjalankan KMeans untuk membagi lokasi menjadi n_clusters. - Menghasilkan pusat cluster yang disimpan di self.kmeans_.cluster_centers_. 3) Cara kerja transform() - Menghitung kedekatan ke pusat cluster menggunakan RBF kernel. - Output: matriks (jumlah_rumah, n_clusters). 4) Contoh intuitif - Misal n_clusters = 3, output: [0.05, 0.92, 0.10]. 5) Kenapa ini berguna? - Memudahkan model belajar dari fitur kedekatan daripada lat/long mentah. = Fungsi Tambahan untuk class ClusterSimilarity = - Cara kerja "get" column ratio from (X) and return X[:, [0]] / X[:, [1]] - Cara kerja "get" ratio name from (function_transformer, feature_names_in) and return ["ratio"] - Cara kerja "ratio_pipeline" and return make_pipeline with parameter SimpleImputer(strategy="median), Function Transformer(column_ratio, feature_names_out=ratio_name), StandardScaler.</t>
  </si>
  <si>
    <t>Provide specific naming examples for the ratio features to enhance clarity.</t>
  </si>
  <si>
    <t>{"prompt_score": 4, "response_score": 4, "overall_score": 4, "prompt_strengths": "Detailed explanation of ClusterSimilarity and its functions.", "prompt_issues": "Could be more concise; some sections are overly verbose.", "response_strengths": "Clear breakdown of additional functions and their purposes.", "response_issues": "Could improve on naming suggestions for clarity.", "prompt_rewrite": "[MODE:summary] EXPLANATION PRAKTIKUM 02 ========================= = ClusterSimilarity= 1) Apa yang dilakukan ClusterSimilarity untuk latitude dan longitude? - Input: dua kolom latitude dan longitude. - Tujuan: mengubah lat/long menjadi fitur yang menunjukkan kedekatan dengan cluster. 2) Cara kerja fit() - Menjalankan KMeans untuk membagi lokasi menjadi n_clusters. - Menghasilkan pusat cluster yang disimpan di self.kmeans_.cluster_centers_. 3) Cara kerja transform() - Menghitung kedekatan ke pusat cluster menggunakan RBF kernel. - Output: matriks (jumlah_rumah, n_clusters). 4) Contoh intuitif - Misal n_clusters = 3, output: [0.05, 0.92, 0.10]. 5) Kenapa ini berguna? - Memudahkan model belajar dari fitur kedekatan daripada lat/long mentah. = Fungsi Tambahan untuk class ClusterSimilarity = - Cara kerja \"get\" column ratio from (X) and return X[:, [0]] / X[:, [1]] - Cara kerja \"get\" ratio name from (function_transformer, feature_names_in) and return [\"ratio\"] - Cara kerja \"ratio_pipeline\" and return make_pipeline with parameter SimpleImputer(strategy=\"median), Function Transformer(column_ratio, feature_names_out=ratio_name), StandardScaler.", "response_improvement_suggestions": "Provide specific naming examples for the ratio features to enhance clarity.", "verdict": "good", "needs_human_review": false}</t>
  </si>
  <si>
    <t>[MODE:code]
Apa fungsi df.isnull().sum()?
*
Menghitung missing value tiap kolom
Menghapus dataset
Menghapus missing value
Menghitung fitur</t>
  </si>
  <si>
    <t>Menghitung missing value tiap kolom</t>
  </si>
  <si>
    <t>```text
Menghitung missing value tiap kolom
```</t>
  </si>
  <si>
    <t>Clear and specific question about a function.</t>
  </si>
  <si>
    <t>Could provide more context about the dataset or usage.</t>
  </si>
  <si>
    <t>Could elaborate on the function's significance.</t>
  </si>
  <si>
    <t>[MODE:code] Apa fungsi df.isnull().sum() dalam konteks analisis data? * Menghitung missing value tiap kolom Menghapus dataset Menghapus missing value Menghitung fitur</t>
  </si>
  <si>
    <t>Add a brief explanation of why counting missing values is important.</t>
  </si>
  <si>
    <t>{"prompt_score": 4, "response_score": 5, "overall_score": 4, "prompt_strengths": "Clear and specific question about a function.", "prompt_issues": "Could provide more context about the dataset or usage.", "response_strengths": "Directly answers the question correctly.", "response_issues": "Could elaborate on the function's significance.", "prompt_rewrite": "[MODE:code] Apa fungsi df.isnull().sum() dalam konteks analisis data? * Menghitung missing value tiap kolom Menghapus dataset Menghapus missing value Menghitung fitur", "response_improvement_suggestions": "Add a brief explanation of why counting missing values is important.", "verdict": "good", "needs_human_review": false}</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</si>
  <si>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</si>
  <si>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</si>
  <si>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Correct implementation with clear explanations.</t>
  </si>
  <si>
    <t>{"prompt_score": 5, "response_score": 5, "overall_score": 5, "prompt_strengths": "Clear instructions with specific requirements.", "prompt_issues": "None.", "response_strengths": "Correct implementation with clear explanations.", "response_issues": "None.", "prompt_rewrite": "N/A", "response_improvement_suggestions": "N/A", "verdict": "excellent", "needs_human_review": false}</t>
  </si>
  <si>
    <t>[MODE:code]
Mari kita buat pipeline untuk memproses kolom yang bertipe categorical.
jelaskan apa yang harus dikerjakan dari perintah tersebut</t>
  </si>
  <si>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</si>
  <si>
    <t>```python
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
```</t>
  </si>
  <si>
    <t>Clear and specific request for a coding task.</t>
  </si>
  <si>
    <t>Comprehensive, correct, and well-structured code with clear explanations.</t>
  </si>
  <si>
    <t>None significant; could include more comments for clarity.</t>
  </si>
  <si>
    <t>Buatlah pipeline untuk memproses kolom bertipe categorical dalam dataset housing_dataset.csv, jelaskan langkah-langkah yang harus dilakukan.</t>
  </si>
  <si>
    <t>Add more comments to explain each step for beginners.</t>
  </si>
  <si>
    <t>{"prompt_score": 4, "response_score": 5, "overall_score": 5, "prompt_strengths": "Clear and specific request for a coding task.", "prompt_issues": "Could provide more context on the dataset or specific requirements.", "response_strengths": "Comprehensive, correct, and well-structured code with clear explanations.", "response_issues": "None significant; could include more comments for clarity.", "prompt_rewrite": "Buatlah pipeline untuk memproses kolom bertipe categorical dalam dataset housing_dataset.csv, jelaskan langkah-langkah yang harus dilakukan.", "response_improvement_suggestions": "Add more comments to explain each step for beginners.", "verdict": "excellent", "needs_human_review": false}</t>
  </si>
  <si>
    <t>[MODE:code]
Linear Regression: Sekarang, kita akan lihat hasil dari model yang di train menggunakan linear regression</t>
  </si>
  <si>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</si>
  <si>
    <t>```python
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
```</t>
  </si>
  <si>
    <t>Lacks specific details on the dataset and expected output.</t>
  </si>
  <si>
    <t>The response provides a complete and correct implementation of linear regression.</t>
  </si>
  <si>
    <t>Could improve clarity by adding comments and explanations for each step.</t>
  </si>
  <si>
    <t>Provide a dataset and specify the expected output format for the linear regression model.</t>
  </si>
  <si>
    <t>{"prompt_score": 3, "response_score": 4, "overall_score": 3, "prompt_strengths": "The prompt specifies the task and context clearly.", "prompt_issues": "Lacks specific details on the dataset and expected output.", "response_strengths": "The response provides a complete and correct implementation of linear regression.", "response_issues": "Could improve clarity by adding comments and explanations for each step.", "prompt_rewrite": "Provide a dataset and specify the expected output format for the linear regression model.", "response_improvement_suggestions": "Add comments to explain each part of the code for better clarity.", "verdict": "good", "needs_human_review": false}</t>
  </si>
  <si>
    <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</si>
  <si>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</si>
  <si>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```python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t>
  </si>
  <si>
    <t>Could specify expected output format for normalization.</t>
  </si>
  <si>
    <t>Correct implementation of feature normalization with clarity.</t>
  </si>
  <si>
    <t>Kita akan gunakan data ex1data2.txt: Kolom 1: ukuran rumah (sq-ft) Kolom 2: jumlah kamar tidur Kolom 3: harga rumah. Data = np.loadtxt('ex1data2.txt', delimiter=','). X = data[:, :2], y = data[:, 2]. Hitung mean dan standar deviasi untuk normalisasi. Tampilkan hasil normalisasi X_norm, mu, dan sigma.</t>
  </si>
  <si>
    <t>{"prompt_score": 4, "response_score": 5, "overall_score": 5, "prompt_strengths": "Clear instructions and context provided.", "prompt_issues": "Could specify expected output format for normalization.", "response_strengths": "Correct implementation of feature normalization with clarity.", "response_issues": "None.", "prompt_rewrite": "Kita akan gunakan data ex1data2.txt: Kolom 1: ukuran rumah (sq-ft) Kolom 2: jumlah kamar tidur Kolom 3: harga rumah. Data = np.loadtxt('ex1data2.txt', delimiter=','). X = data[:, :2], y = data[:, 2]. Hitung mean dan standar deviasi untuk normalisasi. Tampilkan hasil normalisasi X_norm, mu, dan sigma.", "response_improvement_suggestions": "None needed; response is complete.", "verdict": "excellent", "needs_human_review": false}</t>
  </si>
  <si>
    <t>[MODE:code]
baiklah selanjutnya:
Buatlah model yang merupakan model LogisticRegression dengan parameter solver adalah liblinear.
model = LogisticRegression = ? tolong berikan jawaban yang tepat dan akurat</t>
  </si>
  <si>
    <t>model = LogisticRegression(solver="liblinear")</t>
  </si>
  <si>
    <t>```python
model = LogisticRegression(solver="liblinear")
```</t>
  </si>
  <si>
    <t>Clear request for a specific model with parameters.</t>
  </si>
  <si>
    <t>Correct and clear implementation of the model.</t>
  </si>
  <si>
    <t>Buat model LogisticRegression dengan solver 'liblinear'. Apa kodenya?</t>
  </si>
  <si>
    <t>No improvements needed; response is accurate.</t>
  </si>
  <si>
    <t>{"prompt_score": 4, "response_score": 5, "overall_score": 4, "prompt_strengths": "Clear request for a specific model with parameters.", "prompt_issues": "Could be more concise and structured.", "response_strengths": "Correct and clear implementation of the model.", "response_issues": "None.", "prompt_rewrite": "Buat model LogisticRegression dengan solver 'liblinear'. Apa kodenya?", "response_improvement_suggestions": "No improvements needed; response is accurate.", "verdict": "excellent", "needs_human_review": false}</t>
  </si>
  <si>
    <t>[MODE:code]
[ASSESSMENT_ID:1771cf8e-0a65-11f1-b762-3e0936ad7efb]
[FORCE_GPT:true]
[AUTO_FALLBACK:true]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</si>
  <si>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</si>
  <si>
    <t>```python
#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
```</t>
  </si>
  <si>
    <t>Identifies a specific issue with the heatmap.</t>
  </si>
  <si>
    <t>Lacks clarity and context regarding the data structure.</t>
  </si>
  <si>
    <t>Provides a corrected code snippet that addresses the issue.</t>
  </si>
  <si>
    <t>Could include more explanation of changes made.</t>
  </si>
  <si>
    <t>Fix the heatmap so that the 'age' column appears correctly on the axes.</t>
  </si>
  <si>
    <t>Add comments explaining the changes made to the code.</t>
  </si>
  <si>
    <t>{"prompt_score": 3, "response_score": 4, "overall_score": 4, "prompt_strengths": "Identifies a specific issue with the heatmap.", "prompt_issues": "Lacks clarity and context regarding the data structure.", "response_strengths": "Provides a corrected code snippet that addresses the issue.", "response_issues": "Could include more explanation of changes made.", "prompt_rewrite": "Fix the heatmap so that the 'age' column appears correctly on the axes.", "response_improvement_suggestions": "Add comments explaining the changes made to the code.", "verdict": "good", "needs_human_review": false}</t>
  </si>
  <si>
    <t>[MODE:summary_code_explanation]
[ASSESSMENT_ID:1771cf81-0a65-11f1-b762-3e0936ad7efb]
[FORCE_GPT:true]
[AUTO_FALLBACK:true]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</si>
  <si>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</si>
  <si>
    <t>Relevant and correct explanation of the code segment.</t>
  </si>
  <si>
    <t>Could be more detailed in explaining the significance of the boxplots.</t>
  </si>
  <si>
    <t>Explain the sns boxplot code segment in detail, including its purpose and output.</t>
  </si>
  <si>
    <t>Include more context on why boxplots are useful for visualizing the data.</t>
  </si>
  <si>
    <t>{"prompt_score": 4, "response_score": 4, "overall_score": 4, "prompt_strengths": "Clear and specific request for code explanation.", "prompt_issues": "Could provide more context on the desired output format.", "response_strengths": "Relevant and correct explanation of the code segment.", "response_issues": "Could be more detailed in explaining the significance of the boxplots.", "prompt_rewrite": "Explain the sns boxplot code segment in detail, including its purpose and output.", "response_improvement_suggestions": "Include more context on why boxplots are useful for visualizing the data.", "verdict": "good", "needs_human_review": false}</t>
  </si>
  <si>
    <t>[MODE:code]
bantu saya menyelesaikan paraktikum w4 dengan mengisi ##### Your Code Here #####
X = untuk Extract semua baris dan kolom ke-1 s.d. ke-7 ke dalam variabel X. berikan code yang singkat, padat, dan jelas</t>
  </si>
  <si>
    <t>Could provide more context about the data structure.</t>
  </si>
  <si>
    <t>Concise and directly addresses the prompt.</t>
  </si>
  <si>
    <t>Incorrect slicing; should be 0:7 for columns 1 to 7.</t>
  </si>
  <si>
    <t>Bantu saya menyelesaikan praktikum w4 dengan mengisi ##### Your Code Here ##### X = untuk Extract semua baris dan kolom ke-1 s.d. ke-7 ke dalam variabel X dari array 2D. Berikan code yang singkat, padat, dan jelas.</t>
  </si>
  <si>
    <t>Correct the slicing to X = array[:, 0:7] for the first 7 columns.</t>
  </si>
  <si>
    <t>{"prompt_score": 4, "response_score": 3, "overall_score": 3, "prompt_strengths": "Clear request for code with specific requirements.", "prompt_issues": "Could provide more context about the data structure.", "response_strengths": "Concise and directly addresses the prompt.", "response_issues": "Incorrect slicing; should be 0:7 for columns 1 to 7.", "prompt_rewrite": "Bantu saya menyelesaikan praktikum w4 dengan mengisi ##### Your Code Here ##### X = untuk Extract semua baris dan kolom ke-1 s.d. ke-7 ke dalam variabel X dari array 2D. Berikan code yang singkat, padat, dan jelas.", "response_improvement_suggestions": "Correct the slicing to X = array[:, 0:7] for the first 7 columns.", "verdict": "fair", "needs_human_review": false}</t>
  </si>
  <si>
    <t>[LANG:Python]
[MODE:summary]
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</si>
  <si>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</si>
  <si>
    <t>Clear and specific about the context and request.</t>
  </si>
  <si>
    <t>Could provide more constraints on the types of visualizations desired.</t>
  </si>
  <si>
    <t>Highly relevant, correct, and comprehensive with clear suggestions.</t>
  </si>
  <si>
    <t>[LANG:Python] [MODE:summary] I'm currently working on a classification model and conducting Exploratory Data Analysis (EDA) to understand the dataset. What additional types of data visualizations can I create, aside from Pairplot, Feature Distribution, and Scatterplot, to gain insights into data quality and feature relationships?</t>
  </si>
  <si>
    <t>Consider summarizing the suggestions to enhance conciseness.</t>
  </si>
  <si>
    <t>{"prompt_score": 4, "response_score": 5, "overall_score": 5, "prompt_strengths": "Clear and specific about the context and request.", "prompt_issues": "Could provide more constraints on the types of visualizations desired.", "response_strengths": "Highly relevant, correct, and comprehensive with clear suggestions.", "response_issues": "None significant; could be slightly more concise.", "prompt_rewrite": "[LANG:Python] [MODE:summary] I'm currently working on a classification model and conducting Exploratory Data Analysis (EDA) to understand the dataset. What additional types of data visualizations can I create, aside from Pairplot, Feature Distribution, and Scatterplot, to gain insights into data quality and feature relationships?", "response_improvement_suggestions": "Consider summarizing the suggestions to enhance conciseness.", "verdict": "excellent", "needs_human_review": false}</t>
  </si>
  <si>
    <t>[LANG:Python]
[MODE:summary_code_explanation]
saya diminta untuk membuat insight mengenai data yang ada, menurut kamu apa insight mengenai data tersebut</t>
  </si>
  <si>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</si>
  <si>
    <t>Clear request for insights on data analysis.</t>
  </si>
  <si>
    <t>Could specify the type of data for better context.</t>
  </si>
  <si>
    <t>Thorough, relevant insights with supporting code and clear explanations.</t>
  </si>
  <si>
    <t>[LANG:Python] [MODE:summary_code_explanation] Berikan insight mengenai dataset asuransi yang berisi informasi tentang charges, smoker status, age, dan bmi.</t>
  </si>
  <si>
    <t>Consider adding a brief summary of the dataset characteristics.</t>
  </si>
  <si>
    <t>{"prompt_score": 4, "response_score": 5, "overall_score": 5, "prompt_strengths": "Clear request for insights on data analysis.", "prompt_issues": "Could specify the type of data for better context.", "response_strengths": "Thorough, relevant insights with supporting code and clear explanations.", "response_issues": "None significant; very comprehensive.", "prompt_rewrite": "[LANG:Python] [MODE:summary_code_explanation] Berikan insight mengenai dataset asuransi yang berisi informasi tentang charges, smoker status, age, dan bmi.", "response_improvement_suggestions": "Consider adding a brief summary of the dataset characteristics.", "verdict": "excellent", "needs_human_review": false}</t>
  </si>
  <si>
    <t>[MODE:summary_code_explanation]
Kita akan mencoba classifier yang lain, yaitu RandomForestClassifier.
Gunakan random_state yang bernilai 42 sebagai argumen.</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</si>
  <si>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</si>
  <si>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Jelaskan cara menggunakan RandomForestClassifier dengan random_state=42 dan tujuan penggunaannya.</t>
  </si>
  <si>
    <t>Consider adding a brief explanation of when to use RandomForestClassifier.</t>
  </si>
  <si>
    <t>{"prompt_score": 4, "response_score": 5, "overall_score": 4, "prompt_strengths": "Clear and specific about the task.", "prompt_issues": "Could provide more context on the purpose of the classifier.", "response_strengths": "Accurate, clear, and complete explanation with code example.", "response_issues": "None noted.", "prompt_rewrite": "Jelaskan cara menggunakan RandomForestClassifier dengan random_state=42 dan tujuan penggunaannya.", "response_improvement_suggestions": "Consider adding a brief explanation of when to use RandomForestClassifier.", "verdict": "good", "needs_human_review": false}</t>
  </si>
  <si>
    <t>[MODE:summary_code_explanation]
dari kode yg udh kamu kasih saya disuruh 1. Extract semua baris dan kolom ke-1 s.d. ke-7 ke dalam variabel `X`. 2. Simpan semua baris dari kolom ke-7 ke dalam variabel `y`. 3. Buatlah variabel yang bernama `seed` dengan nilai `7`.</t>
  </si>
  <si>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</si>
  <si>
    <t>Explain the context of the data and its purpose before giving instructions.</t>
  </si>
  <si>
    <t>{"prompt_score": 4, "response_score": 5, "overall_score": 5, "prompt_strengths": "Clear instructions and specific tasks.", "prompt_issues": "Could provide more context about the data.", "response_strengths": "Accurate, complete, and well-explained code.", "response_issues": "None.", "prompt_rewrite": "Explain the context of the data and its purpose before giving instructions.", "response_improvement_suggestions": "None needed; response is already excellent.", "verdict": "excellent", "needs_human_review": false}</t>
  </si>
  <si>
    <t>[MODE:code]
---------------------------------------------------------------------------
NameError                                 Traceback (most recent call last)
Cell In[87], line 1
----&gt; 1 linreg_pipeline.fit(X_train, y_train)
NameError: name 'linreg_pipeline' is not defined</t>
  </si>
  <si>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</si>
  <si>
    <t>```python
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
```</t>
  </si>
  <si>
    <t>Identifies a specific error in code execution.</t>
  </si>
  <si>
    <t>Lacks context about the data and expected outcome.</t>
  </si>
  <si>
    <t>Provides a complete and correct implementation of the required pipelines.</t>
  </si>
  <si>
    <t>Could include comments explaining each step for clarity.</t>
  </si>
  <si>
    <t>What is causing the NameError in the following code snippet, and how can I fix it?</t>
  </si>
  <si>
    <t>Add comments to explain the purpose of each pipeline step.</t>
  </si>
  <si>
    <t>{"prompt_score": 3, "response_score": 5, "overall_score": 4, "prompt_strengths": "Identifies a specific error in code execution.", "prompt_issues": "Lacks context about the data and expected outcome.", "response_strengths": "Provides a complete and correct implementation of the required pipelines.", "response_issues": "Could include comments explaining each step for clarity.", "prompt_rewrite": "What is causing the NameError in the following code snippet, and how can I fix it?", "response_improvement_suggestions": "Add comments to explain the purpose of each pipeline step.", "verdict": "good", "needs_human_review": false}</t>
  </si>
  <si>
    <t>[LANG:Python]
[MODE:summary_code_explanation]
setelah itu saya sudah turun ke bawah dan sekarang  diminta, buat scatter plot untuk melihat pengaruh bmi terhadap charges</t>
  </si>
  <si>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</si>
  <si>
    <t>Clear request for a scatter plot and its purpose.</t>
  </si>
  <si>
    <t>Correctly provides code and clear explanations.</t>
  </si>
  <si>
    <t>Could include a brief note on data preparation.</t>
  </si>
  <si>
    <t>Buat scatter plot untuk melihat pengaruh BMI terhadap charges dari dataset yang diberikan.</t>
  </si>
  <si>
    <t>Add a note on ensuring the dataset is clean and ready for plotting.</t>
  </si>
  <si>
    <t>{"prompt_score": 4, "response_score": 5, "overall_score": 4, "prompt_strengths": "Clear request for a scatter plot and its purpose.", "prompt_issues": "Could provide more context about the dataset.", "response_strengths": "Correctly provides code and clear explanations.", "response_issues": "Could include a brief note on data preparation.", "prompt_rewrite": "Buat scatter plot untuk melihat pengaruh BMI terhadap charges dari dataset yang diberikan.", "response_improvement_suggestions": "Add a note on ensuring the dataset is clean and ready for plotting.", "verdict": "good", "needs_human_review": false}</t>
  </si>
  <si>
    <t>[MODE:code]
buatkan saya sebuah code dari code yang sudah ada sebelumnya, sekarang buatkan saya code dengan melanjutkan code grid_search=..? adalah</t>
  </si>
  <si>
    <t>from sklearn.model_selection import GridSearchCV
grid_search = GridSearchCV(
    estimator=knn_clf,
    param_grid=param_grid,
    cv=5,
    scoring="accuracy",
    n_jobs=-1
)</t>
  </si>
  <si>
    <t>```python
from sklearn.model_selection import GridSearchCV
grid_search = GridSearchCV(
    estimator=knn_clf,
    param_grid=param_grid,
    cv=5,
    scoring="accuracy",
    n_jobs=-1
)
```</t>
  </si>
  <si>
    <t>The prompt specifies a continuation of existing code.</t>
  </si>
  <si>
    <t>Lacks clarity and specificity regarding the existing code and desired parameters.</t>
  </si>
  <si>
    <t>The response is relevant and correctly implements GridSearchCV.</t>
  </si>
  <si>
    <t>Could provide more context or explanation about the parameters used.</t>
  </si>
  <si>
    <t>Buatkan saya kode untuk melanjutkan kode GridSearchCV yang sudah ada sebelumnya, dengan parameter yang sesuai.</t>
  </si>
  <si>
    <t>Add comments explaining the parameters and their purpose.</t>
  </si>
  <si>
    <t>{"prompt_score": 3, "response_score": 4, "overall_score": 3, "prompt_strengths": "The prompt specifies a continuation of existing code.", "prompt_issues": "Lacks clarity and specificity regarding the existing code and desired parameters.", "response_strengths": "The response is relevant and correctly implements GridSearchCV.", "response_issues": "Could provide more context or explanation about the parameters used.", "prompt_rewrite": "Buatkan saya kode untuk melanjutkan kode GridSearchCV yang sudah ada sebelumnya, dengan parameter yang sesuai.", "response_improvement_suggestions": "Add comments explaining the parameters and their purpose.", "verdict": "good", "needs_human_review": false}</t>
  </si>
  <si>
    <t>[MODE:summary_code_explanation]
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</si>
  <si>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</si>
  <si>
    <t>Clear request for code completion and explanation.</t>
  </si>
  <si>
    <t>Minor spelling error in 'reggresion'.</t>
  </si>
  <si>
    <t>Accurate and detailed explanation of the code.</t>
  </si>
  <si>
    <t>Saya mau melakukan training data dengan 2 model, yaitu linear regression dan random forest. Berikut kode yang sudah saya buat: linreg_pipeline = Pipeline([ ("preprocessing", preprocessor), ("model", LinearRegression()) ]) linreg_pipeline.fit(X_train, y_train) pred = ## YOUR CODE HERE ## mae = mean_absolute_error(y_test, pred) rmse = np.sqrt(mean_squared_error(y_test, pred)) r2 = r2_score(y_test, pred) print("MAE :", mae) print("RMSE:", rmse) print("R2 :", r2) Tolong isi bagian ##YOUR CODE HERE## dan berikan juga penjelasannya.</t>
  </si>
  <si>
    <t>{"prompt_score": 4, "response_score": 5, "overall_score": 4, "prompt_strengths": "Clear request for code completion and explanation.", "prompt_issues": "Minor spelling error in 'reggresion'.", "response_strengths": "Accurate and detailed explanation of the code.", "response_issues": "None identified.", "prompt_rewrite": "Saya mau melakukan training data dengan 2 model, yaitu linear regression dan random forest. Berikut kode yang sudah saya buat: linreg_pipeline = Pipeline([ (\"preprocessing\", preprocessor), (\"model\", LinearRegression()) ]) linreg_pipeline.fit(X_train, y_train) pred = ## YOUR CODE HERE ## mae = mean_absolute_error(y_test, pred) rmse = np.sqrt(mean_squared_error(y_test, pred)) r2 = r2_score(y_test, pred) print(\"MAE :\", mae) print(\"RMSE:\", rmse) print(\"R2 :\", r2) Tolong isi bagian ##YOUR CODE HERE## dan berikan juga penjelasannya.", "response_improvement_suggestions": "None needed; response is complete and clear.", "verdict": "good", "needs_human_review": false}</t>
  </si>
  <si>
    <t>[MODE:code]
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</si>
  <si>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</si>
  <si>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</si>
  <si>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Could specify the dataset format or structure.</t>
  </si>
  <si>
    <t>Comprehensive and correct implementation of EDA tasks.</t>
  </si>
  <si>
    <t>Could include comments for clarity on each step.</t>
  </si>
  <si>
    <t>[MODE:code] Lanjut ke bagian ke-2 yaitu Exploratory Data Analysis (EDA). Mohon sediakan kode untuk: 1) Memeriksa missing value, 2) Menampilkan statistik deskriptif kolom numerik, 3) Memvisualisasikan distribusi beberapa fitur numerik penting, dan 4) Membuat heatmap korelasi untuk fitur numerik. Dataset yang digunakan adalah 'student_exam_performance_dataset.csv'.</t>
  </si>
  <si>
    <t>{"prompt_score": 4, "response_score": 5, "overall_score": 5, "prompt_strengths": "Clear and specific instructions for EDA tasks.", "prompt_issues": "Could specify the dataset format or structure.", "response_strengths": "Comprehensive and correct implementation of EDA tasks.", "response_issues": "Could include comments for clarity on each step.", "prompt_rewrite": "[MODE:code] Lanjut ke bagian ke-2 yaitu Exploratory Data Analysis (EDA). Mohon sediakan kode untuk: 1) Memeriksa missing value, 2) Menampilkan statistik deskriptif kolom numerik, 3) Memvisualisasikan distribusi beberapa fitur numerik penting, dan 4) Membuat heatmap korelasi untuk fitur numerik. Dataset yang digunakan adalah 'student_exam_performance_dataset.csv'.", "response_improvement_suggestions": "Add comments to explain each section of the code for better clarity.", "verdict": "excellent", "needs_human_review": false}</t>
  </si>
  <si>
    <t>[MODE:code]
Untuk di taro di variable param_grid Bagaimana cara membuat sebuah param_grid dengan attribut C : [0.01, 0.1, 1, 10, 100] dan penalty : ['l1', 'l2']</t>
  </si>
  <si>
    <t># param_grid untuk GridSearchCV (kombinasi nilai C dan penalty)
param_grid = {
    "C": [0.01, 0.1, 1, 10, 100],
    "penalty": ["l1", "l2"]
}</t>
  </si>
  <si>
    <t>```python
# param_grid untuk GridSearchCV (kombinasi nilai C dan penalty)
param_grid = {
    "C": [0.01, 0.1, 1, 10, 100],
    "penalty": ["l1", "l2"]
}
```</t>
  </si>
  <si>
    <t>Clear and specific request for a param_grid.</t>
  </si>
  <si>
    <t>Could provide more context on the intended use.</t>
  </si>
  <si>
    <t>Correct and complete code for the requested param_grid.</t>
  </si>
  <si>
    <t>Bagaimana cara membuat sebuah param_grid untuk GridSearchCV dengan atribut C: [0.01, 0.1, 1, 10, 100] dan penalty: ['l1', 'l2']?</t>
  </si>
  <si>
    <t>Consider adding a brief explanation of the code.</t>
  </si>
  <si>
    <t>{"prompt_score": 4, "response_score": 5, "overall_score": 5, "prompt_strengths": "Clear and specific request for a param_grid.", "prompt_issues": "Could provide more context on the intended use.", "response_strengths": "Correct and complete code for the requested param_grid.", "response_issues": "None.", "prompt_rewrite": "Bagaimana cara membuat sebuah param_grid untuk GridSearchCV dengan atribut C: [0.01, 0.1, 1, 10, 100] dan penalty: ['l1', 'l2']?", "response_improvement_suggestions": "Consider adding a brief explanation of the code.", "verdict": "excellent", "needs_human_review": false}</t>
  </si>
  <si>
    <t>[MODE:summary_code_explanation]
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</si>
  <si>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</si>
  <si>
    <t>Clear instructions for EDA tasks.</t>
  </si>
  <si>
    <t>Comprehensive and relevant code with explanations.</t>
  </si>
  <si>
    <t>Could improve clarity by separating code sections more distinctly.</t>
  </si>
  <si>
    <t>Berikan kode program untuk melakukan EDA pada dataset, termasuk struktur dataset, statistik deskriptif, dan distribusi kelas target. Tulis kode Anda di "YOUR CODES HERE".</t>
  </si>
  <si>
    <t>Consider adding comments to separate different sections of the code for better readability.</t>
  </si>
  <si>
    <t>{"prompt_score": 4, "response_score": 5, "overall_score": 4, "prompt_strengths": "Clear instructions for EDA tasks.", "prompt_issues": "Could specify the expected output format more clearly.", "response_strengths": "Comprehensive and relevant code with explanations.", "response_issues": "Could improve clarity by separating code sections more distinctly.", "prompt_rewrite": "Berikan kode program untuk melakukan EDA pada dataset, termasuk struktur dataset, statistik deskriptif, dan distribusi kelas target. Tulis kode Anda di \"YOUR CODES HERE\".", "response_improvement_suggestions": "Consider adding comments to separate different sections of the code for better readability.", "verdict": "good", "needs_human_review": false}</t>
  </si>
  <si>
    <t>[MODE:code]
grid_search.fit(X_train, y_train) disini error tolong perbaiki 
# YOUR CODE IS HERE
svr_pipeline = Pipeline(steps=[
    ("preprocessing", preprocessing),
    ("svr", SVR())
])
svr_pipeline
dari mana X dan Y nya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</si>
  <si>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</si>
  <si>
    <t>```python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t>
  </si>
  <si>
    <t>Identifies a specific error and requests a fix.</t>
  </si>
  <si>
    <t>Lacks clarity in explaining the context of X and y.</t>
  </si>
  <si>
    <t>Provides a complete and relevant solution with clear steps.</t>
  </si>
  <si>
    <t>Could improve clarity on the source of 'housing' and 'housing_labels'.</t>
  </si>
  <si>
    <t>Perbaiki error pada grid_search.fit(X_train, y_train) dan jelaskan dari mana X dan y berasal.</t>
  </si>
  <si>
    <t>Clarify the source of 'housing' and 'housing_labels' in the response.</t>
  </si>
  <si>
    <t>{"prompt_score": 3, "response_score": 4, "overall_score": 4, "prompt_strengths": "Identifies a specific error and requests a fix.", "prompt_issues": "Lacks clarity in explaining the context of X and y.", "response_strengths": "Provides a complete and relevant solution with clear steps.", "response_issues": "Could improve clarity on the source of 'housing' and 'housing_labels'.", "prompt_rewrite": "Perbaiki error pada grid_search.fit(X_train, y_train) dan jelaskan dari mana X dan y berasal.", "response_improvement_suggestions": "Clarify the source of 'housing' and 'housing_labels' in the response.", "verdict": "good", "needs_human_review": false}</t>
  </si>
  <si>
    <t>[LANG:Python]
[MODE:summary_code_explanation]
mencari tahu fitur yang berperan sebagai target variable dalam proses prediksi pada file csv tersebut</t>
  </si>
  <si>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</si>
  <si>
    <t>None significant; very helpful explanation.</t>
  </si>
  <si>
    <t>[LANG:Python] [MODE:summary_code_explanation] Identifikasi target variable dalam dataset CSV untuk analisis prediksi.</t>
  </si>
  <si>
    <t>Consider adding a brief explanation of the dataset's context.</t>
  </si>
  <si>
    <t>{"prompt_score": 4, "response_score": 5, "overall_score": 5, "prompt_strengths": "Clear and specific about the task.", "prompt_issues": "Could provide more context about the dataset.", "response_strengths": "Highly relevant, correct, and complete with clear code examples.", "response_issues": "None significant; very helpful explanation.", "prompt_rewrite": "[LANG:Python] [MODE:summary_code_explanation] Identifikasi target variable dalam dataset CSV untuk analisis prediksi.", "response_improvement_suggestions": "Consider adding a brief explanation of the dataset's context.", "verdict": "excellent", "needs_human_review": false}</t>
  </si>
  <si>
    <t>[LANG:Python]
[MODE:code]
saya mmepunyai dataset housing dan labels, selanjutnya kita buat Pipeline dengan preprocessing dan SVR()
tidak perlu dengan test nya</t>
  </si>
  <si>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</si>
  <si>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
```</t>
  </si>
  <si>
    <t>Lacks detail on the dataset structure and specific preprocessing steps desired.</t>
  </si>
  <si>
    <t>The response provides a complete and relevant implementation of the requested pipeline.</t>
  </si>
  <si>
    <t>Could include comments for clarity and explanation of each step.</t>
  </si>
  <si>
    <t>[LANG:Python] [MODE:code] Saya memiliki dataset housing dan labels. Buatlah Pipeline dengan preprocessing dan SVR(), tanpa melakukan pembagian data untuk testing. Dataset memiliki kolom numerik dan kategorikal.</t>
  </si>
  <si>
    <t>{"prompt_score": 3, "response_score": 4, "overall_score": 4, "prompt_strengths": "The prompt specifies the task and context clearly.", "prompt_issues": "Lacks detail on the dataset structure and specific preprocessing steps desired.", "response_strengths": "The response provides a complete and relevant implementation of the requested pipeline.", "response_issues": "Could include comments for clarity and explanation of each step.", "prompt_rewrite": "[LANG:Python] [MODE:code] Saya memiliki dataset housing dan labels. Buatlah Pipeline dengan preprocessing dan SVR(), tanpa melakukan pembagian data untuk testing. Dataset memiliki kolom numerik dan kategorikal.", "response_improvement_suggestions": "Add comments to explain each part of the code for better understanding.", "verdict": "good", "needs_human_review": false}</t>
  </si>
  <si>
    <t>[MODE:summary]
berikan jawaban dari 2 pertanyaan ini -Regularization bertujuan * Menambah error Mengurangi overfitting Menambah fitur Menghapus data -Output 0.8 pada regresi logistik‚ maka keputusannya kelas … * 1 Tidak diketahui 0 -1</t>
  </si>
  <si>
    <t>Regularization bertujuan mengurangi overfitting. Output 0.8 pada regresi logistik biasanya diputuskan sebagai kelas 1 (dengan threshold 0.5).</t>
  </si>
  <si>
    <t>Accurate and complete answers to both questions.</t>
  </si>
  <si>
    <t>Could elaborate on the reasoning behind the output classification.</t>
  </si>
  <si>
    <t>[MODE:summary] Berikan jawaban dari 2 pertanyaan ini dengan penjelasan singkat: - Apa tujuan regularization? - Jika output 0.8 pada regresi logistik, apa keputusan kelasnya?</t>
  </si>
  <si>
    <t>Add a brief explanation of why 0.8 corresponds to class 1.</t>
  </si>
  <si>
    <t>{"prompt_score": 4, "response_score": 5, "overall_score": 4, "prompt_strengths": "Clear and specific questions.", "prompt_issues": "Could provide more context for better understanding.", "response_strengths": "Accurate and complete answers to both questions.", "response_issues": "Could elaborate on the reasoning behind the output classification.", "prompt_rewrite": "[MODE:summary] Berikan jawaban dari 2 pertanyaan ini dengan penjelasan singkat: - Apa tujuan regularization? - Jika output 0.8 pada regresi logistik, apa keputusan kelasnya?", "response_improvement_suggestions": "Add a brief explanation of why 0.8 corresponds to class 1.", "verdict": "good", "needs_human_review": false}</t>
  </si>
  <si>
    <t>[LANG:Python]
[MODE:code]
grid_search tersebut pada 6000 data pertama. untuk ini bantu saya untuk membuatkan ini dengan benar dan baik</t>
  </si>
  <si>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</si>
  <si>
    <t>```python
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
```</t>
  </si>
  <si>
    <t>Lacks specificity in terms of what needs to be done with the grid search.</t>
  </si>
  <si>
    <t>The response is relevant, correct, and provides a complete code solution.</t>
  </si>
  <si>
    <t>Could improve clarity with comments and explanations for each step.</t>
  </si>
  <si>
    <t>Bantu saya membuat kode grid search yang benar dan baik untuk 6000 data pertama dari dataset housing.</t>
  </si>
  <si>
    <t>{"prompt_score": 3, "response_score": 4, "overall_score": 3, "prompt_strengths": "The prompt specifies the task and context clearly.", "prompt_issues": "Lacks specificity in terms of what needs to be done with the grid search.", "response_strengths": "The response is relevant, correct, and provides a complete code solution.", "response_issues": "Could improve clarity with comments and explanations for each step.", "prompt_rewrite": "Bantu saya membuat kode grid search yang benar dan baik untuk 6000 data pertama dari dataset housing.", "response_improvement_suggestions": "Add comments explaining each step of the code for better clarity.", "verdict": "good", "needs_human_review": false}</t>
  </si>
  <si>
    <t>[MODE:summary]
Bagian 1 - Load Dataset
Lakukan langkah berikut:
Load dataset student_exam_performance_dataset (1).csv.
Tampilkan 5 baris pertama.
Tampilkan ukuran dataset (jumlah baris dan kolom).
Tampilkan tipe data setiap kolom.</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</si>
  <si>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</si>
  <si>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Relevant and correct guidance on using pandas.</t>
  </si>
  <si>
    <t>Could include example code for clarity.</t>
  </si>
  <si>
    <t>[MODE:summary] Bagian 1 - Load Dataset: Load dataset student_exam_performance_dataset (1).csv. Tampilkan 5 baris pertama, ukuran dataset (jumlah baris dan kolom), dan tipe data setiap kolom. Dataset ini berisi informasi tentang kinerja ujian siswa.</t>
  </si>
  <si>
    <t>Include a sample code snippet for better clarity.</t>
  </si>
  <si>
    <t>{"prompt_score": 4, "response_score": 4, "overall_score": 4, "prompt_strengths": "Clear instructions with specific tasks.", "prompt_issues": "Could provide more context about the dataset.", "response_strengths": "Relevant and correct guidance on using pandas.", "response_issues": "Could include example code for clarity.", "prompt_rewrite": "[MODE:summary] Bagian 1 - Load Dataset: Load dataset student_exam_performance_dataset (1).csv. Tampilkan 5 baris pertama, ukuran dataset (jumlah baris dan kolom), dan tipe data setiap kolom. Dataset ini berisi informasi tentang kinerja ujian siswa.", "response_improvement_suggestions": "Include a sample code snippet for better clarity.", "verdict": "good", "needs_human_review": false}</t>
  </si>
  <si>
    <t>[MODE:code]
im a forth semester student that learn about machine learning in jupyter notebook. In my second meet, i need to process a data with pipeline, with preprocessing and svr. Help me with the prompt cause its my first time</t>
  </si>
  <si>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</si>
  <si>
    <t>```python
#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
```</t>
  </si>
  <si>
    <t>Identifies the user's level and specific needs.</t>
  </si>
  <si>
    <t>Lacks clarity in specific data processing requirements.</t>
  </si>
  <si>
    <t>Provides a comprehensive and clear code template for the task.</t>
  </si>
  <si>
    <t>Assumes familiarity with certain concepts without explanation.</t>
  </si>
  <si>
    <t>I'm a fourth-semester student learning machine learning in Jupyter Notebook. I need help processing data with a pipeline, including preprocessing and using SVR. Can you provide a detailed example?</t>
  </si>
  <si>
    <t>Include explanations for each step in the code to enhance understanding for beginners.</t>
  </si>
  <si>
    <t>{"prompt_score": 3, "response_score": 5, "overall_score": 4, "prompt_strengths": "Identifies the user's level and specific needs.", "prompt_issues": "Lacks clarity in specific data processing requirements.", "response_strengths": "Provides a comprehensive and clear code template for the task.", "response_issues": "Assumes familiarity with certain concepts without explanation.", "prompt_rewrite": "I'm a fourth-semester student learning machine learning in Jupyter Notebook. I need help processing data with a pipeline, including preprocessing and using SVR. Can you provide a detailed example?", "response_improvement_suggestions": "Include explanations for each step in the code to enhance understanding for beginners.", "verdict": "good", "needs_human_review": false}</t>
  </si>
  <si>
    <t>[MODE:summary_code_explanation]
now I'm making a plot to visualize the correlations between one feature and another. I want to visualize this using the heatmap plot with seaborn again, how can I implement this?</t>
  </si>
  <si>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</si>
  <si>
    <t>Clear and specific request for implementation details.</t>
  </si>
  <si>
    <t>Comprehensive, correct, and clearly explained code with annotations.</t>
  </si>
  <si>
    <t>None significant; all aspects of the request are addressed.</t>
  </si>
  <si>
    <t>How can I implement a heatmap plot using seaborn to visualize correlations between specific features in my dataset?</t>
  </si>
  <si>
    <t>Consider adding a brief explanation of what a heatmap represents for beginners.</t>
  </si>
  <si>
    <t>{"prompt_score": 4, "response_score": 5, "overall_score": 5, "prompt_strengths": "Clear and specific request for implementation details.", "prompt_issues": "Could provide more context on the dataset or features involved.", "response_strengths": "Comprehensive, correct, and clearly explained code with annotations.", "response_issues": "None significant; all aspects of the request are addressed.", "prompt_rewrite": "How can I implement a heatmap plot using seaborn to visualize correlations between specific features in my dataset?", "response_improvement_suggestions": "Consider adding a brief explanation of what a heatmap represents for beginners.", "verdict": "excellent", "needs_human_review": false}</t>
  </si>
  <si>
    <t>[MODE:code]
lin_reg is not defined. code apa yang biasanya di taruh di variabel tersebut? Dan tuliskan tempelatenya.</t>
  </si>
  <si>
    <t>from sklearn.linear_model import LinearRegression
lin_reg = LinearRegression()
lin_reg.fit(X_train, y_train)
pred = lin_reg.predict(X_test)</t>
  </si>
  <si>
    <t>```python
from sklearn.linear_model import LinearRegression
lin_reg = LinearRegression()
lin_reg.fit(X_train, y_train)
pred = lin_reg.predict(X_test)
```</t>
  </si>
  <si>
    <t>Directly asks for code related to linear regression.</t>
  </si>
  <si>
    <t>Lacks clarity in specifying what 'tempelatenya' means.</t>
  </si>
  <si>
    <t>Provides relevant and correct code for linear regression.</t>
  </si>
  <si>
    <t>Apa kode yang biasanya digunakan untuk mendefinisikan variabel 'lin_reg' dalam regresi linier? Sertakan template lengkapnya.</t>
  </si>
  <si>
    <t>Add comments to explain each line of code for better understanding.</t>
  </si>
  <si>
    <t>{"prompt_score": 3, "response_score": 4, "overall_score": 3, "prompt_strengths": "Directly asks for code related to linear regression.", "prompt_issues": "Lacks clarity in specifying what 'tempelatenya' means.", "response_strengths": "Provides relevant and correct code for linear regression.", "response_issues": "Could include more context or explanation for clarity.", "prompt_rewrite": "Apa kode yang biasanya digunakan untuk mendefinisikan variabel 'lin_reg' dalam regresi linier? Sertakan template lengkapnya.", "response_improvement_suggestions": "Add comments to explain each line of code for better understanding.", "verdict": "good", "needs_human_review": false}</t>
  </si>
  <si>
    <t>[LANG:Python]
[MODE:summary_code_explanation]
untuk task yang tadi saya sebutkan, saya ingin mengekstrak semua baris dan kolom ke-1 s.d. ke-7 ke dalam variabel x</t>
  </si>
  <si>
    <t>**SUMMARY**  
Gunakan slicing NumPy pada `array` untuk mengambil semua baris dan kolom ke-1 sampai ke-7 (inklusif) ke variabel `x`.
```python
x = array[:, 1:8]
```
**EXPLANATION**  
`array[:, 1:8]` berarti: ambil **semua baris** (`:`) dan **kolom index 1 sampai 7** karena batas akhir slicing (`8`) bersifat eksklusif.</t>
  </si>
  <si>
    <t>Accurate, clear, and provides a correct code example.</t>
  </si>
  <si>
    <t>Could elaborate more on the slicing concept for beginners.</t>
  </si>
  <si>
    <t>[LANG:Python] [MODE:summary_code_explanation] Saya ingin mengekstrak semua baris dan kolom ke-1 s.d. ke-7 dari array NumPy ke dalam variabel x. Berikan penjelasan tentang struktur data yang digunakan.</t>
  </si>
  <si>
    <t>Add a brief explanation of NumPy arrays for clarity.</t>
  </si>
  <si>
    <t>{"prompt_score": 4, "response_score": 5, "overall_score": 4, "prompt_strengths": "Clear and specific about the task.", "prompt_issues": "Could provide more context about the data structure.", "response_strengths": "Accurate, clear, and provides a correct code example.", "response_issues": "Could elaborate more on the slicing concept for beginners.", "prompt_rewrite": "[LANG:Python] [MODE:summary_code_explanation] Saya ingin mengekstrak semua baris dan kolom ke-1 s.d. ke-7 dari array NumPy ke dalam variabel x. Berikan penjelasan tentang struktur data yang digunakan.", "response_improvement_suggestions": "Add a brief explanation of NumPy arrays for clarity.", "verdict": "good", "needs_human_review": false}</t>
  </si>
  <si>
    <t>[MODE:code]
print(housing[housing.isna().any(axis=1)].head(5)) MASIH ADA KESALAHAN BANTU PERBAIKI AGAR TIDAK TERJADI KESALAHAN DAAN BISA BERJALAN DENGAN BAIK</t>
  </si>
  <si>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</si>
  <si>
    <t>```python
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
```</t>
  </si>
  <si>
    <t>Identifies a specific issue with the code.</t>
  </si>
  <si>
    <t>Perbaiki kode berikut: `print(housing[housing.isna().any(axis=1)].head(5))` agar tidak terjadi kesalahan.</t>
  </si>
  <si>
    <t>Consider simplifying the explanation and focusing on the key changes needed.</t>
  </si>
  <si>
    <t>{"prompt_score": 3, "response_score": 5, "overall_score": 4, "prompt_strengths": "Identifies a specific issue with the code.", "prompt_issues": "Lacks clarity and context for the error.", "response_strengths": "Provides a comprehensive and correct solution.", "response_issues": "Could be more concise.", "prompt_rewrite": "Perbaiki kode berikut: `print(housing[housing.isna().any(axis=1)].head(5))` agar tidak terjadi kesalahan.", "response_improvement_suggestions": "Consider simplifying the explanation and focusing on the key changes needed.", "verdict": "good", "needs_human_review": false}</t>
  </si>
  <si>
    <t>[MODE:code]
[ASSESSMENT_ID:1771cf7d-0a65-11f1-b762-3e0936ad7efb]
[FORCE_GPT:true]
[AUTO_FALLBACK:true]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</si>
  <si>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t>
  </si>
  <si>
    <t>```python
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
```</t>
  </si>
  <si>
    <t>Clear and specific questions about dataset values.</t>
  </si>
  <si>
    <t>Thorough analysis with clear code and explanations.</t>
  </si>
  <si>
    <t>Could include more comments for clarity.</t>
  </si>
  <si>
    <t>Jelaskan apakah ada nilai null dalam dataset dan apakah nilai 0 wajar untuk kolom-kolom tertentu. Jika tidak, jelaskan alasannya.</t>
  </si>
  <si>
    <t>Add more comments in the code to enhance clarity for users unfamiliar with the context.</t>
  </si>
  <si>
    <t>{"prompt_score": 4, "response_score": 5, "overall_score": 4, "prompt_strengths": "Clear and specific questions about dataset values.", "prompt_issues": "Could provide more context on the dataset's purpose.", "response_strengths": "Thorough analysis with clear code and explanations.", "response_issues": "Could include more comments for clarity.", "prompt_rewrite": "Jelaskan apakah ada nilai null dalam dataset dan apakah nilai 0 wajar untuk kolom-kolom tertentu. Jika tidak, jelaskan alasannya.", "response_improvement_suggestions": "Add more comments in the code to enhance clarity for users unfamiliar with the context.", "verdict": "good", "needs_human_review": false}</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</si>
  <si>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</si>
  <si>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</si>
  <si>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```python
#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
```</t>
  </si>
  <si>
    <t>Clear and specific code context provided.</t>
  </si>
  <si>
    <t>Could benefit from more explicit instructions on expected output.</t>
  </si>
  <si>
    <t>Thorough analysis with clear explanations and considerations.</t>
  </si>
  <si>
    <t>Could include examples or further implications of the code.</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</si>
  <si>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Please analyze the code and explain its components and functionality.</t>
  </si>
  <si>
    <t>Add examples of potential input data and expected outcomes.</t>
  </si>
  <si>
    <t>{"prompt_score": 4, "response_score": 5, "overall_score": 4, "prompt_strengths": "Clear and specific code context provided.", "prompt_issues": "Could benefit from more explicit instructions on expected output.", "response_strengths": "Thorough analysis with clear explanations and considerations.", "response_issues": "Could include examples or further implications of the code.", "prompt_rewrite": "[MODE:code]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Please analyze the code and explain its components and functionality.", "response_improvement_suggestions": "Add examples of potential input data and expected outcomes.", "verdict": "good", "needs_human_review": false}</t>
  </si>
  <si>
    <t>[MODE:summary_code_explanation]
[ASSESSMENT_ID:1771cf8b-0a65-11f1-b762-3e0936ad7efb]
[FORCE_GPT:true]
[AUTO_FALLBACK:true]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</si>
  <si>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</si>
  <si>
    <t>Clear and specific about the debugging task.</t>
  </si>
  <si>
    <t>Thorough explanation of the issue with code corrections.</t>
  </si>
  <si>
    <t>Can you debug this function that calculates learning curves using imported libraries? The function is defined as follows: ... (include more context about expected output).</t>
  </si>
  <si>
    <t>Consider adding examples of input and output for clarity.</t>
  </si>
  <si>
    <t>{"prompt_score": 4, "response_score": 5, "overall_score": 5, "prompt_strengths": "Clear and specific about the debugging task.", "prompt_issues": "Could provide more context on the expected output format.", "response_strengths": "Thorough explanation of the issue with code corrections.", "response_issues": "None significant; response is complete and clear.", "prompt_rewrite": "Can you debug this function that calculates learning curves using imported libraries? The function is defined as follows: ... (include more context about expected output).", "response_improvement_suggestions": "Consider adding examples of input and output for clarity.", "verdict": "excellent", "needs_human_review": false}</t>
  </si>
  <si>
    <t>[MODE:summary_code_explanation]
kalau cara bangun dua skenario model `LogisticRegression` untuk memprediksi `at_risk`:
1. **Skenario A**: hanya menggunakan `predicted_final_exam_score`.
2. **Skenario B**: menggunakan `predicted_final_exam_score` ditambah fitur engineering yang Anda buat.</t>
  </si>
  <si>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</si>
  <si>
    <t>Clear and specific about the scenarios and requirements.</t>
  </si>
  <si>
    <t>Thorough explanation with complete code and evaluation metrics.</t>
  </si>
  <si>
    <t>Jelaskan cara membangun dua skenario model `LogisticRegression` untuk memprediksi `at_risk`: 1. **Skenario A**: hanya menggunakan `predicted_final_exam_score`. 2. **Skenario B**: menggunakan `predicted_final_exam_score` ditambah fitur engineering yang Anda buat, dengan penjelasan tentang dataset yang digunakan.</t>
  </si>
  <si>
    <t>Include a brief summary of the dataset and its features for better context.</t>
  </si>
  <si>
    <t>{"prompt_score": 4, "response_score": 5, "overall_score": 5, "prompt_strengths": "Clear and specific about the scenarios and requirements.", "prompt_issues": "Could provide more context on the dataset or features used.", "response_strengths": "Thorough explanation with complete code and evaluation metrics.", "response_issues": "None significant; well-structured and informative.", "prompt_rewrite": "Jelaskan cara membangun dua skenario model `LogisticRegression` untuk memprediksi `at_risk`: 1. **Skenario A**: hanya menggunakan `predicted_final_exam_score`. 2. **Skenario B**: menggunakan `predicted_final_exam_score` ditambah fitur engineering yang Anda buat, dengan penjelasan tentang dataset yang digunakan.", "response_improvement_suggestions": "Include a brief summary of the dataset and its features for better context.", "verdict": "excellent", "needs_human_review": false}</t>
  </si>
  <si>
    <t>[MODE:code]
sekarang, mari kita buat pipeline untuk data numerical. gunakan `imputer` dan `SimpleImputer` dengan `strategy = median` dan menggunakan `StandardScaler`
num_pipeline = ## YOUR CODE HERE ##
Buat pipeline itu gimana ya</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</si>
  <si>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</si>
  <si>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</si>
  <si>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Correct implementation of the pipeline with appropriate components.</t>
  </si>
  <si>
    <t>Buatlah pipeline untuk data numerik menggunakan `SimpleImputer` dengan `strategy = median` dan `StandardScaler`. Berikan contoh penggunaannya.</t>
  </si>
  <si>
    <t>Include a brief explanation of how the pipeline can be used with data.</t>
  </si>
  <si>
    <t>{"prompt_score": 4, "response_score": 5, "overall_score": 5, "prompt_strengths": "Clear request for a coding task with specific components.", "prompt_issues": "Could provide more context on the data or use case.", "response_strengths": "Correct implementation of the pipeline with appropriate components.", "response_issues": "None.", "prompt_rewrite": "Buatlah pipeline untuk data numerik menggunakan `SimpleImputer` dengan `strategy = median` dan `StandardScaler`. Berikan contoh penggunaannya.", "response_improvement_suggestions": "Include a brief explanation of how the pipeline can be used with data.", "verdict": "excellent", "needs_human_review": false}</t>
  </si>
  <si>
    <t>[MODE:summary_code_explanation]
##### Your Code Here #####
array = dataframe.values
Extract semua baris dan kolom ke-1 s.d. ke-7 ke dalam variabel X
##### Your Code Here #####
X =
Simpan semua baris dari kolom ke-7 ke dalam variabel y.
##### Your Code Here #####
y =</t>
  </si>
  <si>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</si>
  <si>
    <t>Lacks clarity in the instruction format and specific variable names.</t>
  </si>
  <si>
    <t>Could include more detail on the implications of the code.</t>
  </si>
  <si>
    <t>Extract rows and columns 1 to 7 into variable X and column 7 into variable y from the dataframe values.</t>
  </si>
  <si>
    <t>Add examples of how X and y can be used in further analysis.</t>
  </si>
  <si>
    <t>{"prompt_score": 3, "response_score": 4, "overall_score": 4, "prompt_strengths": "The prompt specifies the task clearly and provides context.", "prompt_issues": "Lacks clarity in the instruction format and specific variable names.", "response_strengths": "The response is relevant, correct, and provides a clear explanation.", "response_issues": "Could include more detail on the implications of the code.", "prompt_rewrite": "Extract rows and columns 1 to 7 into variable X and column 7 into variable y from the dataframe values.", "response_improvement_suggestions": "Add examples of how X and y can be used in further analysis.", "verdict": "good", "needs_human_review": false}</t>
  </si>
  <si>
    <t>[MODE:summary_code_explanation]
[ASSESSMENT_ID:1771cf7d-0a65-11f1-b762-3e0936ad7efb]
[FORCE_GPT:true]
[AUTO_FALLBACK:true]
--------------------------------------------------------------------------- NameError Traceback (most recent call last) Cell In[13], line 2 1 ##### Your Code Here ##### ----&gt; 2 dataframe = read_csv(filename, names=names) NameError: name 'names' is not defined ini kenapa</t>
  </si>
  <si>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</si>
  <si>
    <t>Provides a clear and complete explanation with code example.</t>
  </si>
  <si>
    <t>Explain the error 'NameError: name 'names' is not defined' in Python and how to fix it.</t>
  </si>
  <si>
    <t>{"prompt_score": 3, "response_score": 5, "overall_score": 4, "prompt_strengths": "Identifies a specific error in code.", "prompt_issues": "Lacks clarity and context for broader understanding.", "response_strengths": "Provides a clear and complete explanation with code example.", "response_issues": "Could be more concise.", "prompt_rewrite": "Explain the error 'NameError: name 'names' is not defined' in Python and how to fix it.", "response_improvement_suggestions": "Consider summarizing the explanation to enhance conciseness.", "verdict": "good", "needs_human_review": false}</t>
  </si>
  <si>
    <t>[MODE:code]
linreg_pipeline = Pipeline([
    ("preprocessing", preprocessor),
    ("model", LinearRegression())
])
ini linear regression pipeline saya,saaya mempunyai model yang di train menggunakan linear regression, itu prompt nya gimana ya saya punya variabel dengan nama pred</t>
  </si>
  <si>
    <t>linreg_pipeline.fit(X_train, y_train)
pred = linreg_pipeline.predict(X_test)</t>
  </si>
  <si>
    <t>```python
linreg_pipeline.fit(X_train, y_train)
pred = linreg_pipeline.predict(X_test)
```</t>
  </si>
  <si>
    <t>Includes relevant context about linear regression and a pipeline.</t>
  </si>
  <si>
    <t>Lacks clarity and specificity in asking for help.</t>
  </si>
  <si>
    <t>Provides a relevant and correct continuation of the code.</t>
  </si>
  <si>
    <t>Could include more explanation or context for clarity.</t>
  </si>
  <si>
    <t>Bagaimana cara melanjutkan kode ini untuk memprediksi menggunakan model linear regression yang sudah dilatih?</t>
  </si>
  <si>
    <t>Add comments or explanations to clarify the code's purpose.</t>
  </si>
  <si>
    <t>{"prompt_score": 3, "response_score": 4, "overall_score": 3, "prompt_strengths": "Includes relevant context about linear regression and a pipeline.", "prompt_issues": "Lacks clarity and specificity in asking for help.", "response_strengths": "Provides a relevant and correct continuation of the code.", "response_issues": "Could include more explanation or context for clarity.", "prompt_rewrite": "Bagaimana cara melanjutkan kode ini untuk memprediksi menggunakan model linear regression yang sudah dilatih?", "response_improvement_suggestions": "Add comments or explanations to clarify the code's purpose.", "verdict": "fair", "needs_human_review": false}</t>
  </si>
  <si>
    <t>[MODE:code]
buat code untuk latih grid_serach dari 6000 data pertama pada dataset csv sebelumnya yang sudah dibuat pipeline dengan preprocessing svr</t>
  </si>
  <si>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</si>
  <si>
    <t>```python
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
```</t>
  </si>
  <si>
    <t>Correct, complete, and well-structured code.</t>
  </si>
  <si>
    <t>Buat kode untuk melatih GridSearchCV menggunakan 6000 data pertama dari dataset CSV yang sudah diproses dengan pipeline SVR.</t>
  </si>
  <si>
    <t>Add comments explaining each step for better clarity.</t>
  </si>
  <si>
    <t>{"prompt_score": 4, "response_score": 5, "overall_score": 5, "prompt_strengths": "Clear and specific about the task.", "prompt_issues": "Could provide more context on the dataset.", "response_strengths": "Correct, complete, and well-structured code.", "response_issues": "None significant.", "prompt_rewrite": "Buat kode untuk melatih GridSearchCV menggunakan 6000 data pertama dari dataset CSV yang sudah diproses dengan pipeline SVR.", "response_improvement_suggestions": "Add comments explaining each step for better clarity.", "verdict": "excellent", "needs_human_review": false}</t>
  </si>
  <si>
    <t>[MODE:code]
seharusnya code tidak akan sepanjang itu, mungkin ada letak kesalahan dalam menemukan solusi. coba perhatikan lagi fokus permasalahan yang diminta yaitu menampilkan distribusi fitur berdasarkan class dengan menggunakan libari sns dengan atribut boxplot</t>
  </si>
  <si>
    <t>import seaborn as sns
import matplotlib.pyplot as plt
for col in dataframe.columns.drop("class"):
    sns.boxplot(data=dataframe, x="class", y=col)
    plt.title(f"Distribusi {col} berdasarkan class")
    plt.show()</t>
  </si>
  <si>
    <t>```python
import seaborn as sns
import matplotlib.pyplot as plt
for col in dataframe.columns.drop("class"):
    sns.boxplot(data=dataframe, x="class", y=col)
    plt.title(f"Distribusi {col} berdasarkan class")
    plt.show()
```</t>
  </si>
  <si>
    <t>Identifies the need for a concise solution.</t>
  </si>
  <si>
    <t>Lacks clarity and specificity in the request.</t>
  </si>
  <si>
    <t>Could include comments for clarity and explanation.</t>
  </si>
  <si>
    <t>Tolong berikan kode yang lebih ringkas untuk menampilkan distribusi fitur berdasarkan kelas menggunakan seaborn dan boxplot.</t>
  </si>
  <si>
    <t>{"prompt_score": 3, "response_score": 4, "overall_score": 3, "prompt_strengths": "Identifies the need for a concise solution.", "prompt_issues": "Lacks clarity and specificity in the request.", "response_strengths": "Provides a relevant and correct code snippet.", "response_issues": "Could include comments for clarity and explanation.", "prompt_rewrite": "Tolong berikan kode yang lebih ringkas untuk menampilkan distribusi fitur berdasarkan kelas menggunakan seaborn dan boxplot.", "response_improvement_suggestions": "Add comments to explain each part of the code for better understanding.", "verdict": "good", "needs_human_review": false}</t>
  </si>
  <si>
    <t>[MODE:summary_code_explanation]
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</si>
  <si>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</si>
  <si>
    <t>Clear context and specific request for code improvement.</t>
  </si>
  <si>
    <t>Thorough explanation with correct code modifications and clear reasoning.</t>
  </si>
  <si>
    <t>None significant; all aspects of the request were addressed.</t>
  </si>
  <si>
    <t>I'm working on a Jupyter notebook for training machine learning models. I need help improving the `gradient_descent` function in Python to ensure it correctly updates `theta` and tracks the cost. The current implementation is incomplete. What specific changes should I make?</t>
  </si>
  <si>
    <t>Consider adding examples of how to use the functions or test cases to validate the implementation.</t>
  </si>
  <si>
    <t>{"prompt_score": 4, "response_score": 5, "overall_score": 5, "prompt_strengths": "Clear context and specific request for code improvement.", "prompt_issues": "Could provide more details on the expected output format.", "response_strengths": "Thorough explanation with correct code modifications and clear reasoning.", "response_issues": "None significant; all aspects of the request were addressed.", "prompt_rewrite": "I'm working on a Jupyter notebook for training machine learning models. I need help improving the `gradient_descent` function in Python to ensure it correctly updates `theta` and tracks the cost. The current implementation is incomplete. What specific changes should I make?", "response_improvement_suggestions": "Consider adding examples of how to use the functions or test cases to validate the implementation.", "verdict": "excellent", "needs_human_review": false}</t>
  </si>
  <si>
    <t>[MODE:code]
tolong tambahkan synatax untuk print hasil hitung dari pression dan juga recall nyaaaaaaaaaaaaaaaaaaaaaaa'</t>
  </si>
  <si>
    <t>precision = precision_score(y, y_pred); print("Precision:", precision)
recall = recall_score(y, y_pred); print("Recall:", recall)</t>
  </si>
  <si>
    <t>```python
precision = precision_score(y, y_pred); print("Precision:", precision)
recall = recall_score(y, y_pred); print("Recall:", recall)
```</t>
  </si>
  <si>
    <t>Indicates a coding task.</t>
  </si>
  <si>
    <t>Lacks clarity and contains excessive characters.</t>
  </si>
  <si>
    <t>Correctly implements precision and recall calculations.</t>
  </si>
  <si>
    <t>Missing proper formatting and separation of statements.</t>
  </si>
  <si>
    <t>[MODE:code] Please add syntax to print the results of precision and recall.</t>
  </si>
  <si>
    <t>Separate the print statements for clarity and ensure proper syntax.</t>
  </si>
  <si>
    <t>{"prompt_score": 2, "response_score": 4, "overall_score": 3, "prompt_strengths": "Indicates a coding task.", "prompt_issues": "Lacks clarity and contains excessive characters.", "response_strengths": "Correctly implements precision and recall calculations.", "response_issues": "Missing proper formatting and separation of statements.", "prompt_rewrite": "[MODE:code] Please add syntax to print the results of precision and recall.", "response_improvement_suggestions": "Separate the print statements for clarity and ensure proper syntax.", "verdict": "fair", "needs_human_review": false}</t>
  </si>
  <si>
    <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</si>
  <si>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</si>
  <si>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</si>
  <si>
    <t>Clear structure and context provided.</t>
  </si>
  <si>
    <t>Comprehensive and relevant code for handling null values.</t>
  </si>
  <si>
    <t>Jangan buat kodenya dari awal. Gunakan struktur kode berikut: # DO NOT CHANGE THE CODE BELOW: import pandas as pd ... Sekarang, cari tahu informasi mengenai nilai null dalam dataset dan berikan hasilnya dalam format tabel.</t>
  </si>
  <si>
    <t>Consider adding comments to explain each step of the code for clarity.</t>
  </si>
  <si>
    <t>{"prompt_score": 4, "response_score": 5, "overall_score": 4, "prompt_strengths": "Clear structure and context provided.", "prompt_issues": "Could be more specific about the expected output format.", "response_strengths": "Comprehensive and relevant code for handling null values.", "response_issues": "None identified; response is complete and clear.", "prompt_rewrite": "Jangan buat kodenya dari awal. Gunakan struktur kode berikut: # DO NOT CHANGE THE CODE BELOW: import pandas as pd ... Sekarang, cari tahu informasi mengenai nilai null dalam dataset dan berikan hasilnya dalam format tabel.", "response_improvement_suggestions": "Consider adding comments to explain each step of the code for clarity.", "verdict": "good", "needs_human_review": false}</t>
  </si>
  <si>
    <t>[MODE:code]
bagaimana cara membuat variabel yang bernama loocv dari kelas leaveOneOut? lalu buatlah model yang merupakan model LogisticRegression dengan parameter solver adalah liblinear</t>
  </si>
  <si>
    <t>from sklearn.model_selection import LeaveOneOut
from sklearn.linear_model import LogisticRegression
loocv = LeaveOneOut()
model = LogisticRegression(solver="liblinear")</t>
  </si>
  <si>
    <t>```python
from sklearn.model_selection import LeaveOneOut
from sklearn.linear_model import LogisticRegression
loocv = LeaveOneOut()
model = LogisticRegression(solver="liblinear")
```</t>
  </si>
  <si>
    <t>Bagaimana cara membuat variabel loocv dari kelas LeaveOneOut dan model LogisticRegression dengan solver liblinear untuk analisis data?</t>
  </si>
  <si>
    <t>{"prompt_score": 4, "response_score": 5, "overall_score": 5, "prompt_strengths": "Clear and specific about the task.", "prompt_issues": "Could provide more context on the use case.", "response_strengths": "Correct and complete code implementation.", "response_issues": "None.", "prompt_rewrite": "Bagaimana cara membuat variabel loocv dari kelas LeaveOneOut dan model LogisticRegression dengan solver liblinear untuk analisis data?", "response_improvement_suggestions": "None needed; response is already complete.", "verdict": "excellent", "needs_human_review": false}</t>
  </si>
  <si>
    <t>[MODE:code]
Kita buat classifier dari kelas KNeighborsClassifier berikan codenya
##### Your Code Here #####
knn_clf =</t>
  </si>
  <si>
    <t>from sklearn.neighbors import KNeighborsClassifier
knn_clf = KNeighborsClassifier()</t>
  </si>
  <si>
    <t>```python
from sklearn.neighbors import KNeighborsClassifier
knn_clf = KNeighborsClassifier()
```</t>
  </si>
  <si>
    <t>Directly asks for code implementation.</t>
  </si>
  <si>
    <t>Lacks clarity and context for the classifier's purpose.</t>
  </si>
  <si>
    <t>Correct and complete code for the classifier.</t>
  </si>
  <si>
    <t>Could include comments or explanations for clarity.</t>
  </si>
  <si>
    <t>Buatlah kode untuk mengimplementasikan KNeighborsClassifier dari sklearn, sertakan penjelasan singkat tentang penggunaannya.</t>
  </si>
  <si>
    <t>Add comments explaining the code and its purpose.</t>
  </si>
  <si>
    <t>{"prompt_score": 3, "response_score": 5, "overall_score": 4, "prompt_strengths": "Directly asks for code implementation.", "prompt_issues": "Lacks clarity and context for the classifier's purpose.", "response_strengths": "Correct and complete code for the classifier.", "response_issues": "Could include comments or explanations for clarity.", "prompt_rewrite": "Buatlah kode untuk mengimplementasikan KNeighborsClassifier dari sklearn, sertakan penjelasan singkat tentang penggunaannya.", "response_improvement_suggestions": "Add comments explaining the code and its purpose.", "verdict": "good", "needs_human_review": false}</t>
  </si>
  <si>
    <t>[LANG:Python]
[MODE:code]
cara tau informasi mengenai nilai null pada dataset, berikan saya codingan nya untuk pengetahuan saya</t>
  </si>
  <si>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</si>
  <si>
    <t>```python
#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
```</t>
  </si>
  <si>
    <t>Clear and specific request for Python code related to null values in a dataset.</t>
  </si>
  <si>
    <t>Could provide more context about the dataset type or size.</t>
  </si>
  <si>
    <t>Comprehensive and correct code that addresses all aspects of handling null values in a dataset.</t>
  </si>
  <si>
    <t>[LANG:Python] [MODE:code] Berikan saya contoh kode Python untuk menganalisis nilai null dalam dataset pandas, termasuk informasi yang relevan.</t>
  </si>
  <si>
    <t>{"prompt_score": 4, "response_score": 5, "overall_score": 5, "prompt_strengths": "Clear and specific request for Python code related to null values in a dataset.", "prompt_issues": "Could provide more context about the dataset type or size.", "response_strengths": "Comprehensive and correct code that addresses all aspects of handling null values in a dataset.", "response_issues": "None; the response is complete and clear.", "prompt_rewrite": "[LANG:Python] [MODE:code] Berikan saya contoh kode Python untuk menganalisis nilai null dalam dataset pandas, termasuk informasi yang relevan.", "response_improvement_suggestions": "None; the response is already thorough and well-structured.", "verdict": "excellent", "needs_human_review": false}</t>
  </si>
  <si>
    <t>[MODE:summary]
beri jawaban yang benar untuk soal berikut dari pilihan di bawah. Cross-entropy minimum
*
Prediksi salah
Random
Noise
Prediksi benar</t>
  </si>
  <si>
    <t>Cross-entropy minimum terjadi saat model memberi probabilitas tinggi pada kelas yang benar, sehingga loss menjadi paling kecil. Dari pilihan yang ada, jawabannya adalah Prediksi benar.</t>
  </si>
  <si>
    <t>Direct and task-oriented.</t>
  </si>
  <si>
    <t>Lacks clarity in context and constraints.</t>
  </si>
  <si>
    <t>Correct and clear explanation.</t>
  </si>
  <si>
    <t>Could provide more detail on cross-entropy.</t>
  </si>
  <si>
    <t>[MODE:summary] Berikan jawaban yang benar untuk soal berikut dari pilihan di bawah: Apa yang terjadi pada cross-entropy minimum? Pilihan: 1. Prediksi salah 2. Random Noise 3. Prediksi benar.</t>
  </si>
  <si>
    <t>Include a brief explanation of why 'Prediksi benar' is the correct choice.</t>
  </si>
  <si>
    <t>{"prompt_score": 3, "response_score": 4, "overall_score": 4, "prompt_strengths": "Direct and task-oriented.", "prompt_issues": "Lacks clarity in context and constraints.", "response_strengths": "Correct and clear explanation.", "response_issues": "Could provide more detail on cross-entropy.", "prompt_rewrite": "[MODE:summary] Berikan jawaban yang benar untuk soal berikut dari pilihan di bawah: Apa yang terjadi pada cross-entropy minimum? Pilihan: 1. Prediksi salah 2. Random Noise 3. Prediksi benar.", "response_improvement_suggestions": "Include a brief explanation of why 'Prediksi benar' is the correct choice.", "verdict": "good", "needs_human_review": false}</t>
  </si>
  <si>
    <t>[MODE:code]
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</si>
  <si>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</si>
  <si>
    <t>```python
#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
```</t>
  </si>
  <si>
    <t>The prompt clearly describes the error encountered and provides context for the issue.</t>
  </si>
  <si>
    <t>Could benefit from specifying the environment (e.g., Google Colab) for better context.</t>
  </si>
  <si>
    <t>The response is relevant, correct, and provides a complete solution with clear steps.</t>
  </si>
  <si>
    <t>None noted; the response is thorough and actionable.</t>
  </si>
  <si>
    <t>Saya mengalami FileNotFoundError saat menjalankan kode di Google Colab. Bagaimana cara memastikan file 'ex5data1.mat' dapat diimpor dan dibaca?</t>
  </si>
  <si>
    <t>Consider adding a brief explanation of each step for better understanding.</t>
  </si>
  <si>
    <t>{"prompt_score": 4, "response_score": 5, "overall_score": 5, "prompt_strengths": "The prompt clearly describes the error encountered and provides context for the issue.", "prompt_issues": "Could benefit from specifying the environment (e.g., Google Colab) for better context.", "response_strengths": "The response is relevant, correct, and provides a complete solution with clear steps.", "response_issues": "None noted; the response is thorough and actionable.", "prompt_rewrite": "Saya mengalami FileNotFoundError saat menjalankan kode di Google Colab. Bagaimana cara memastikan file 'ex5data1.mat' dapat diimpor dan dibaca?", "response_improvement_suggestions": "Consider adding a brief explanation of each step for better understanding.", "verdict": "excellent", "needs_human_review": false}</t>
  </si>
  <si>
    <t>[MODE:summary]
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</si>
  <si>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</si>
  <si>
    <t>Clear questions about ROC and precision-recall tradeoff.</t>
  </si>
  <si>
    <t>Could provide more context on the dataset or model used.</t>
  </si>
  <si>
    <t>Accurate, detailed explanation of precision-recall dynamics.</t>
  </si>
  <si>
    <t>Can you clarify if the precision-recall score is derived from a validation set, and what does a decrease in precision as recall increases indicate in terms of model performance?</t>
  </si>
  <si>
    <t>{"prompt_score": 4, "response_score": 5, "overall_score": 5, "prompt_strengths": "Clear questions about ROC and precision-recall tradeoff.", "prompt_issues": "Could provide more context on the dataset or model used.", "response_strengths": "Accurate, detailed explanation of precision-recall dynamics.", "response_issues": "None significant; very thorough.", "prompt_rewrite": "Can you clarify if the precision-recall score is derived from a validation set, and what does a decrease in precision as recall increases indicate in terms of model performance?", "response_improvement_suggestions": "Consider adding examples or visual aids to enhance understanding.", "verdict": "excellent", "needs_human_review": false}</t>
  </si>
  <si>
    <t>[MODE:code]
buatkan kode untuk membuat statistik deskriptif, clue : use describe() dengan menggunakan bahasa python</t>
  </si>
  <si>
    <t>stats = dataframe.describe()</t>
  </si>
  <si>
    <t>```python
stats = dataframe.describe()
```</t>
  </si>
  <si>
    <t>Clear request for Python code.</t>
  </si>
  <si>
    <t>Could specify the type of dataframe or additional statistics needed.</t>
  </si>
  <si>
    <t>Directly addresses the prompt with relevant code.</t>
  </si>
  <si>
    <t>Lacks explanation and context; does not handle potential errors or dataframe setup.</t>
  </si>
  <si>
    <t>Buatkan kode Python untuk menghasilkan statistik deskriptif menggunakan describe() pada dataframe yang berisi data penjualan.</t>
  </si>
  <si>
    <t>Include a brief explanation of the code and how to set up the dataframe.</t>
  </si>
  <si>
    <t>{"prompt_score": 4, "response_score": 3, "overall_score": 3, "prompt_strengths": "Clear request for Python code.", "prompt_issues": "Could specify the type of dataframe or additional statistics needed.", "response_strengths": "Directly addresses the prompt with relevant code.", "response_issues": "Lacks explanation and context; does not handle potential errors or dataframe setup.", "prompt_rewrite": "Buatkan kode Python untuk menghasilkan statistik deskriptif menggunakan describe() pada dataframe yang berisi data penjualan.", "response_improvement_suggestions": "Include a brief explanation of the code and how to set up the dataframe.", "verdict": "fair", "needs_human_review": false}</t>
  </si>
  <si>
    <t>[MODE:summary_code_explanation]
bagaimana cara menyimpan semua nilai datafram eke variable array (dengan cara mengugnakna ttriutbe values)
Setelah itu X itu baris dan kolom ke-1 s.d. ke-7 ke dalam variabel X. dan  semua baris dari kolom ke-7 ke dalam variabel y.</t>
  </si>
  <si>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</si>
  <si>
    <t>Some grammatical errors and unclear phrasing may hinder understanding.</t>
  </si>
  <si>
    <t>The response is relevant, correct, and provides a clear code example.</t>
  </si>
  <si>
    <t>Could include more explanation on the slicing process for clarity.</t>
  </si>
  <si>
    <t>[MODE:summary_code_explanation] Bagaimana cara menyimpan semua nilai dari DataFrame ke dalam variabel array menggunakan atribut .values? Setelah itu, bagaimana cara memisahkan baris dan kolom ke-1 hingga ke-7 ke dalam variabel X, dan semua baris dari kolom ke-7 ke dalam variabel y?</t>
  </si>
  <si>
    <t>Add a brief explanation of why slicing is done this way for better understanding.</t>
  </si>
  <si>
    <t>{"prompt_score": 3, "response_score": 4, "overall_score": 4, "prompt_strengths": "The prompt specifies the task clearly and provides context.", "prompt_issues": "Some grammatical errors and unclear phrasing may hinder understanding.", "response_strengths": "The response is relevant, correct, and provides a clear code example.", "response_issues": "Could include more explanation on the slicing process for clarity.", "prompt_rewrite": "[MODE:summary_code_explanation] Bagaimana cara menyimpan semua nilai dari DataFrame ke dalam variabel array menggunakan atribut .values? Setelah itu, bagaimana cara memisahkan baris dan kolom ke-1 hingga ke-7 ke dalam variabel X, dan semua baris dari kolom ke-7 ke dalam variabel y?", "response_improvement_suggestions": "Add a brief explanation of why slicing is done this way for better understanding.", "verdict": "good", "needs_human_review": false}</t>
  </si>
  <si>
    <t>[LANG:Python]
[MODE:summary_code_explanation]
Buatlah model yang merupakan model LogisticRegression dengan parameter solver adalah liblinear.
coba kerjakan</t>
  </si>
  <si>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</si>
  <si>
    <t>Could provide more context on the dataset or use case.</t>
  </si>
  <si>
    <t>Buatlah model LogisticRegression dengan parameter solver adalah 'liblinear' untuk dataset kecil/menengah.</t>
  </si>
  <si>
    <t>Consider adding an example of fitting the model to data.</t>
  </si>
  <si>
    <t>{"prompt_score": 4, "response_score": 5, "overall_score": 5, "prompt_strengths": "Clear and specific about the task.", "prompt_issues": "Could provide more context on the dataset or use case.", "response_strengths": "Accurate, complete, and clearly explains the code.", "response_issues": "None.", "prompt_rewrite": "Buatlah model LogisticRegression dengan parameter solver adalah 'liblinear' untuk dataset kecil/menengah.", "response_improvement_suggestions": "Consider adding an example of fitting the model to data.", "verdict": "excellent", "needs_human_review": false}</t>
  </si>
  <si>
    <t>[MODE:summary_code_explanation]
Baik kamu sudah membuatnya dari bagian satu sampai empat tinggal atau sisa dua bagian lagi yaitu bagian lima dan enam nya</t>
  </si>
  <si>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</si>
  <si>
    <t>The prompt is clear and specifies the remaining sections to be completed.</t>
  </si>
  <si>
    <t>Lacks specific instructions on what details to include in sections five and six.</t>
  </si>
  <si>
    <t>The response is relevant, detailed, and provides a comprehensive explanation with code examples.</t>
  </si>
  <si>
    <t>Could be more concise; some parts are overly detailed for a summary.</t>
  </si>
  <si>
    <t>Please summarize the remaining sections five and six, focusing on key insights and comparisons.</t>
  </si>
  <si>
    <t>Consider summarizing the code and insights more succinctly to enhance clarity.</t>
  </si>
  <si>
    <t>{"prompt_score": 3, "response_score": 4, "overall_score": 4, "prompt_strengths": "The prompt is clear and specifies the remaining sections to be completed.", "prompt_issues": "Lacks specific instructions on what details to include in sections five and six.", "response_strengths": "The response is relevant, detailed, and provides a comprehensive explanation with code examples.", "response_issues": "Could be more concise; some parts are overly detailed for a summary.", "prompt_rewrite": "Please summarize the remaining sections five and six, focusing on key insights and comparisons.", "response_improvement_suggestions": "Consider summarizing the code and insights more succinctly to enhance clarity.", "verdict": "good", "needs_human_review": false}</t>
  </si>
  <si>
    <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</si>
  <si>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</si>
  <si>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Clear and specific data points provided.</t>
  </si>
  <si>
    <t>Could benefit from clearer structure or questions.</t>
  </si>
  <si>
    <t>Thorough analysis and clear explanation of data.</t>
  </si>
  <si>
    <t>Could include more visual references to the graph.</t>
  </si>
  <si>
    <t>[MODE:summary] Jelaskan grafik asuransi berdasarkan data berikut: Rata-rata biaya berdasarkan status perokok, jenis kelamin, dan wilayah. Sertakan juga tren biaya berdasarkan usia.</t>
  </si>
  <si>
    <t>Incorporate references to specific visual elements of the graph for better clarity.</t>
  </si>
  <si>
    <t>{"prompt_score": 4, "response_score": 5, "overall_score": 4, "prompt_strengths": "Clear and specific data points provided.", "prompt_issues": "Could benefit from clearer structure or questions.", "response_strengths": "Thorough analysis and clear explanation of data.", "response_issues": "Could include more visual references to the graph.", "prompt_rewrite": "[MODE:summary] Jelaskan grafik asuransi berdasarkan data berikut: Rata-rata biaya berdasarkan status perokok, jenis kelamin, dan wilayah. Sertakan juga tren biaya berdasarkan usia.", "response_improvement_suggestions": "Incorporate references to specific visual elements of the graph for better clarity.", "verdict": "good", "needs_human_review": false}</t>
  </si>
  <si>
    <t>[MODE:code]
Buatkan saya sebuah kode untuk mencari informasi mengenai nilai null pada sebuah dataset csv, dimana nama dataset tersebut adalah housing, contohnya housing.describe() akan menampilkan data</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</si>
  <si>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</si>
  <si>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```python
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
```</t>
  </si>
  <si>
    <t>Clear and specific request for code to analyze null values in a CSV dataset.</t>
  </si>
  <si>
    <t>Could specify the expected output format for clarity.</t>
  </si>
  <si>
    <t>Comprehensive code that correctly implements the requested functionality with clear output.</t>
  </si>
  <si>
    <t>None noted; the response is complete and clear.</t>
  </si>
  <si>
    <t>Buatkan saya sebuah kode Python untuk mencari informasi mengenai nilai null pada dataset CSV bernama 'housing.csv', termasuk ringkasan statistik dan jumlah nilai null per kolom.</t>
  </si>
  <si>
    <t>Consider adding comments to explain each step of the code for better understanding.</t>
  </si>
  <si>
    <t>{"prompt_score": 4, "response_score": 5, "overall_score": 4, "prompt_strengths": "Clear and specific request for code to analyze null values in a CSV dataset.", "prompt_issues": "Could specify the expected output format for clarity.", "response_strengths": "Comprehensive code that correctly implements the requested functionality with clear output.", "response_issues": "None noted; the response is complete and clear.", "prompt_rewrite": "Buatkan saya sebuah kode Python untuk mencari informasi mengenai nilai null pada dataset CSV bernama 'housing.csv', termasuk ringkasan statistik dan jumlah nilai null per kolom.", "response_improvement_suggestions": "Consider adding comments to explain each step of the code for better understanding.", "verdict": "good", "needs_human_review": false}</t>
  </si>
  <si>
    <t>[MODE:code]
saya membutuhkan kode yang menampilkan distribusi fitur berdasarkan class menggunakan librari sns dengan atribut boxplot</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</si>
  <si>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</si>
  <si>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```python
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
```</t>
  </si>
  <si>
    <t>Tolong berikan kode Python yang menggunakan seaborn untuk menampilkan boxplot distribusi fitur berdasarkan kelas dari dataset yang saya miliki.</t>
  </si>
  <si>
    <t>Add comments to the code for better clarity.</t>
  </si>
  <si>
    <t>{"prompt_score": 4, "response_score": 5, "overall_score": 5, "prompt_strengths": "Clear and specific request for code.", "prompt_issues": "Could provide more context about the dataset.", "response_strengths": "Correct and complete code implementation.", "response_issues": "None noted.", "prompt_rewrite": "Tolong berikan kode Python yang menggunakan seaborn untuk menampilkan boxplot distribusi fitur berdasarkan kelas dari dataset yang saya miliki.", "response_improvement_suggestions": "Add comments to the code for better clarity.", "verdict": "excellent", "needs_human_review": false}</t>
  </si>
  <si>
    <t>[MODE:summary_code_explanation]
Pipeline([(‘scaler' StandardScaler()), (‘model’, SVR())]) berarti apa? apakah, Scaling lalu training model?
Clustering?
Menghapus dataset?
Classification?
berikan saya jawaban nya</t>
  </si>
  <si>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</si>
  <si>
    <t>Clear and specific about the pipeline components.</t>
  </si>
  <si>
    <t>Could provide more context on the purpose of the pipeline.</t>
  </si>
  <si>
    <t>Accurate, complete explanation with code example.</t>
  </si>
  <si>
    <t>Apa arti dari Pipeline([(‘scaler' StandardScaler()), (‘model’, SVR())]) dalam konteks machine learning?</t>
  </si>
  <si>
    <t>{"prompt_score": 4, "response_score": 5, "overall_score": 4, "prompt_strengths": "Clear and specific about the pipeline components.", "prompt_issues": "Could provide more context on the purpose of the pipeline.", "response_strengths": "Accurate, complete explanation with code example.", "response_issues": "None significant.", "prompt_rewrite": "Apa arti dari Pipeline([(‘scaler' StandardScaler()), (‘model’, SVR())]) dalam konteks machine learning?", "response_improvement_suggestions": "None needed; response is already strong.", "verdict": "good", "needs_human_review": false}</t>
  </si>
  <si>
    <t>[MODE:code]
saya sebagai mahasiswa semester 6 akan mengerjakan sebuah praktikum untuk soal yang akan di berikan berikut Gunakan method score dari model pada X_test dan y_test dan simpan hasilnya di variabel result.</t>
  </si>
  <si>
    <t>result = model.score(X_test, y_test)</t>
  </si>
  <si>
    <t>```python
result = model.score(X_test, y_test)
```</t>
  </si>
  <si>
    <t>Lacks context on the model and data.</t>
  </si>
  <si>
    <t>Could include explanation or context.</t>
  </si>
  <si>
    <t>Sebagai mahasiswa semester 6, saya akan mengerjakan praktikum dengan menggunakan method score dari model yang telah dilatih. Silakan gunakan X_test dan y_test, dan simpan hasilnya di variabel result.</t>
  </si>
  <si>
    <t>Add a brief explanation of what the score method does.</t>
  </si>
  <si>
    <t>{"prompt_score": 4, "response_score": 5, "overall_score": 4, "prompt_strengths": "Clear and specific about the task.", "prompt_issues": "Lacks context on the model and data.", "response_strengths": "Directly addresses the prompt with correct syntax.", "response_issues": "Could include explanation or context.", "prompt_rewrite": "Sebagai mahasiswa semester 6, saya akan mengerjakan praktikum dengan menggunakan method score dari model yang telah dilatih. Silakan gunakan X_test dan y_test, dan simpan hasilnya di variabel result.", "response_improvement_suggestions": "Add a brief explanation of what the score method does.", "verdict": "good", "needs_human_review": false}</t>
  </si>
  <si>
    <t>[MODE:code]
Kembali kita gunakan cross_val_predict sama seperti ketika kita menggunakan LogisticRegression tetapi kali ini method-nya adalah predict_proba.</t>
  </si>
  <si>
    <t>from sklearn.model_selection import cross_val_predict
y_probas = cross_val_predict(model, X, y, cv=kfold, method="predict_proba")</t>
  </si>
  <si>
    <t>```python
from sklearn.model_selection import cross_val_predict
y_probas = cross_val_predict(model, X, y, cv=kfold, method="predict_proba")
```</t>
  </si>
  <si>
    <t>Clear and specific about using cross_val_predict with predict_proba.</t>
  </si>
  <si>
    <t>Correct implementation of cross_val_predict with predict_proba.</t>
  </si>
  <si>
    <t>Explain how to use cross_val_predict with predict_proba in a specific model context.</t>
  </si>
  <si>
    <t>Add comments to explain the code and its components.</t>
  </si>
  <si>
    <t>{"prompt_score": 4, "response_score": 4, "overall_score": 4, "prompt_strengths": "Clear and specific about using cross_val_predict with predict_proba.", "prompt_issues": "Could provide more context on the model and data.", "response_strengths": "Correct implementation of cross_val_predict with predict_proba.", "response_issues": "Lacks explanation or comments for clarity.", "prompt_rewrite": "Explain how to use cross_val_predict with predict_proba in a specific model context.", "response_improvement_suggestions": "Add comments to explain the code and its components.", "verdict": "good", "needs_human_review": false}</t>
  </si>
  <si>
    <t>[MODE:summary]
Terdapat pertanyaan refleksi tolong bantu jawab .Jika jumlah iterasi ditambah, apa yang terjadi pada kurva MSE?</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</si>
  <si>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</si>
  <si>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Clear and specific question about MSE curve behavior.</t>
  </si>
  <si>
    <t>Could provide more context on MSE and iterations.</t>
  </si>
  <si>
    <t>Accurate, complete, and clearly explains the relationship between iterations and MSE.</t>
  </si>
  <si>
    <t>Tolong bantu jawab pertanyaan refleksi: Apa yang terjadi pada kurva MSE jika jumlah iterasi dalam algoritma pembelajaran mesin ditambah?</t>
  </si>
  <si>
    <t>{"prompt_score": 4, "response_score": 5, "overall_score": 5, "prompt_strengths": "Clear and specific question about MSE curve behavior.", "prompt_issues": "Could provide more context on MSE and iterations.", "response_strengths": "Accurate, complete, and clearly explains the relationship between iterations and MSE.", "response_issues": "None significant; well-articulated.", "prompt_rewrite": "Tolong bantu jawab pertanyaan refleksi: Apa yang terjadi pada kurva MSE jika jumlah iterasi dalam algoritma pembelajaran mesin ditambah?", "response_improvement_suggestions": "Consider adding examples or visual aids to enhance understanding.", "verdict": "excellent", "needs_human_review": false}</t>
  </si>
  <si>
    <t>[MODE:code]
sekarang saya diminta untuk mengecek akurasi Silakan Anda tampilkan accuracy baseline ini. Accuracy baseline harusnya 96% jika benar</t>
  </si>
  <si>
    <t>from sklearn.metrics import accuracy_score
y_pred = knn_clf.predict(X_test)
baseline_accuracy = accuracy_score(y_test, y_pred)
print(f"Baseline accuracy: {baseline_accuracy:.2%}")</t>
  </si>
  <si>
    <t>```python
from sklearn.metrics import accuracy_score
y_pred = knn_clf.predict(X_test)
baseline_accuracy = accuracy_score(y_test, y_pred)
print(f"Baseline accuracy: {baseline_accuracy:.2%}")
```</t>
  </si>
  <si>
    <t>The prompt specifies a task related to accuracy and provides a target value.</t>
  </si>
  <si>
    <t>Lacks clarity in the request and context for the accuracy baseline.</t>
  </si>
  <si>
    <t>The response provides relevant code for calculating accuracy.</t>
  </si>
  <si>
    <t>Missing context on how to define 'knn_clf', 'X_test', and 'y_test'.</t>
  </si>
  <si>
    <t>Tolong tampilkan kode untuk menghitung baseline accuracy yang seharusnya 96% menggunakan model KNN.</t>
  </si>
  <si>
    <t>Include definitions or examples for 'knn_clf', 'X_test', and 'y_test'.</t>
  </si>
  <si>
    <t>{"prompt_score": 3, "response_score": 4, "overall_score": 3, "prompt_strengths": "The prompt specifies a task related to accuracy and provides a target value.", "prompt_issues": "Lacks clarity in the request and context for the accuracy baseline.", "response_strengths": "The response provides relevant code for calculating accuracy.", "response_issues": "Missing context on how to define 'knn_clf', 'X_test', and 'y_test'.", "prompt_rewrite": "Tolong tampilkan kode untuk menghitung baseline accuracy yang seharusnya 96% menggunakan model KNN.", "response_improvement_suggestions": "Include definitions or examples for 'knn_clf', 'X_test', and 'y_test'.", "verdict": "fair", "needs_human_review": false}</t>
  </si>
  <si>
    <t>[MODE:code]
pendekatan  mana gradient descant lebih praktis dalam kasus fitur banyak dan dataset besar dan jelaskan mengapa</t>
  </si>
  <si>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</si>
  <si>
    <t>```python
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
```</t>
  </si>
  <si>
    <t>Clear and specific question about gradient descent.</t>
  </si>
  <si>
    <t>Thorough explanation with clear reasoning and examples.</t>
  </si>
  <si>
    <t>[MODE:code] Dalam konteks pembelajaran mesin, mana pendekatan gradient descent yang lebih praktis untuk dataset besar dan banyak fitur? Jelaskan alasannya.</t>
  </si>
  <si>
    <t>{"prompt_score": 4, "response_score": 5, "overall_score": 4, "prompt_strengths": "Clear and specific question about gradient descent.", "prompt_issues": "Could provide more context on the audience's knowledge level.", "response_strengths": "Thorough explanation with clear reasoning and examples.", "response_issues": "Could be more concise in some areas.", "prompt_rewrite": "[MODE:code] Dalam konteks pembelajaran mesin, mana pendekatan gradient descent yang lebih praktis untuk dataset besar dan banyak fitur? Jelaskan alasannya.", "response_improvement_suggestions": "Consider summarizing key points to enhance conciseness.", "verdict": "good", "needs_human_review": false}</t>
  </si>
  <si>
    <t>[MODE:summary_code_explanation]
pada scatter plot pengaruh bmi ke charge itu kenapa, rentang bmi 20-40 itu harganya banyak yang sama, dan jelaskan apa pengaruh bmi ke charge asuransinya, berikan insightnya</t>
  </si>
  <si>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</si>
  <si>
    <t>Clear and specific about the analysis needed.</t>
  </si>
  <si>
    <t>Thorough explanation with relevant insights and code examples.</t>
  </si>
  <si>
    <t>Jelaskan pengaruh BMI terhadap biaya asuransi berdasarkan scatter plot, terutama mengapa banyak titik di rentang BMI 20-40 memiliki biaya yang sama, dan berikan insight yang mendalam.</t>
  </si>
  <si>
    <t>Consider adding visual examples or references to specific data points for clarity.</t>
  </si>
  <si>
    <t>{"prompt_score": 4, "response_score": 5, "overall_score": 5, "prompt_strengths": "Clear and specific about the analysis needed.", "prompt_issues": "Could provide more context on the dataset.", "response_strengths": "Thorough explanation with relevant insights and code examples.", "response_issues": "None significant; very comprehensive.", "prompt_rewrite": "Jelaskan pengaruh BMI terhadap biaya asuransi berdasarkan scatter plot, terutama mengapa banyak titik di rentang BMI 20-40 memiliki biaya yang sama, dan berikan insight yang mendalam.", "response_improvement_suggestions": "Consider adding visual examples or references to specific data points for clarity.", "verdict": "excellent", "needs_human_review": false}</t>
  </si>
  <si>
    <t>[MODE:summary_code_explanation]
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</si>
  <si>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</si>
  <si>
    <t>Detailed and specific instructions for implementing regularized linear regression.</t>
  </si>
  <si>
    <t>Correct implementation of the cost and gradient functions with clear explanations.</t>
  </si>
  <si>
    <t>[MODE:summary_code_explanation] Implement regularized linear regression to predict water flow from dam height changes. Visualize the dataset, split into training, validation, and test sets. Complete the function linearRegCostFunction to calculate the cost and gradient, ensuring theta[0] is not regularized. Validate with theta initialized to [1, 1] to achieve a cost near 303.993.</t>
  </si>
  <si>
    <t>None; the response is already well-structured and informative.</t>
  </si>
  <si>
    <t>{"prompt_score": 4, "response_score": 5, "overall_score": 5, "prompt_strengths": "Detailed and specific instructions for implementing regularized linear regression.", "prompt_issues": "Could be more concise; some parts are overly verbose.", "response_strengths": "Correct implementation of the cost and gradient functions with clear explanations.", "response_issues": "None significant; response is complete and clear.", "prompt_rewrite": "[MODE:summary_code_explanation] Implement regularized linear regression to predict water flow from dam height changes. Visualize the dataset, split into training, validation, and test sets. Complete the function linearRegCostFunction to calculate the cost and gradient, ensuring theta[0] is not regularized. Validate with theta initialized to [1, 1] to achieve a cost near 303.993.", "response_improvement_suggestions": "None; the response is already well-structured and informative.", "verdict": "excellent", "needs_human_review": false}</t>
  </si>
  <si>
    <t>[MODE:summary_code_explanation]
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</si>
  <si>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</si>
  <si>
    <t>Clear request for help with specific code issue.</t>
  </si>
  <si>
    <t>Minor lack of detail on specific metrics needed.</t>
  </si>
  <si>
    <t>Thorough, accurate, and provides clear code corrections.</t>
  </si>
  <si>
    <t>None significant; all aspects of the question addressed.</t>
  </si>
  <si>
    <t>[MODE:summary_code_explanation] I'm currently working on a logistic regression model and need help with viewing the score metrics. Here's my current code, and I'm particularly struggling with the confusion matrix and accuracy metrics. # Tulis jawaban Anda di sini ...</t>
  </si>
  <si>
    <t>Consider adding more context on the expected output for each metric.</t>
  </si>
  <si>
    <t>{"prompt_score": 4, "response_score": 5, "overall_score": 5, "prompt_strengths": "Clear request for help with specific code issue.", "prompt_issues": "Minor lack of detail on specific metrics needed.", "response_strengths": "Thorough, accurate, and provides clear code corrections.", "response_issues": "None significant; all aspects of the question addressed.", "prompt_rewrite": "[MODE:summary_code_explanation] I'm currently working on a logistic regression model and need help with viewing the score metrics. Here's my current code, and I'm particularly struggling with the confusion matrix and accuracy metrics. # Tulis jawaban Anda di sini ...", "response_improvement_suggestions": "Consider adding more context on the expected output for each metric.", "verdict": "excellent", "needs_human_review": false}</t>
  </si>
  <si>
    <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</si>
  <si>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SEED = 42</t>
  </si>
  <si>
    <t>```python
SEED = 42
```</t>
  </si>
  <si>
    <t>Lacks clarity on what the user should do next.</t>
  </si>
  <si>
    <t>Provides a clear and relevant solution.</t>
  </si>
  <si>
    <t>Identify the error in the code and suggest how to define 'SEED' properly.</t>
  </si>
  <si>
    <t>Explain why 'SEED' is set to 42 and its significance.</t>
  </si>
  <si>
    <t>{"prompt_score": 3, "response_score": 4, "overall_score": 3, "prompt_strengths": "Identifies a specific error in code.", "prompt_issues": "Lacks clarity on what the user should do next.", "response_strengths": "Provides a clear and relevant solution.", "response_issues": "Could include more context or explanation.", "prompt_rewrite": "Identify the error in the code and suggest how to define 'SEED' properly.", "response_improvement_suggestions": "Explain why 'SEED' is set to 42 and its significance.", "verdict": "fair", "needs_human_review": false}</t>
  </si>
  <si>
    <t>[LANG:Python]
[MODE:summary_code_explanation]
lalu selanjutnya, setelah random forest saya telah membuat param_grid dan juga grid_search, sekarang latih grid_search menggunakan X_train dan y_train dan munculkan best parameternya</t>
  </si>
  <si>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</si>
  <si>
    <t>The prompt specifies the context and actions needed.</t>
  </si>
  <si>
    <t>Lacks clarity in language and structure, making it somewhat difficult to follow.</t>
  </si>
  <si>
    <t>Could include more context or explanation for beginners.</t>
  </si>
  <si>
    <t>Setelah membuat param_grid dan grid_search untuk random forest, latih grid_search menggunakan X_train dan y_train, lalu tampilkan parameter terbaiknya.</t>
  </si>
  <si>
    <t>Add more detailed explanations for each step in the code for clarity.</t>
  </si>
  <si>
    <t>{"prompt_score": 3, "response_score": 4, "overall_score": 3, "prompt_strengths": "The prompt specifies the context and actions needed.", "prompt_issues": "Lacks clarity in language and structure, making it somewhat difficult to follow.", "response_strengths": "The response is relevant, correct, and provides a clear code example.", "response_issues": "Could include more context or explanation for beginners.", "prompt_rewrite": "Setelah membuat param_grid dan grid_search untuk random forest, latih grid_search menggunakan X_train dan y_train, lalu tampilkan parameter terbaiknya.", "response_improvement_suggestions": "Add more detailed explanations for each step in the code for clarity.", "verdict": "good", "needs_human_review": false}</t>
  </si>
  <si>
    <t>[LANG:Python]
[MODE:summary]
jawablah pertanyaan pertanyaan ini:
1. mini-batch GD adalah kombinasi
2. fungsi MSE bersifat
3. pseudoinverse digunakan jika</t>
  </si>
  <si>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</si>
  <si>
    <t>Accurate, complete, and clear answers.</t>
  </si>
  <si>
    <t>[LANG:Python] [MODE:summary] Jawablah pertanyaan berikut tentang konsep machine learning: 1. Apa itu mini-batch GD? 2. Apa sifat dari fungsi MSE? 3. Kapan pseudoinverse digunakan?</t>
  </si>
  <si>
    <t>{"prompt_score": 4, "response_score": 5, "overall_score": 5, "prompt_strengths": "Clear and specific questions.", "prompt_issues": "Could provide more context for better understanding.", "response_strengths": "Accurate, complete, and clear answers.", "response_issues": "None significant.", "prompt_rewrite": "[LANG:Python] [MODE:summary] Jawablah pertanyaan berikut tentang konsep machine learning: 1. Apa itu mini-batch GD? 2. Apa sifat dari fungsi MSE? 3. Kapan pseudoinverse digunakan?", "response_improvement_suggestions": "None needed; response is already strong.", "verdict": "excellent", "needs_human_review": false}</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</si>
  <si>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</si>
  <si>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t>
  </si>
  <si>
    <t>```python
#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
```</t>
  </si>
  <si>
    <t>Detailed and specific instructions for the task.</t>
  </si>
  <si>
    <t>Comprehensive implementation with clear steps and evaluations.</t>
  </si>
  <si>
    <t>None significant; all required elements are included.</t>
  </si>
  <si>
    <t>Saya sedang mengerjakan Praktikum Kecerdasan Mesin mengenai Student Exam Performance Prediction. Gunakan dataset student_exam_performance_dataset. Setup library awal dan lakukan langkah-langkah berikut: 1. Load dataset, 2. EDA, 3. Persiapan fitur dan target, 4. Pemodelan Regresi, 5. Pemodelan Klasifikasi dengan Logistic Regression. Evaluasi model klasifikasi menggunakan Confusion Matrix, Accuracy, Precision, Recall, ROC Curve dan AUC.</t>
  </si>
  <si>
    <t>Consider adding comments to explain each step for better understanding.</t>
  </si>
  <si>
    <t>{"prompt_score": 4, "response_score": 5, "overall_score": 5, "prompt_strengths": "Detailed and specific instructions for the task.", "prompt_issues": "Could benefit from clearer formatting for readability.", "response_strengths": "Comprehensive implementation with clear steps and evaluations.", "response_issues": "None significant; all required elements are included.", "prompt_rewrite": "Saya sedang mengerjakan Praktikum Kecerdasan Mesin mengenai Student Exam Performance Prediction. Gunakan dataset student_exam_performance_dataset. Setup library awal dan lakukan langkah-langkah berikut: 1. Load dataset, 2. EDA, 3. Persiapan fitur dan target, 4. Pemodelan Regresi, 5. Pemodelan Klasifikasi dengan Logistic Regression. Evaluasi model klasifikasi menggunakan Confusion Matrix, Accuracy, Precision, Recall, ROC Curve dan AUC.", "response_improvement_suggestions": "Consider adding comments to explain each step for better understanding.", "verdict": "excellent", "needs_human_review": false}</t>
  </si>
  <si>
    <t>[MODE:summary_code_explanation]
oke sebentar sebelum itu saya miss, saya belum buat kode untuk test set, tadi kan tuh train set nya 60000 gambar, sekarang saya mau 10000 untuk test set</t>
  </si>
  <si>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</si>
  <si>
    <t>Clear request for test set code.</t>
  </si>
  <si>
    <t>Saya perlu kode untuk membagi dataset MNIST menjadi train set dan test set, dengan 60.000 gambar untuk train dan 10.000 untuk test.</t>
  </si>
  <si>
    <t>{"prompt_score": 4, "response_score": 5, "overall_score": 4, "prompt_strengths": "Clear request for test set code.", "prompt_issues": "Could provide more context on the dataset.", "response_strengths": "Accurate, clear, and complete explanation with code.", "response_issues": "None.", "prompt_rewrite": "Saya perlu kode untuk membagi dataset MNIST menjadi train set dan test set, dengan 60.000 gambar untuk train dan 10.000 untuk test.", "response_improvement_suggestions": "None needed; response is already comprehensive.", "verdict": "good", "needs_human_review": false}</t>
  </si>
  <si>
    <t>[MODE:code]
bagaimana cara menghitung prediksi y_pred dengan cross_val_predict lalu buatlah confusion matrix dari hasil prediksi y_pred dan nilai sebenarnya y</t>
  </si>
  <si>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</si>
  <si>
    <t>```python
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
```</t>
  </si>
  <si>
    <t>Correct and complete code with clear steps.</t>
  </si>
  <si>
    <t>Bagaimana cara menghitung prediksi y_pred dengan cross_val_predict dan membuat confusion matrix dari hasil prediksi y_pred dan nilai sebenarnya y menggunakan dataset tertentu?</t>
  </si>
  <si>
    <t>{"prompt_score": 4, "response_score": 5, "overall_score": 4, "prompt_strengths": "Clear and specific about the task.", "prompt_issues": "Could provide more context on the dataset.", "response_strengths": "Correct and complete code with clear steps.", "response_issues": "Could include comments for better clarity.", "prompt_rewrite": "Bagaimana cara menghitung prediksi y_pred dengan cross_val_predict dan membuat confusion matrix dari hasil prediksi y_pred dan nilai sebenarnya y menggunakan dataset tertentu?", "response_improvement_suggestions": "Add comments to explain each step of the code.", "verdict": "good", "needs_human_review": false}</t>
  </si>
  <si>
    <t>[MODE:summary_code_explanation]
dari data set saya Apakah nilai precision lebih besar daripada nilai recall? Ataukah sebaliknya? Jika nilai precision lebih besar daripada nilai recall atau sebaliknya, apakah artinya?</t>
  </si>
  <si>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</si>
  <si>
    <t>Dari dataset saya, apakah nilai precision lebih besar daripada nilai recall? Jika ya, apa artinya dalam konteks model saya?</t>
  </si>
  <si>
    <t>None; response is already complete and clear.</t>
  </si>
  <si>
    <t>{"prompt_score": 4, "response_score": 5, "overall_score": 5, "prompt_strengths": "Clear and specific question about precision and recall.", "prompt_issues": "Could provide more context about the dataset.", "response_strengths": "Thorough explanation with relevant code examples.", "response_issues": "None significant; very comprehensive.", "prompt_rewrite": "Dari dataset saya, apakah nilai precision lebih besar daripada nilai recall? Jika ya, apa artinya dalam konteks model saya?", "response_improvement_suggestions": "None; response is already complete and clear.", "verdict": "excellent", "needs_human_review": false}</t>
  </si>
  <si>
    <t>[MODE:summary_code_explanation]
Kenapa extract semua baris dan kolom ke-1 s.d. ke-7 ke dalam variabel X. di syntax nya menggunakan 0 dan 8. Mengapa tidak 1 dan 7</t>
  </si>
  <si>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</si>
  <si>
    <t>Clear and specific question about NumPy indexing.</t>
  </si>
  <si>
    <t>Could provide more context on the audience's familiarity with NumPy.</t>
  </si>
  <si>
    <t>Accurate, clear, and comprehensive explanation of NumPy indexing.</t>
  </si>
  <si>
    <t>Jelaskan mengapa kita menggunakan 0 dan 8 untuk mengekstrak kolom ke-1 hingga ke-7 dalam NumPy, bukan 1 dan 7.</t>
  </si>
  <si>
    <t>{"prompt_score": 4, "response_score": 5, "overall_score": 5, "prompt_strengths": "Clear and specific question about NumPy indexing.", "prompt_issues": "Could provide more context on the audience's familiarity with NumPy.", "response_strengths": "Accurate, clear, and comprehensive explanation of NumPy indexing.", "response_issues": "None identified.", "prompt_rewrite": "Jelaskan mengapa kita menggunakan 0 dan 8 untuk mengekstrak kolom ke-1 hingga ke-7 dalam NumPy, bukan 1 dan 7.", "response_improvement_suggestions": "None needed; response is already strong.", "verdict": "excellent", "needs_human_review": false}</t>
  </si>
  <si>
    <t>[MODE:summary_code_explanation]
ome 0 65.104167 1 34.895833 kalo dari data ini menurut kamu seimbang atau ga,tolong dong bantu jawab</t>
  </si>
  <si>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</si>
  <si>
    <t>Some clarity and context provided.</t>
  </si>
  <si>
    <t>Lacks specificity and clear constraints.</t>
  </si>
  <si>
    <t>Relevant, correct, and clear explanation.</t>
  </si>
  <si>
    <t>[MODE:summary_code_explanation] Apakah data ini seimbang? Kelas 0: 65.10%, Kelas 1: 34.90%.</t>
  </si>
  <si>
    <t>Summarize the explanation more concisely.</t>
  </si>
  <si>
    <t>{"prompt_score": 3, "response_score": 4, "overall_score": 4, "prompt_strengths": "Some clarity and context provided.", "prompt_issues": "Lacks specificity and clear constraints.", "response_strengths": "Relevant, correct, and clear explanation.", "response_issues": "Could be more concise.", "prompt_rewrite": "[MODE:summary_code_explanation] Apakah data ini seimbang? Kelas 0: 65.10%, Kelas 1: 34.90%.", "response_improvement_suggestions": "Summarize the explanation more concisely.", "verdict": "good", "needs_human_review": false}</t>
  </si>
  <si>
    <t>[MODE:summary_code_explanation]
saya ingin membuat code Pipeline dengan preprocessing dan SVR(): untuk dataset yang digunakan, generete kode yang dibutuhkan</t>
  </si>
  <si>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</si>
  <si>
    <t>Clear and specific request for code generation.</t>
  </si>
  <si>
    <t>Comprehensive code with detailed explanation and relevant comments.</t>
  </si>
  <si>
    <t>Saya ingin membuat kode Pipeline dengan preprocessing dan SVR() untuk dataset housing. Mohon sertakan detail tentang kolom numerik dan kategorikal yang ada.</t>
  </si>
  <si>
    <t>Consider adding example outputs or visualizations of the results.</t>
  </si>
  <si>
    <t>{"prompt_score": 4, "response_score": 5, "overall_score": 5, "prompt_strengths": "Clear and specific request for code generation.", "prompt_issues": "Could provide more context about the dataset.", "response_strengths": "Comprehensive code with detailed explanation and relevant comments.", "response_issues": "None significant; all aspects of the request are addressed.", "prompt_rewrite": "Saya ingin membuat kode Pipeline dengan preprocessing dan SVR() untuk dataset housing. Mohon sertakan detail tentang kolom numerik dan kategorikal yang ada.", "response_improvement_suggestions": "Consider adding example outputs or visualizations of the results.", "verdict": "excellent", "needs_human_review": false}</t>
  </si>
  <si>
    <t>[MODE:code]
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</si>
  <si>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</si>
  <si>
    <t>```python
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
```</t>
  </si>
  <si>
    <t>Detailed instructions and context provided.</t>
  </si>
  <si>
    <t>Correct implementation of the function with clear logic.</t>
  </si>
  <si>
    <t>Konteks: Saya sedang mengerjakan tugas regresi linier. Lengkapi fungsi linear_reg_cost_function untuk menghitung biaya regresi linier teregulasi. Pastikan untuk membuat kode dalam bentuk vectorized dan hindari loop. Setelah selesai, jalankan fungsi dengan θ = [1, 1] dan pastikan output mendekati 303.993.</t>
  </si>
  <si>
    <t>{"prompt_score": 4, "response_score": 5, "overall_score": 5, "prompt_strengths": "Detailed instructions and context provided.", "prompt_issues": "Could be more concise in some areas.", "response_strengths": "Correct implementation of the function with clear logic.", "response_issues": "None identified.", "prompt_rewrite": "Konteks: Saya sedang mengerjakan tugas regresi linier. Lengkapi fungsi linear_reg_cost_function untuk menghitung biaya regresi linier teregulasi. Pastikan untuk membuat kode dalam bentuk vectorized dan hindari loop. Setelah selesai, jalankan fungsi dengan θ = [1, 1] dan pastikan output mendekati 303.993.", "response_improvement_suggestions": "None needed; the response is complete and correct.", "verdict": "excellent", "needs_human_review": false}</t>
  </si>
  <si>
    <t>[LANG:Python]
[MODE:summary_code_explanation]
lalu bagaimana cara menghitung berapa banyak sampel dan fitur dalam sebuah dataset menggunakan describe()?</t>
  </si>
  <si>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</si>
  <si>
    <t>Could provide more context on the dataset type.</t>
  </si>
  <si>
    <t>Accurate, complete, and clearly explains the solution.</t>
  </si>
  <si>
    <t>None significant; well-structured.</t>
  </si>
  <si>
    <t>[LANG:Python] [MODE:summary_code_explanation] Bagaimana cara menghitung jumlah sampel dan fitur dalam dataset menggunakan describe() dalam konteks analisis data?</t>
  </si>
  <si>
    <t>Consider adding examples of datasets or scenarios where this method is particularly useful.</t>
  </si>
  <si>
    <t>{"prompt_score": 4, "response_score": 5, "overall_score": 5, "prompt_strengths": "Clear and specific about the task.", "prompt_issues": "Could provide more context on the dataset type.", "response_strengths": "Accurate, complete, and clearly explains the solution.", "response_issues": "None significant; well-structured.", "prompt_rewrite": "[LANG:Python] [MODE:summary_code_explanation] Bagaimana cara menghitung jumlah sampel dan fitur dalam dataset menggunakan describe() dalam konteks analisis data?", "response_improvement_suggestions": "Consider adding examples of datasets or scenarios where this method is particularly useful.", "verdict": "excellent", "needs_human_review": false}</t>
  </si>
  <si>
    <t>[MODE:code]
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</si>
  <si>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</si>
  <si>
    <t>```python
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
```</t>
  </si>
  <si>
    <t>The prompt specifies the error and requests a fix and explanation.</t>
  </si>
  <si>
    <t>The prompt lacks clarity in structure and has some redundant code.</t>
  </si>
  <si>
    <t>The response correctly identifies errors and provides a clear explanation.</t>
  </si>
  <si>
    <t>[MODE:code] Perbaiki kode berikut yang menghasilkan error "invalid decimal literal" dan jelaskan kesalahan yang ada: def compute_cost(X, y, theta): e = X @ theta - y J = (1/(2m)) * sum(e^2) return J, e</t>
  </si>
  <si>
    <t>Organize the explanation into bullet points for clarity and remove unnecessary comments.</t>
  </si>
  <si>
    <t>{"prompt_score": 3, "response_score": 4, "overall_score": 4, "prompt_strengths": "The prompt specifies the error and requests a fix and explanation.", "prompt_issues": "The prompt lacks clarity in structure and has some redundant code.", "response_strengths": "The response correctly identifies errors and provides a clear explanation.", "response_issues": "Could be more concise and structured for better readability.", "prompt_rewrite": "[MODE:code] Perbaiki kode berikut yang menghasilkan error \"invalid decimal literal\" dan jelaskan kesalahan yang ada: def compute_cost(X, y, theta): e = X @ theta - y J = (1/(2m)) * sum(e^2) return J, e", "response_improvement_suggestions": "Organize the explanation into bullet points for clarity and remove unnecessary comments.", "verdict": "good", "needs_human_review": false}</t>
  </si>
  <si>
    <t>[MODE:code]
Konteks: Jelaskan konsep pipeline.predict untuk mahasiswa.
Level: [pemula/menengah].
Minta: definisi singkat, analogi, contoh kode sederhana, dan kapan konsep ini dipakai.</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</si>
  <si>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</si>
  <si>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```python
#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
```</t>
  </si>
  <si>
    <t>Clear and specific request for explanation and examples.</t>
  </si>
  <si>
    <t>Could specify the desired length or depth of the explanation.</t>
  </si>
  <si>
    <t>Comprehensive, clear, and includes relevant code examples.</t>
  </si>
  <si>
    <t>Could improve on clarity in some explanations.</t>
  </si>
  <si>
    <t>[MODE:code] Konteks: Jelaskan konsep pipeline.predict untuk mahasiswa. Level: [pemula/menengah]. Minta: definisi singkat, analogi, contoh kode sederhana, dan kapan konsep ini dipakai. Mohon sertakan penjelasan yang cukup mendetail.</t>
  </si>
  <si>
    <t>Simplify some explanations for better clarity.</t>
  </si>
  <si>
    <t>{"prompt_score": 4, "response_score": 5, "overall_score": 4, "prompt_strengths": "Clear and specific request for explanation and examples.", "prompt_issues": "Could specify the desired length or depth of the explanation.", "response_strengths": "Comprehensive, clear, and includes relevant code examples.", "response_issues": "Could improve on clarity in some explanations.", "prompt_rewrite": "[MODE:code] Konteks: Jelaskan konsep pipeline.predict untuk mahasiswa. Level: [pemula/menengah]. Minta: definisi singkat, analogi, contoh kode sederhana, dan kapan konsep ini dipakai. Mohon sertakan penjelasan yang cukup mendetail.", "response_improvement_suggestions": "Simplify some explanations for better clarity.", "verdict": "good", "needs_human_review": false}</t>
  </si>
  <si>
    <t>[MODE:summary]
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</si>
  <si>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</si>
  <si>
    <t>Accurate and concise answers.</t>
  </si>
  <si>
    <t>Could include more context for clarity.</t>
  </si>
  <si>
    <t>[MODE:summary] Berikan jawaban singkat berdasarkan pilihan yang ada: Jika gradient = 0, maka ... (isi pertanyaan).</t>
  </si>
  <si>
    <t>Add brief explanations for each answer to enhance understanding.</t>
  </si>
  <si>
    <t>{"prompt_score": 4, "response_score": 5, "overall_score": 4, "prompt_strengths": "Clear and specific questions.", "prompt_issues": "Could benefit from clearer formatting.", "response_strengths": "Accurate and concise answers.", "response_issues": "Could include more context for clarity.", "prompt_rewrite": "[MODE:summary] Berikan jawaban singkat berdasarkan pilihan yang ada: Jika gradient = 0, maka ... (isi pertanyaan).", "response_improvement_suggestions": "Add brief explanations for each answer to enhance understanding.", "verdict": "good", "needs_human_review": false}</t>
  </si>
  <si>
    <t>[MODE:summary]
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</si>
  <si>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</si>
  <si>
    <t>Clear context and specific question.</t>
  </si>
  <si>
    <t>Could be slightly clearer in structure.</t>
  </si>
  <si>
    <t>Apakah perbedaan syntax pada cat_pipeline dan preprocessor mempengaruhi kode yang sama?</t>
  </si>
  <si>
    <t>Consider breaking down the explanation into clearer steps.</t>
  </si>
  <si>
    <t>{"prompt_score": 4, "response_score": 5, "overall_score": 4, "prompt_strengths": "Clear context and specific question.", "prompt_issues": "Could be more concise.", "response_strengths": "Accurate, relevant, and comprehensive explanation.", "response_issues": "Could be slightly clearer in structure.", "prompt_rewrite": "Apakah perbedaan syntax pada cat_pipeline dan preprocessor mempengaruhi kode yang sama?", "response_improvement_suggestions": "Consider breaking down the explanation into clearer steps.", "verdict": "good", "needs_human_review": false}</t>
  </si>
  <si>
    <t>[MODE:summary]
Konteks: Jelaskan konsep [λ besar pada Lasso]:  Level: pemula Minta: definisi singkat, analogi, contoh nyata, dan kapan konsep ini dipakai.</t>
  </si>
  <si>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</si>
  <si>
    <t>Relevant, correct, and provides a clear analogy and example.</t>
  </si>
  <si>
    <t>[MODE:summary] Konteks: Jelaskan konsep [λ besar pada Lasso]: Level: pemula Minta: definisi singkat, analogi, contoh nyata, dan kapan konsep ini dipakai. (Maksimal 150 kata)</t>
  </si>
  <si>
    <t>{"prompt_score": 4, "response_score": 5, "overall_score": 5, "prompt_strengths": "Clear and specific request for explanation.", "prompt_issues": "Could specify the desired length of the response.", "response_strengths": "Relevant, correct, and provides a clear analogy and example.", "response_issues": "None significant.", "prompt_rewrite": "[MODE:summary] Konteks: Jelaskan konsep [λ besar pada Lasso]: Level: pemula Minta: definisi singkat, analogi, contoh nyata, dan kapan konsep ini dipakai. (Maksimal 150 kata)", "response_improvement_suggestions": "None needed; response is well-structured.", "verdict": "excellent", "needs_human_review": false}</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</si>
  <si>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</si>
  <si>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</si>
  <si>
    <t>Contains several typos and unclear phrasing, making it somewhat difficult to follow.</t>
  </si>
  <si>
    <t>Clear, relevant, and correctly summarizes the code while maintaining clarity.</t>
  </si>
  <si>
    <t>Could provide more detail on the implications of the pipeline setup.</t>
  </si>
  <si>
    <t>Summarize the regression and SVM problem in machine learning using Python. The dataset has 16512 samples and 9 features. I transformed `housing_labels` into a Series and created a pipeline for categorical columns. I implemented a `ClusterSimilarity` class for latitude and longitude processing and defined functions for feature ratios. I set up a `ColumnTransformer` for preprocessing and a parameter grid for hyperparameter tuning with `GridSearchCV`. Finally, I created a pipeline using `preprocessing` and `SVR()`. Ensure the code is simple, executable, and maintains previous modifications.</t>
  </si>
  <si>
    <t>Include a brief explanation of the significance of each step in the pipeline for better understanding.</t>
  </si>
  <si>
    <t>{"prompt_score": 3, "response_score": 5, "overall_score": 4, "prompt_strengths": "Provides a detailed context and specific requirements.", "prompt_issues": "Contains several typos and unclear phrasing, making it somewhat difficult to follow.", "response_strengths": "Clear, relevant, and correctly summarizes the code while maintaining clarity.", "response_issues": "Could provide more detail on the implications of the pipeline setup.", "prompt_rewrite": "Summarize the regression and SVM problem in machine learning using Python. The dataset has 16512 samples and 9 features. I transformed `housing_labels` into a Series and created a pipeline for categorical columns. I implemented a `ClusterSimilarity` class for latitude and longitude processing and defined functions for feature ratios. I set up a `ColumnTransformer` for preprocessing and a parameter grid for hyperparameter tuning with `GridSearchCV`. Finally, I created a pipeline using `preprocessing` and `SVR()`. Ensure the code is simple, executable, and maintains previous modifications.", "response_improvement_suggestions": "Include a brief explanation of the significance of each step in the pipeline for better understanding.", "verdict": "good", "needs_human_review": false}</t>
  </si>
  <si>
    <t>[MODE:summary]
ini soal kedua
Apa tujuan feature scaling?
*
Mengubah label
Membuat semua fitur berada pada skala yang sama
Menghapus dataset
Menghapus outlier</t>
  </si>
  <si>
    <t>Feature scaling bertujuan membuat semua fitur berada pada skala yang sama agar algoritma yang sensitif terhadap perbedaan skala (misalnya KNN, SVM, regresi) bekerja lebih stabil dan adil. Jadi jawabannya: Membuat semua fitur berada pada skala yang sama.</t>
  </si>
  <si>
    <t>Could provide more context on feature scaling importance.</t>
  </si>
  <si>
    <t>Accurate, clear, and directly answers the prompt.</t>
  </si>
  <si>
    <t>Apa tujuan dari feature scaling dalam machine learning?</t>
  </si>
  <si>
    <t>{"prompt_score": 4, "response_score": 5, "overall_score": 5, "prompt_strengths": "Clear and specific question about feature scaling.", "prompt_issues": "Could provide more context on feature scaling importance.", "response_strengths": "Accurate, clear, and directly answers the prompt.", "response_issues": "None.", "prompt_rewrite": "Apa tujuan dari feature scaling dalam machine learning?", "response_improvement_suggestions": "None needed; response is already strong.", "verdict": "excellent", "needs_human_review": false}</t>
  </si>
  <si>
    <t>[MODE:summary]
saya mengerjakan quiz tolong bantu saya, Apa tujuan imputation?
*
Mengganti model
Menghapus dataset
Mengisi missing value
Menghapus fiturjawaban dari soal berikut</t>
  </si>
  <si>
    <t>Tujuan imputation adalah mengisi missing value (nilai yang hilang) pada data, biasanya dengan nilai pengganti seperti mean/median/modus atau metode lain, agar dataset bisa dipakai untuk analisis atau training model. Jadi jawabannya: Mengisi missing value.</t>
  </si>
  <si>
    <t>Clear and specific question about imputation.</t>
  </si>
  <si>
    <t>Could provide more context on the quiz.</t>
  </si>
  <si>
    <t>Accurate, complete, and clearly explains the purpose of imputation.</t>
  </si>
  <si>
    <t>Saya mengerjakan quiz tentang data science. Apa tujuan dari imputation dalam konteks pengolahan data?</t>
  </si>
  <si>
    <t>{"prompt_score": 4, "response_score": 5, "overall_score": 5, "prompt_strengths": "Clear and specific question about imputation.", "prompt_issues": "Could provide more context on the quiz.", "response_strengths": "Accurate, complete, and clearly explains the purpose of imputation.", "response_issues": "None.", "prompt_rewrite": "Saya mengerjakan quiz tentang data science. Apa tujuan dari imputation dalam konteks pengolahan data?", "response_improvement_suggestions": "None needed; response is already strong.", "verdict": "excellent", "needs_human_review": false}</t>
  </si>
  <si>
    <t>[MODE:code]
Decision boundary
*
θ·x=1
θ·x=0
θ=0
y=0
......................................................................</t>
  </si>
  <si>
    <t>θ·x = 0</t>
  </si>
  <si>
    <t>Attempts to define decision boundaries.</t>
  </si>
  <si>
    <t>Lacks clarity and context; too vague.</t>
  </si>
  <si>
    <t>Directly addresses part of the prompt.</t>
  </si>
  <si>
    <t>Explain the decision boundary equations and their significance in a clear context.</t>
  </si>
  <si>
    <t>Provide a more detailed explanation of the decision boundary and its implications.</t>
  </si>
  <si>
    <t>{"prompt_score": 2, "response_score": 3, "overall_score": 2, "prompt_strengths": "Attempts to define decision boundaries.", "prompt_issues": "Lacks clarity and context; too vague.", "response_strengths": "Directly addresses part of the prompt.", "response_issues": "Incomplete and lacks explanation.", "prompt_rewrite": "Explain the decision boundary equations and their significance in a clear context.", "response_improvement_suggestions": "Provide a more detailed explanation of the decision boundary and its implications.", "verdict": "fair", "needs_human_review": false}</t>
  </si>
  <si>
    <t>[MODE:summary_code_explanation]
kode nya error dikatakan bahwa 'GridSearchCV' object has no attribute 'best_score', tolong dijelaskan dan berikan perbaikan pada syntax nya</t>
  </si>
  <si>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</si>
  <si>
    <t>Clear and specific about the error and request for explanation.</t>
  </si>
  <si>
    <t>Could provide more context about the code or dataset.</t>
  </si>
  <si>
    <t>Accurate, detailed explanation with code example and troubleshooting steps.</t>
  </si>
  <si>
    <t>Jelaskan error 'GridSearchCV' object has no attribute 'best_score' dan berikan perbaikan pada syntax serta konteks penggunaan.</t>
  </si>
  <si>
    <t>Consider adding a brief explanation of what GridSearchCV does for clarity.</t>
  </si>
  <si>
    <t>{"prompt_score": 4, "response_score": 5, "overall_score": 5, "prompt_strengths": "Clear and specific about the error and request for explanation.", "prompt_issues": "Could provide more context about the code or dataset.", "response_strengths": "Accurate, detailed explanation with code example and troubleshooting steps.", "response_issues": "None significant; very comprehensive.", "prompt_rewrite": "Jelaskan error 'GridSearchCV' object has no attribute 'best_score' dan berikan perbaikan pada syntax serta konteks penggunaan.", "response_improvement_suggestions": "Consider adding a brief explanation of what GridSearchCV does for clarity.", "verdict": "excellent", "needs_human_review": false}</t>
  </si>
  <si>
    <t>[MODE:code]
apakah df.info() menunjukan dataset memiliki berapa baris dan berapa kolom, bagaimana cara menampilkan dataset memiliki berapa baris dan kolom?</t>
  </si>
  <si>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</si>
  <si>
    <t>```python
#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
```</t>
  </si>
  <si>
    <t>Clear and specific question about dataset dimensions.</t>
  </si>
  <si>
    <t>Correct, complete, and clear explanation with code examples.</t>
  </si>
  <si>
    <t>Apa df.info() menunjukkan jumlah baris dan kolom dalam dataset? Bagaimana cara menampilkan jumlah baris dan kolom tersebut?</t>
  </si>
  <si>
    <t>{"prompt_score": 4, "response_score": 5, "overall_score": 5, "prompt_strengths": "Clear and specific question about dataset dimensions.", "prompt_issues": "Could provide more context on the dataset type.", "response_strengths": "Correct, complete, and clear explanation with code examples.", "response_issues": "None significant.", "prompt_rewrite": "Apa df.info() menunjukkan jumlah baris dan kolom dalam dataset? Bagaimana cara menampilkan jumlah baris dan kolom tersebut?", "response_improvement_suggestions": "None needed; response is already comprehensive.", "verdict": "excellent", "needs_human_review": false}</t>
  </si>
  <si>
    <t>[MODE:code]
def learning_curve(X,y,Xval,yval,alpha):
m = X.shape[0]
error_train = np.zeros(m)
error_val = np.zeros(m)
for i in range(m):</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</si>
  <si>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</si>
  <si>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```python
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t>
  </si>
  <si>
    <t>Clear and specific about the function definition.</t>
  </si>
  <si>
    <t>Correctly implements the learning curve function with relevant calculations.</t>
  </si>
  <si>
    <t>None significant; the response is complete and clear.</t>
  </si>
  <si>
    <t>Define a function to compute the learning curve for a linear regression model given training and validation datasets.</t>
  </si>
  <si>
    <t>Consider adding comments to explain each step of the implementation.</t>
  </si>
  <si>
    <t>{"prompt_score": 4, "response_score": 5, "overall_score": 5, "prompt_strengths": "Clear and specific about the function definition.", "prompt_issues": "Could provide more context on the purpose of the function.", "response_strengths": "Correctly implements the learning curve function with relevant calculations.", "response_issues": "None significant; the response is complete and clear.", "prompt_rewrite": "Define a function to compute the learning curve for a linear regression model given training and validation datasets.", "response_improvement_suggestions": "Consider adding comments to explain each step of the implementation.", "verdict": "excellent", "needs_human_review": false}</t>
  </si>
  <si>
    <t>[LANG:Python]
[MODE:summary_code_explanation]
# svr_pipeline = model  # jika pipeline Anda bernama "model", pakai ini; atau ganti sesuai nama variabel Anda
kode yg kamu berikan ini maksudnya apa, kenapa gabisa malah error</t>
  </si>
  <si>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</si>
  <si>
    <t>Addresses a specific coding issue.</t>
  </si>
  <si>
    <t>Lacks clarity and structure; mixed languages may confuse.</t>
  </si>
  <si>
    <t>Provides a clear explanation and examples.</t>
  </si>
  <si>
    <t>Could be more concise; some repetition.</t>
  </si>
  <si>
    <t>[LANG:Python] [MODE:summary_code_explanation] # Explain the line `# svr_pipeline = model` and why it might cause an error if `model` is not defined.</t>
  </si>
  <si>
    <t>Remove redundant explanations and focus on key points for clarity.</t>
  </si>
  <si>
    <t>{"prompt_score": 3, "response_score": 4, "overall_score": 4, "prompt_strengths": "Addresses a specific coding issue.", "prompt_issues": "Lacks clarity and structure; mixed languages may confuse.", "response_strengths": "Provides a clear explanation and examples.", "response_issues": "Could be more concise; some repetition.", "prompt_rewrite": "[LANG:Python] [MODE:summary_code_explanation] # Explain the line `# svr_pipeline = model` and why it might cause an error if `model` is not defined.", "response_improvement_suggestions": "Remove redundant explanations and focus on key points for clarity.", "verdict": "good", "needs_human_review": false}</t>
  </si>
  <si>
    <t>[MODE:code]
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</si>
  <si>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</si>
  <si>
    <t>```python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t>
  </si>
  <si>
    <t>The prompt is clear, specific, and provides a comprehensive outline for the task.</t>
  </si>
  <si>
    <t>The response is relevant, correct, complete, and clearly presented.</t>
  </si>
  <si>
    <t>{"prompt_score": 5, "response_score": 5, "overall_score": 5, "prompt_strengths": "The prompt is clear, specific, and provides a comprehensive outline for the task.", "prompt_issues": "None.", "response_strengths": "The response is relevant, correct, complete, and clearly presented.", "response_issues": "None.", "prompt_rewrite": "N/A", "response_improvement_suggestions": "N/A", "verdict": "excellent", "needs_human_review": false}</t>
  </si>
  <si>
    <t>[MODE:summary_code_explanation]
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</si>
  <si>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</si>
  <si>
    <t>Correct implementation and clear explanation.</t>
  </si>
  <si>
    <t>[MODE:summary_code_explanation] Polynomial regression: Model linier terlalu sederhana untuk data, menghasilkan underfitting. Dalam latihan ini, atasi masalah dengan regresi polinomial. Definisikan hipotesis: hθ(x)=θ0+θ1×(waterLevel)+θ2×(waterLevel)²+⋯+θp×(waterLevel)p. Lengkapi fungsi poly_features untuk membentuk fitur polinomial dari derajat 1 sampai p. Jika X berisi satu kolom, hasilnya harus berukuran (m, p). Kode: def poly_features(X, p): # Kembalikan variabel berikut dengan benar. X_poly = np.zeros((X.size, p)) ### YOUR CODES HERE ### return X_poly</t>
  </si>
  <si>
    <t>{"prompt_score": 4, "response_score": 5, "overall_score": 5, "prompt_strengths": "Clear instructions and context provided.", "prompt_issues": "Could be more concise.", "response_strengths": "Correct implementation and clear explanation.", "response_issues": "None.", "prompt_rewrite": "[MODE:summary_code_explanation] Polynomial regression: Model linier terlalu sederhana untuk data, menghasilkan underfitting. Dalam latihan ini, atasi masalah dengan regresi polinomial. Definisikan hipotesis: hθ(x)=θ0+θ1×(waterLevel)+θ2×(waterLevel)²+⋯+θp×(waterLevel)p. Lengkapi fungsi poly_features untuk membentuk fitur polinomial dari derajat 1 sampai p. Jika X berisi satu kolom, hasilnya harus berukuran (m, p). Kode: def poly_features(X, p): # Kembalikan variabel berikut dengan benar. X_poly = np.zeros((X.size, p)) ### YOUR CODES HERE ### return X_poly", "response_improvement_suggestions": "None needed; response is complete and clear.", "verdict": "excellent", "needs_human_review": false}</t>
  </si>
  <si>
    <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</si>
  <si>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</si>
  <si>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Clear and specific question about dataset values.</t>
  </si>
  <si>
    <t>Apakah ada nilai null di dataset ini? Apakah nilai 0 dalam kolom-kolom tertentu wajar atau perlu dihilangkan? Jelaskan alasannya.</t>
  </si>
  <si>
    <t>{"prompt_score": 4, "response_score": 5, "overall_score": 4, "prompt_strengths": "Clear and specific question about dataset values.", "prompt_issues": "Could provide more context on the dataset's purpose.", "response_strengths": "Thorough explanation with relevant code examples.", "response_issues": "Could be more concise in some areas.", "prompt_rewrite": "Apakah ada nilai null di dataset ini? Apakah nilai 0 dalam kolom-kolom tertentu wajar atau perlu dihilangkan? Jelaskan alasannya.", "response_improvement_suggestions": "Summarize key points more succinctly to enhance clarity.", "verdict": "good", "needs_human_review": false}</t>
  </si>
  <si>
    <t>[MODE:code]
Konteks: Saya sedang mengerjakan tugas machError: [paste pesan error lengkap].
Kode terkait: [paste potongan kode minimal yang error].
Ekspektasi: [hasil yang seharusnya].
Hasil aktual: [hasil saat ini].
Output diminta: 1) akar masalah 2) perbaikan kode 3) alasan perbaikan 4) cara verifikasi.</t>
  </si>
  <si>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</si>
  <si>
    <t>```text
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
```</t>
  </si>
  <si>
    <t>Clear structure and detailed requirements.</t>
  </si>
  <si>
    <t>Thorough and covers all necessary details.</t>
  </si>
  <si>
    <t>Requires user input, which may delay assistance.</t>
  </si>
  <si>
    <t>[MODE:code] Konteks: Saya mengerjakan tugas machError. Kode terkait: [potongan kode minimal]. Ekspektasi: [hasil yang seharusnya]. Hasil aktual: [hasil saat ini]. Mohon berikan: 1) pesan error lengkap 2) akar masalah 3) perbaikan kode 4) alasan perbaikan 5) cara verifikasi.</t>
  </si>
  <si>
    <t>Provide a sample response or template to guide the user.</t>
  </si>
  <si>
    <t>{"prompt_score": 4, "response_score": 4, "overall_score": 4, "prompt_strengths": "Clear structure and detailed requirements.", "prompt_issues": "Could be more concise.", "response_strengths": "Thorough and covers all necessary details.", "response_issues": "Requires user input, which may delay assistance.", "prompt_rewrite": "[MODE:code] Konteks: Saya mengerjakan tugas machError. Kode terkait: [potongan kode minimal]. Ekspektasi: [hasil yang seharusnya]. Hasil aktual: [hasil saat ini]. Mohon berikan: 1) pesan error lengkap 2) akar masalah 3) perbaikan kode 4) alasan perbaikan 5) cara verifikasi.", "response_improvement_suggestions": "Provide a sample response or template to guide the user.", "verdict": "good", "needs_human_review": false}</t>
  </si>
  <si>
    <t>[MODE:summary_code_explanation]
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</si>
  <si>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</si>
  <si>
    <t>Identifies a specific error related to code execution.</t>
  </si>
  <si>
    <t>Lacks clarity and context in the phrasing of the error message.</t>
  </si>
  <si>
    <t>Provides a clear and complete explanation with actionable steps.</t>
  </si>
  <si>
    <t>Explain the NameError related to 'pd' not being defined in the context of using pandas.</t>
  </si>
  <si>
    <t>{"prompt_score": 3, "response_score": 5, "overall_score": 4, "prompt_strengths": "Identifies a specific error related to code execution.", "prompt_issues": "Lacks clarity and context in the phrasing of the error message.", "response_strengths": "Provides a clear and complete explanation with actionable steps.", "response_issues": "Could be more concise in some explanations.", "prompt_rewrite": "Explain the NameError related to 'pd' not being defined in the context of using pandas.", "response_improvement_suggestions": "Consider summarizing the explanation to enhance conciseness.", "verdict": "good", "needs_human_review": false}</t>
  </si>
  <si>
    <t>[MODE:summary]
[ASSESSMENT_ID:1771cf87-0a65-11f1-b762-3e0936ad7efb]
[FORCE_GPT:true]
[AUTO_FALLBACK:true]
Pertanyaan Refleksi
Mengapa feature scaling penting ketika fitur punya skala berbeda jauh?
Apa dampaknya terhadap kecepatan konvergensi gradient descent?</t>
  </si>
  <si>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</si>
  <si>
    <t>Accurate, complete, and clearly explains the importance of feature scaling.</t>
  </si>
  <si>
    <t>Mengapa feature scaling penting dalam machine learning, terutama ketika fitur memiliki skala yang sangat berbeda? Apa dampaknya terhadap kecepatan konvergensi gradient descent?</t>
  </si>
  <si>
    <t>{"prompt_score": 4, "response_score": 5, "overall_score": 5, "prompt_strengths": "Clear and specific question about feature scaling.", "prompt_issues": "Could provide more context on the audience's knowledge level.", "response_strengths": "Accurate, complete, and clearly explains the importance of feature scaling.", "response_issues": "None noted.", "prompt_rewrite": "Mengapa feature scaling penting dalam machine learning, terutama ketika fitur memiliki skala yang sangat berbeda? Apa dampaknya terhadap kecepatan konvergensi gradient descent?", "response_improvement_suggestions": "None needed; response is already strong.", "verdict": "excellent", "needs_human_review": false}</t>
  </si>
  <si>
    <t>[MODE:summary_code_explanation]
I'm currently code using Python with Pandas, MatPlotLib, and Numpy imported. I have a trained model using LogisticRegression() called logistic_reg using X_train and y_train, and I also have X_test and y_test for testing. Can you make a variable called result that uses the score()</t>
  </si>
  <si>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</si>
  <si>
    <t>Correct and complete explanation with clear code example.</t>
  </si>
  <si>
    <t>I'm using Python with Pandas, Matplotlib, and Numpy. I have a trained LogisticRegression model called logistic_reg with X_train and y_train. Please provide code to create a variable called result that uses the score() method on the test set, and explain the output.</t>
  </si>
  <si>
    <t>{"prompt_score": 4, "response_score": 5, "overall_score": 5, "prompt_strengths": "Clear context and specific request for code.", "prompt_issues": "Could specify the expected output format for clarity.", "response_strengths": "Correct and complete explanation with clear code example.", "response_issues": "None.", "prompt_rewrite": "I'm using Python with Pandas, Matplotlib, and Numpy. I have a trained LogisticRegression model called logistic_reg with X_train and y_train. Please provide code to create a variable called result that uses the score() method on the test set, and explain the output.", "response_improvement_suggestions": "None needed; response is already clear and complete.", "verdict": "excellent", "needs_human_review": false}</t>
  </si>
  <si>
    <t>[LANG:Python]
[MODE:summary_code_explanation]
Simpan semua baris dari kolom ke-7 ke dalam variabel y.
nah sekarang variabel y nya coba kerjakan solusinya</t>
  </si>
  <si>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</si>
  <si>
    <t>Lacks clarity on the dataset context and specific instructions.</t>
  </si>
  <si>
    <t>Correctly explains the code and provides context.</t>
  </si>
  <si>
    <t>Could clarify the distinction between column indices more explicitly.</t>
  </si>
  <si>
    <t>[LANG:Python] [MODE:summary_code_explanation] Simpan semua baris dari kolom ke-7 (atau ke-8 jika menggunakan dataset Pima) ke dalam variabel y. Berikan solusi dan penjelasan.</t>
  </si>
  <si>
    <t>Clarify the index distinction and provide a more detailed explanation of the code's purpose.</t>
  </si>
  <si>
    <t>{"prompt_score": 3, "response_score": 4, "overall_score": 3, "prompt_strengths": "Direct and task-oriented.", "prompt_issues": "Lacks clarity on the dataset context and specific instructions.", "response_strengths": "Correctly explains the code and provides context.", "response_issues": "Could clarify the distinction between column indices more explicitly.", "prompt_rewrite": "[LANG:Python] [MODE:summary_code_explanation] Simpan semua baris dari kolom ke-7 (atau ke-8 jika menggunakan dataset Pima) ke dalam variabel y. Berikan solusi dan penjelasan.", "response_improvement_suggestions": "Clarify the index distinction and provide a more detailed explanation of the code's purpose.", "verdict": "good", "needs_human_review": false}</t>
  </si>
  <si>
    <t>[MODE:summary]
berikan jawaban dari 2 pertanyaan ini 
Fungsi hipotesis terhadap linear regression
*
sigmoid
θ·x + bias
softmax
exponential
λ besar pada Lasso * Random Beberapa nol Tidak berubah Fitur besar berikan jawaban singkat dan padat</t>
  </si>
  <si>
    <t>- Fungsi hipotesis linear regression: θ·x + bias  
- λ besar pada Lasso: Beberapa nol</t>
  </si>
  <si>
    <t>Addresses specific topics in regression.</t>
  </si>
  <si>
    <t>Lacks clarity and structure; confusing phrasing.</t>
  </si>
  <si>
    <t>Concise and relevant answers.</t>
  </si>
  <si>
    <t>Lacks detail and explanation.</t>
  </si>
  <si>
    <t>Berikan jawaban singkat untuk dua pertanyaan: Apa fungsi hipotesis dalam regresi linear? Apa dampak dari λ besar pada Lasso?</t>
  </si>
  <si>
    <t>Expand on the explanations for better understanding.</t>
  </si>
  <si>
    <t>{"prompt_score": 3, "response_score": 4, "overall_score": 3, "prompt_strengths": "Addresses specific topics in regression.", "prompt_issues": "Lacks clarity and structure; confusing phrasing.", "response_strengths": "Concise and relevant answers.", "response_issues": "Lacks detail and explanation.", "prompt_rewrite": "Berikan jawaban singkat untuk dua pertanyaan: Apa fungsi hipotesis dalam regresi linear? Apa dampak dari λ besar pada Lasso?", "response_improvement_suggestions": "Expand on the explanations for better understanding.", "verdict": "fair", "needs_human_review": false}</t>
  </si>
  <si>
    <t>[MODE:summary]
sekarang saya mau masuk ke bagian training data dan test set. 
##### DO NOT CHANGE HE CODE #####
array = dataframe.values</t>
  </si>
  <si>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</si>
  <si>
    <t>Direct and specific about the topic.</t>
  </si>
  <si>
    <t>Lacks clarity in the context and purpose of the request.</t>
  </si>
  <si>
    <t>Accurate explanation of the code and its purpose.</t>
  </si>
  <si>
    <t>Could provide more context on the importance of train-test split.</t>
  </si>
  <si>
    <t>Jelaskan tentang penggunaan `array = dataframe.values` dalam konteks pemisahan data untuk training dan testing.</t>
  </si>
  <si>
    <t>Include a brief explanation of why train-test split is important.</t>
  </si>
  <si>
    <t>{"prompt_score": 3, "response_score": 4, "overall_score": 3, "prompt_strengths": "Direct and specific about the topic.", "prompt_issues": "Lacks clarity in the context and purpose of the request.", "response_strengths": "Accurate explanation of the code and its purpose.", "response_issues": "Could provide more context on the importance of train-test split.", "prompt_rewrite": "Jelaskan tentang penggunaan `array = dataframe.values` dalam konteks pemisahan data untuk training dan testing.", "response_improvement_suggestions": "Include a brief explanation of why train-test split is important.", "verdict": "good", "needs_human_review": false}</t>
  </si>
  <si>
    <t>[MODE:code]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</si>
  <si>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t>
  </si>
  <si>
    <t>```python
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
```</t>
  </si>
  <si>
    <t>Detailed statistical data provided for analysis.</t>
  </si>
  <si>
    <t>Could benefit from clearer instructions on the desired format of insights.</t>
  </si>
  <si>
    <t>Comprehensive insights that are relevant and well-structured.</t>
  </si>
  <si>
    <t>None noted; response is thorough and clear.</t>
  </si>
  <si>
    <t>Berdasarkan data statistik deskriptif yang diberikan, berikan insight singkat mengenai isi data dari EDA.</t>
  </si>
  <si>
    <t>Consider summarizing key insights in bullet points for easier readability.</t>
  </si>
  <si>
    <t>{"prompt_score": 4, "response_score": 5, "overall_score": 5, "prompt_strengths": "Detailed statistical data provided for analysis.", "prompt_issues": "Could benefit from clearer instructions on the desired format of insights.", "response_strengths": "Comprehensive insights that are relevant and well-structured.", "response_issues": "None noted; response is thorough and clear.", "prompt_rewrite": "Berdasarkan data statistik deskriptif yang diberikan, berikan insight singkat mengenai isi data dari EDA.", "response_improvement_suggestions": "Consider summarizing key insights in bullet points for easier readability.", "verdict": "excellent", "needs_human_review": false}</t>
  </si>
  <si>
    <t>[MODE:summary_code_explanation]
oke sudah selesai param_gridnya, saya sekarang sudha punya gridsearchnya juga., jadi yang saya minta adalah anda membuatkan saya kode untuk melatih grid menggunakan .fit. lalu setelah itu munculkan best score dan best parameter dari grid</t>
  </si>
  <si>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</si>
  <si>
    <t>Lacks specificity in terms of the type of model or data being used.</t>
  </si>
  <si>
    <t>Could include more context or explanation about the parameters used.</t>
  </si>
  <si>
    <t>Bisa tolong buatkan kode untuk melatih gridsearch dengan .fit pada model klasifikasi tertentu dan tampilkan best score serta best parameters?</t>
  </si>
  <si>
    <t>Add more context about the model and data to enhance understanding.</t>
  </si>
  <si>
    <t>{"prompt_score": 3, "response_score": 4, "overall_score": 3, "prompt_strengths": "The prompt specifies the task and context clearly.", "prompt_issues": "Lacks specificity in terms of the type of model or data being used.", "response_strengths": "The response is relevant, correct, and provides a clear code example.", "response_issues": "Could include more context or explanation about the parameters used.", "prompt_rewrite": "Bisa tolong buatkan kode untuk melatih gridsearch dengan .fit pada model klasifikasi tertentu dan tampilkan best score serta best parameters?", "response_improvement_suggestions": "Add more context about the model and data to enhance understanding.", "verdict": "good", "needs_human_review": false}</t>
  </si>
  <si>
    <t>[MODE:code]
kasih jawaban yang rapih, jangan berantakan. Gabisa dingertiin kalau jawabannya berantakan. Benerin dulu gih</t>
  </si>
  <si>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</si>
  <si>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REG_TARGET = "final_exam_score"
CLF_TARGET = "pass_fail"
if REG_TARGET not in df.columns:
    raise KeyError(f"Target regresi '{REG_TARGET}' tidak ditemukan.")
if CLF_TARGET not in df.columns:
    raise KeyError(f"Target klasifikasi '{CLF_TARGET}' tidak ditemukan.")
# =========================
# 2) Siapkan target klasifikasi (0/1)
# =========================
y_clf_raw = df[CLF_TARGET]
if pd.api.types.is_numeric_dtype(y_clf_raw):
    y_clf = y_clf_raw.astype(int)
else:
    mapped = (
        y_clf_raw.astype(str)
        .str.strip()
        .str.lower()
        .map(
            {
                "pass": 1,
                "passed": 1,
                "lulus": 1,
                "yes": 1,
                "true": 1,
                "1": 1,
                "fail": 0,
                "failed": 0,
                "tidak lulus": 0,
                "no": 0,
                "false": 0,
                "0": 0,
            }
        )
    )
    if mapped.isna().any():
        y_clf = pd.Series(pd.factorize(y_clf_raw)[0], index=df.index)
    else:
        y_clf = mapped.astype(int)
# =========================
# 3) Siapkan fitur untuk regresi (exclude kedua target)
# =========================
X = df.drop(columns=[REG_TARGET, CLF_TARGET])
y_reg = df[REG_TARGET]
# =========================
# 4) Split data 80:20 (sekali split untuk konsisten)
# =========================
X_train, X_test, y_reg_train, y_reg_test, y_clf_train, y_clf_test = train_test_split(
    X,
    y_reg,
    y_clf,
    test_size=0.2,
    random_state=42,
    stratify=y_clf if y_clf.nunique() &gt; 1 else None,
)
# =========================
# 5) Pipeline regresi -&gt; prediksi final_exam_score
#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random_state=42)),
    ]
)
reg_model.fit(X_train, y_reg_train)
y_pred_reg_train = reg_model.predict(X_train)
y_pred_reg_test = reg_model.predict(X_test)
# =========================
# 6) Model klasifikasi: input = prediksi regresi
# =========================
X_clf_train = y_pred_reg_train.reshape(-1, 1)
X_clf_test = y_pred_reg_test.reshape(-1, 1)
clf_model = LogisticRegression(max_iter=2000, random_state=42)
clf_model.fit(X_clf_train, y_clf_train)
y_pred_class = clf_model.predict(X_clf_test)
y_pred_proba = clf_model.predict_proba(X_clf_test)[:, 1]
# =========================
# 7) Evaluasi
# =========================
cm = confusion_matrix(y_clf_test, y_pred_class)
acc = accuracy_score(y_clf_test, y_pred_class)
prec = precision_score(y_clf_test, y_pred_class, zero_division=0)
rec = recall_score(y_clf_test, y_pred_class, zero_division=0)
auc = roc_auc_score(y_clf_test, y_pred_proba) if y_clf_test.nunique() &gt; 1 else np.nan
fpr, tpr, _ = roc_curve(y_clf_test, y</t>
  </si>
  <si>
    <t>Direct request for clarity in response.</t>
  </si>
  <si>
    <t>Lacks specificity on the type of answer needed.</t>
  </si>
  <si>
    <t>Code is not formatted clearly and lacks context or explanation.</t>
  </si>
  <si>
    <t>[MODE:code] Berikan jawaban yang terstruktur dan jelas. Sertakan penjelasan jika perlu.</t>
  </si>
  <si>
    <t>Format the code properly and provide comments or explanations for clarity.</t>
  </si>
  <si>
    <t>{"prompt_score": 3, "response_score": 2, "overall_score": 2, "prompt_strengths": "Direct request for clarity in response.", "prompt_issues": "Lacks specificity on the type of answer needed.", "response_strengths": "Includes relevant code imports.", "response_issues": "Code is not formatted clearly and lacks context or explanation.", "prompt_rewrite": "[MODE:code] Berikan jawaban yang terstruktur dan jelas. Sertakan penjelasan jika perlu.", "response_improvement_suggestions": "Format the code properly and provide comments or explanations for clarity.", "verdict": "fair", "needs_human_review": false}</t>
  </si>
  <si>
    <t>[MODE:summary_code_explanation]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</si>
  <si>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</si>
  <si>
    <t>The prompt is clear and provides specific instructions for coding tasks.</t>
  </si>
  <si>
    <t>Could benefit from more context about the dataset and its purpose.</t>
  </si>
  <si>
    <t>The response is relevant, correct, and complete, providing a clear explanation and code.</t>
  </si>
  <si>
    <t>None identified; the response meets all requirements effectively.</t>
  </si>
  <si>
    <t>Explain how to create a classification target and regression features from the student exam performance dataset, ensuring no data leakage, and include a train-test split.</t>
  </si>
  <si>
    <t>{"prompt_score": 4, "response_score": 5, "overall_score": 5, "prompt_strengths": "The prompt is clear and provides specific instructions for coding tasks.", "prompt_issues": "Could benefit from more context about the dataset and its purpose.", "response_strengths": "The response is relevant, correct, and complete, providing a clear explanation and code.", "response_issues": "None identified; the response meets all requirements effectively.", "prompt_rewrite": "Explain how to create a classification target and regression features from the student exam performance dataset, ensuring no data leakage, and include a train-test split.", "response_improvement_suggestions": "None needed; the response is comprehensive and clear.", "verdict": "excellent", "needs_human_review": false}</t>
  </si>
  <si>
    <t>[LANG:Python]
[MODE:summary]
Jika dataset memiliki outlier besar maka? apakah RMSE lebih stabil, MAE lebih stabil atau tidak ada pengaruh sama sekali?</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</si>
  <si>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</si>
  <si>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Clear and specific question about RMSE and MAE in relation to outliers.</t>
  </si>
  <si>
    <t>Accurate, clear, and comprehensive explanation of RMSE and MAE behavior with outliers.</t>
  </si>
  <si>
    <t>Dalam konteks dataset dengan outlier besar, bagaimana perbandingan stabilitas RMSE dan MAE?</t>
  </si>
  <si>
    <t>Consider adding examples to illustrate the concepts.</t>
  </si>
  <si>
    <t>{"prompt_score": 4, "response_score": 5, "overall_score": 5, "prompt_strengths": "Clear and specific question about RMSE and MAE in relation to outliers.", "prompt_issues": "Could provide more context on the dataset type.", "response_strengths": "Accurate, clear, and comprehensive explanation of RMSE and MAE behavior with outliers.", "response_issues": "None significant; well-articulated.", "prompt_rewrite": "Dalam konteks dataset dengan outlier besar, bagaimana perbandingan stabilitas RMSE dan MAE?", "response_improvement_suggestions": "Consider adding examples to illustrate the concepts.", "verdict": "excellent", "needs_human_review": false}</t>
  </si>
  <si>
    <t>[MODE:summary_code_explanation]
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</si>
  <si>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</si>
  <si>
    <t>Clear and detailed instructions for a coding task.</t>
  </si>
  <si>
    <t>Could benefit from more explicit context about the expected output.</t>
  </si>
  <si>
    <t>Thorough explanation with relevant code examples and clear error resolution.</t>
  </si>
  <si>
    <t>None significant; all aspects addressed well.</t>
  </si>
  <si>
    <t>Provide a detailed coding task for predicting student risk using a trained model, ensuring clarity on input data requirements.</t>
  </si>
  <si>
    <t>Consider summarizing key points for quicker understanding.</t>
  </si>
  <si>
    <t>{"prompt_score": 4, "response_score": 5, "overall_score": 5, "prompt_strengths": "Clear and detailed instructions for a coding task.", "prompt_issues": "Could benefit from more explicit context about the expected output.", "response_strengths": "Thorough explanation with relevant code examples and clear error resolution.", "response_issues": "None significant; all aspects addressed well.", "prompt_rewrite": "Provide a detailed coding task for predicting student risk using a trained model, ensuring clarity on input data requirements.", "response_improvement_suggestions": "Consider summarizing key points for quicker understanding.", "verdict": "excellent", "needs_human_review": false}</t>
  </si>
  <si>
    <t>[MODE:code]
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</si>
  <si>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</si>
  <si>
    <t>```python
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
```</t>
  </si>
  <si>
    <t>Could benefit from clearer formatting for code sections.</t>
  </si>
  <si>
    <t>Buatlah variabel loocv dari kelas LeaveOneOut. Kemudian, buatlah model LogisticRegression dengan parameter solver adalah 'liblinear'. Gunakan method cross_val_score untuk menghitung akurasi dan simpangan baku, lalu cetak hasilnya dalam format: Accuracy: &lt;Nilai Rata-Rata&gt;% (&lt;Nilai Simpangan Baku&gt;%)</t>
  </si>
  <si>
    <t>None; the response meets all requirements effectively.</t>
  </si>
  <si>
    <t>{"prompt_score": 4, "response_score": 5, "overall_score": 5, "prompt_strengths": "Clear instructions with specific tasks.", "prompt_issues": "Could benefit from clearer formatting for code sections.", "response_strengths": "Correct implementation of the prompt requirements.", "response_issues": "None identified; response is complete and clear.", "prompt_rewrite": "Buatlah variabel loocv dari kelas LeaveOneOut. Kemudian, buatlah model LogisticRegression dengan parameter solver adalah 'liblinear'. Gunakan method cross_val_score untuk menghitung akurasi dan simpangan baku, lalu cetak hasilnya dalam format: Accuracy: &lt;Nilai Rata-Rata&gt;% (&lt;Nilai Simpangan Baku&gt;%)", "response_improvement_suggestions": "None; the response meets all requirements effectively.", "verdict": "excellent", "needs_human_review": false}</t>
  </si>
  <si>
    <t>[MODE:code]
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</si>
  <si>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</si>
  <si>
    <t>```python
#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
```</t>
  </si>
  <si>
    <t>Detailed instructions and clear structure.</t>
  </si>
  <si>
    <t>Correct implementation of the task with clear output.</t>
  </si>
  <si>
    <t>Mengerjakan UTS praktikum: Pahami dataset akademik mahasiswa, tentukan fitur untuk regresi dan klasifikasi, bangun model regresi untuk memprediksi final_exam_score, dan model klasifikasi untuk memprediksi pass_fail. Evaluasi model dan tulis interpretasi hasil. Gunakan dataset student_exam_performance_dataset (1).csv dan hindari target leakage. Fokus pada alur berpikir dan interpretasi hasil.</t>
  </si>
  <si>
    <t>{"prompt_score": 4, "response_score": 5, "overall_score": 5, "prompt_strengths": "Detailed instructions and clear structure.", "prompt_issues": "Could be slightly more concise.", "response_strengths": "Correct implementation of the task with clear output.", "response_issues": "None.", "prompt_rewrite": "Mengerjakan UTS praktikum: Pahami dataset akademik mahasiswa, tentukan fitur untuk regresi dan klasifikasi, bangun model regresi untuk memprediksi final_exam_score, dan model klasifikasi untuk memprediksi pass_fail. Evaluasi model dan tulis interpretasi hasil. Gunakan dataset student_exam_performance_dataset (1).csv dan hindari target leakage. Fokus pada alur berpikir dan interpretasi hasil.", "response_improvement_suggestions": "Consider adding comments to explain each step of the code.", "verdict": "excellent", "needs_human_review": false}</t>
  </si>
  <si>
    <t>[MODE:summary_code_explanation]
Kita akan mencoba classifier yang lain, yaitu `RandomForestClassifier`.      
Gunakan `random_state` yang bernilai `42` sebagai argumen. bagaimana caranya</t>
  </si>
  <si>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</si>
  <si>
    <t>Clear and specific request for using RandomForestClassifier.</t>
  </si>
  <si>
    <t>Could provide more context on the previous model for better understanding.</t>
  </si>
  <si>
    <t>Correct, complete, and clearly explains the use of random_state.</t>
  </si>
  <si>
    <t>None significant; could include a brief example of cross_val_predict usage.</t>
  </si>
  <si>
    <t>Bagaimana cara menggunakan `RandomForestClassifier` dengan `random_state=42` dan contoh penggunaannya seperti model sebelumnya?</t>
  </si>
  <si>
    <t>Add a brief example of how to use the model with cross_val_predict.</t>
  </si>
  <si>
    <t>{"prompt_score": 4, "response_score": 5, "overall_score": 4, "prompt_strengths": "Clear and specific request for using RandomForestClassifier.", "prompt_issues": "Could provide more context on the previous model for better understanding.", "response_strengths": "Correct, complete, and clearly explains the use of random_state.", "response_issues": "None significant; could include a brief example of cross_val_predict usage.", "prompt_rewrite": "Bagaimana cara menggunakan `RandomForestClassifier` dengan `random_state=42` dan contoh penggunaannya seperti model sebelumnya?", "response_improvement_suggestions": "Add a brief example of how to use the model with cross_val_predict.", "verdict": "good", "needs_human_review": false}</t>
  </si>
  <si>
    <t>[MODE:code]
Gunakan method read_csv dengan parameter: filename dan names adalah names. Simpan hasil read_csv dalam variabel dataframe ##### Your Code Here #####
dataframe =</t>
  </si>
  <si>
    <t>Correct and complete implementation of the prompt.</t>
  </si>
  <si>
    <t>Gunakan method read_csv dengan parameter: filename (string) dan names (list of strings). Simpan hasil read_csv dalam variabel dataframe ##### Your Code Here ##### dataframe =</t>
  </si>
  <si>
    <t>None needed; response is already correct.</t>
  </si>
  <si>
    <t>{"prompt_score": 4, "response_score": 5, "overall_score": 4, "prompt_strengths": "Clear instructions and context for the task.", "prompt_issues": "Could specify the expected format of 'filename' and 'names'.", "response_strengths": "Correct and complete implementation of the prompt.", "response_issues": "None.", "prompt_rewrite": "Gunakan method read_csv dengan parameter: filename (string) dan names (list of strings). Simpan hasil read_csv dalam variabel dataframe ##### Your Code Here ##### dataframe =", "response_improvement_suggestions": "None needed; response is already correct.", "verdict": "good", "needs_human_review": false}</t>
  </si>
  <si>
    <t>[MODE:summary_code_explanation]
Gunakan method `read_csv` dengan parameter: `filename` dan `names` adalah `names`. Simpan hasil `read_csv` dalam variabel `dataframe`.</t>
  </si>
  <si>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</si>
  <si>
    <t>Accurate, complete, and well-explained code example.</t>
  </si>
  <si>
    <t>Jelaskan cara menggunakan method `read_csv` dari pandas dengan parameter `filename` dan `names`, serta berikan contoh penggunaannya.</t>
  </si>
  <si>
    <t>Consider adding a brief example of the input CSV file structure.</t>
  </si>
  <si>
    <t>{"prompt_score": 4, "response_score": 5, "overall_score": 5, "prompt_strengths": "Clear and specific instructions.", "prompt_issues": "Could provide more context on the use case.", "response_strengths": "Accurate, complete, and well-explained code example.", "response_issues": "None.", "prompt_rewrite": "Jelaskan cara menggunakan method `read_csv` dari pandas dengan parameter `filename` dan `names`, serta berikan contoh penggunaannya.", "response_improvement_suggestions": "Consider adding a brief example of the input CSV file structure.", "verdict": "excellent", "needs_human_review": false}</t>
  </si>
  <si>
    <t>[MODE:code]
coba perbaiki kenapa bisa terjadi error pada kode program, ini adalah bentuk error nya "TypeError: cannot unpack non-iterable NoneType object</t>
  </si>
  <si>
    <t>import numpy as np
def feature_normalize(X):
    X = np.asarray(X, dtype=float)
    mu = np.mean(X, axis=0)
    sigma = np.std(X, axis=0, ddof=0)
    sigma_safe = np.where(sigma == 0, 1.0, sigma)
    X_norm = (X - mu) / sigma_safe
    return X_norm, mu, sigma
# Contoh pemakaian:
# X_norm, mu, sigma = feature_normalize(X)</t>
  </si>
  <si>
    <t>```python
import numpy as np
def feature_normalize(X):
    X = np.asarray(X, dtype=float)
    mu = np.mean(X, axis=0)
    sigma = np.std(X, axis=0, ddof=0)
    sigma_safe = np.where(sigma == 0, 1.0, sigma)
    X_norm = (X - mu) / sigma_safe
    return X_norm, mu, sigma
# Contoh pemakaian:
# X_norm, mu, sigma = feature_normalize(X)
```</t>
  </si>
  <si>
    <t>Clear error description and context provided.</t>
  </si>
  <si>
    <t>Could specify the programming language for better clarity.</t>
  </si>
  <si>
    <t>Relevant code provided with a clear explanation of the function.</t>
  </si>
  <si>
    <t>Does not directly address the specific error mentioned in the prompt.</t>
  </si>
  <si>
    <t>[MODE:code] Perbaiki error pada kode program ini: "TypeError: cannot unpack non-iterable NoneType object". Sertakan bahasa pemrograman yang digunakan.</t>
  </si>
  <si>
    <t>Include an explanation of why the error occurs and how the provided code resolves it.</t>
  </si>
  <si>
    <t>{"prompt_score": 4, "response_score": 4, "overall_score": 4, "prompt_strengths": "Clear error description and context provided.", "prompt_issues": "Could specify the programming language for better clarity.", "response_strengths": "Relevant code provided with a clear explanation of the function.", "response_issues": "Does not directly address the specific error mentioned in the prompt.", "prompt_rewrite": "[MODE:code] Perbaiki error pada kode program ini: \"TypeError: cannot unpack non-iterable NoneType object\". Sertakan bahasa pemrograman yang digunakan.", "response_improvement_suggestions": "Include an explanation of why the error occurs and how the provided code resolves it.", "verdict": "good", "needs_human_review": false}</t>
  </si>
  <si>
    <t>[MODE:summary_code_explanation]
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</si>
  <si>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</si>
  <si>
    <t>Could provide more context on the code's purpose.</t>
  </si>
  <si>
    <t>Accurate, complete, and actionable solution provided.</t>
  </si>
  <si>
    <t>Could include more details on upgrading scikit-learn.</t>
  </si>
  <si>
    <t>[MODE:summary_code_explanation] Saya mengalami error saat menjalankan kode ini yang menggunakan scikit-learn. Kode ini bertujuan untuk memproses data dan mengevaluasi model regresi. Error yang muncul adalah TypeError: got an unexpected keyword argument 'squared'. Apa solusinya?</t>
  </si>
  <si>
    <t>Add more context on the implications of upgrading scikit-learn and potential compatibility issues.</t>
  </si>
  <si>
    <t>{"prompt_score": 4, "response_score": 5, "overall_score": 4, "prompt_strengths": "Clear and specific about the error and context.", "prompt_issues": "Could provide more context on the code's purpose.", "response_strengths": "Accurate, complete, and actionable solution provided.", "response_issues": "Could include more details on upgrading scikit-learn.", "prompt_rewrite": "[MODE:summary_code_explanation] Saya mengalami error saat menjalankan kode ini yang menggunakan scikit-learn. Kode ini bertujuan untuk memproses data dan mengevaluasi model regresi. Error yang muncul adalah TypeError: got an unexpected keyword argument 'squared'. Apa solusinya?", "response_improvement_suggestions": "Add more context on the implications of upgrading scikit-learn and potential compatibility issues.", "verdict": "good", "needs_human_review": false}</t>
  </si>
  <si>
    <t>[MODE:summary]
berikan secara rinci dan kompleks untuk saya yang mahasiswa pengertian dari scatter plot dan juga apa hubungannya dengan pengaruh bmi terhadap charges</t>
  </si>
  <si>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</si>
  <si>
    <t>Clear and specific request for detailed explanation.</t>
  </si>
  <si>
    <t>Could specify the desired length or depth of explanation.</t>
  </si>
  <si>
    <t>Thorough explanation with relevant details and context.</t>
  </si>
  <si>
    <t>Berikan penjelasan rinci tentang scatter plot dan hubungannya dengan pengaruh BMI terhadap charges, termasuk contoh dan analisis yang lebih dalam.</t>
  </si>
  <si>
    <t>Consider adding a simple example of a scatter plot for better understanding.</t>
  </si>
  <si>
    <t>{"prompt_score": 4, "response_score": 5, "overall_score": 5, "prompt_strengths": "Clear and specific request for detailed explanation.", "prompt_issues": "Could specify the desired length or depth of explanation.", "response_strengths": "Thorough explanation with relevant details and context.", "response_issues": "None significant; well-structured and informative.", "prompt_rewrite": "Berikan penjelasan rinci tentang scatter plot dan hubungannya dengan pengaruh BMI terhadap charges, termasuk contoh dan analisis yang lebih dalam.", "response_improvement_suggestions": "Consider adding a simple example of a scatter plot for better understanding.", "verdict": "excellent", "needs_human_review": false}</t>
  </si>
  <si>
    <t>[MODE:summary_code_explanation]
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</si>
  <si>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</si>
  <si>
    <t>Detailed description of the code and its components.</t>
  </si>
  <si>
    <t>Clear, relevant, and provides a complete solution with explanation.</t>
  </si>
  <si>
    <t>None significant; all aspects of the task are addressed.</t>
  </si>
  <si>
    <t>Summarize the Python code that processes a housing dataset using pandas, numpy, and scikit-learn, detailing the creation of pipelines and the training of a GridSearchCV model.</t>
  </si>
  <si>
    <t>{"prompt_score": 4, "response_score": 5, "overall_score": 5, "prompt_strengths": "Detailed description of the code and its components.", "prompt_issues": "Could be more concise; some parts are overly verbose.", "response_strengths": "Clear, relevant, and provides a complete solution with explanation.", "response_issues": "None significant; all aspects of the task are addressed.", "prompt_rewrite": "Summarize the Python code that processes a housing dataset using pandas, numpy, and scikit-learn, detailing the creation of pipelines and the training of a GridSearchCV model.", "response_improvement_suggestions": "None needed; the response is already comprehensive.", "verdict": "excellent", "needs_human_review": false}</t>
  </si>
  <si>
    <t>[MODE:summary_code_explanation]
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</si>
  <si>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</si>
  <si>
    <t>Thorough explanation with corrected code and reasoning.</t>
  </si>
  <si>
    <t>[MODE:summary_code_explanation] Konteks: Saya sedang mengerjakan [topik/tugas]. Saya mengalami error saat menjalankan kode berikut: [sertakan kode dan error]. Tolong perbaiki dan jelaskan langkah-langkah perbaikannya.</t>
  </si>
  <si>
    <t>Consider adding comments in the code to enhance understanding.</t>
  </si>
  <si>
    <t>{"prompt_score": 4, "response_score": 5, "overall_score": 5, "prompt_strengths": "Clear context and specific error message.", "prompt_issues": "Could provide more details on the expected output format.", "response_strengths": "Thorough explanation with corrected code and reasoning.", "response_issues": "None significant; all aspects addressed well.", "prompt_rewrite": "[MODE:summary_code_explanation] Konteks: Saya sedang mengerjakan [topik/tugas]. Saya mengalami error saat menjalankan kode berikut: [sertakan kode dan error]. Tolong perbaiki dan jelaskan langkah-langkah perbaikannya.", "response_improvement_suggestions": "Consider adding comments in the code to enhance understanding.", "verdict": "excellent", "needs_human_review": false}</t>
  </si>
  <si>
    <t>[LANG:Python]
[MODE:code]
sedikit klarifikasi mengenai X = df.iloc[:, 0:7]
bukannya itu akan menyimpan semua file dari baris kolom ke 1-8 yah?
bukannya seharusnya X = df.iloc[:, 0:6]?</t>
  </si>
  <si>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</si>
  <si>
    <t>```python
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
```</t>
  </si>
  <si>
    <t>Clear question about DataFrame slicing.</t>
  </si>
  <si>
    <t>Could provide more context on the DataFrame structure.</t>
  </si>
  <si>
    <t>Accurate explanation with code examples.</t>
  </si>
  <si>
    <t>Bisa jelaskan lebih lanjut tentang X = df.iloc[:, 0:7]? Apakah itu benar-benar menyimpan kolom 1-7?</t>
  </si>
  <si>
    <t>{"prompt_score": 4, "response_score": 5, "overall_score": 5, "prompt_strengths": "Clear question about DataFrame slicing.", "prompt_issues": "Could provide more context on the DataFrame structure.", "response_strengths": "Accurate explanation with code examples.", "response_issues": "None significant; very clear and helpful.", "prompt_rewrite": "Bisa jelaskan lebih lanjut tentang X = df.iloc[:, 0:7]? Apakah itu benar-benar menyimpan kolom 1-7?", "response_improvement_suggestions": "None needed; response is comprehensive.", "verdict": "excellent", "needs_human_review": false}</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</si>
  <si>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</si>
  <si>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</si>
  <si>
    <t>Correct, complete, and clearly explained code with comments.</t>
  </si>
  <si>
    <t>Saya punya tugas praktikum untuk mengembangkan model regresi menggunakan SVR. Saya perlu mencari nilai null dalam file housing_dataset.csv dan housing_labels.csv. Berikan syntax untuk mencarinya dan jelaskan hasilnya.</t>
  </si>
  <si>
    <t>Consider adding a brief explanation of what to do if null values are found.</t>
  </si>
  <si>
    <t>{"prompt_score": 4, "response_score": 5, "overall_score": 5, "prompt_strengths": "Clear and specific about the task and context.", "prompt_issues": "Could provide more details on expected output format.", "response_strengths": "Correct, complete, and clearly explained code with comments.", "response_issues": "None significant.", "prompt_rewrite": "Saya punya tugas praktikum untuk mengembangkan model regresi menggunakan SVR. Saya perlu mencari nilai null dalam file housing_dataset.csv dan housing_labels.csv. Berikan syntax untuk mencarinya dan jelaskan hasilnya.", "response_improvement_suggestions": "Consider adding a brief explanation of what to do if null values are found.", "verdict": "excellent", "needs_human_review": false}</t>
  </si>
  <si>
    <t>[MODE:summary_code_explanation]
I want to print out the roc curve score, but how do I do that? What do I calculate with the three variables I got from the roc_curve function to do so?</t>
  </si>
  <si>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</si>
  <si>
    <t>Could provide more context on the variables.</t>
  </si>
  <si>
    <t>Accurate, complete, and includes code example.</t>
  </si>
  <si>
    <t>How can I calculate and print the ROC AUC score using the outputs from the roc_curve function?</t>
  </si>
  <si>
    <t>{"prompt_score": 4, "response_score": 5, "overall_score": 5, "prompt_strengths": "Clear and specific about the task.", "prompt_issues": "Could provide more context on the variables.", "response_strengths": "Accurate, complete, and includes code example.", "response_issues": "None significant.", "prompt_rewrite": "How can I calculate and print the ROC AUC score using the outputs from the roc_curve function?", "response_improvement_suggestions": "None needed; response is comprehensive.", "verdict": "excellent", "needs_human_review": false}</t>
  </si>
  <si>
    <t>Row Labels</t>
  </si>
  <si>
    <t>Grand Total</t>
  </si>
  <si>
    <t>Sum of total_tokens</t>
  </si>
  <si>
    <t>TOTAL TOKEN (RETRIEVAL + CHATGPT)</t>
  </si>
  <si>
    <t>Total S-SPARC</t>
  </si>
  <si>
    <t>Hanya ChatGPT</t>
  </si>
  <si>
    <t>Inferensi hanya</t>
  </si>
  <si>
    <t>hemat</t>
  </si>
  <si>
    <t>TOTAL TOKEN (RETRIEVAL ONLY)</t>
  </si>
  <si>
    <t>TOTAL TOKEN (CHATGPT ONLY)</t>
  </si>
  <si>
    <t>Average of prompt_score</t>
  </si>
  <si>
    <t>Average of response_score</t>
  </si>
  <si>
    <t>verdict_num</t>
  </si>
  <si>
    <t>Average of verdict_num</t>
  </si>
  <si>
    <t>Efficiency Score</t>
  </si>
  <si>
    <t>Average of total_tokens</t>
  </si>
  <si>
    <t>Apakah prompt bagus → response bagus?</t>
  </si>
  <si>
    <t>Apakah prompt bagus → verdict bagus?</t>
  </si>
  <si>
    <t>Apakah prompt bagus → lebih hemat token?</t>
  </si>
  <si>
    <t>Prompt engineering memang berdampak langsung ke kualitas output LLM.</t>
  </si>
  <si>
    <t>Kualitas prompt merupakan faktor dominan dalam menentukan kualitas keseluruhan interaksi.</t>
  </si>
  <si>
    <t>Kualitas prompt tidak menjamin efisiensi token.</t>
  </si>
  <si>
    <t>Prompt bagus → lebih detail → response lebih panjang</t>
  </si>
  <si>
    <r>
      <t xml:space="preserve">Jadi kualitas naik, tapi token </t>
    </r>
    <r>
      <rPr>
        <b/>
        <sz val="11"/>
        <color theme="1"/>
        <rFont val="Calibri"/>
        <family val="2"/>
        <scheme val="minor"/>
      </rPr>
      <t>tidak turun</t>
    </r>
  </si>
  <si>
    <t>avg_verdict_num</t>
  </si>
  <si>
    <t>username</t>
  </si>
  <si>
    <t>chatgpt_token</t>
  </si>
  <si>
    <t>ratio</t>
  </si>
  <si>
    <t>Hasil regresi linear menunjukkan persamaan y = 0,0446x + 0,0218 dengan nilai R² sebesar 0,0716. Hal ini menunjukkan bahwa terdapat hubungan positif antara kualitas respons (verdict) dan rasio penggunaan token, di mana peningkatan kualitas cenderung diikuti oleh peningkatan penggunaan token. Namun, nilai R² yang rendah mengindikasikan bahwa pengaruh tersebut sangat lemah, sehingga kualitas respons bukan merupakan faktor utama yang menentukan efisiensi penggunaan 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</si>
</sst>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5" formatCode="yyyy\-mm\-dd\ hh:mm:ss"/>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applyAlignment="1">
      <alignment horizontal="center"/>
    </xf>
    <xf numFmtId="0" fontId="0" fillId="0" borderId="1" xfId="0" applyBorder="1"/>
    <xf numFmtId="0" fontId="2" fillId="0" borderId="0" xfId="0" applyFont="1"/>
    <xf numFmtId="41" fontId="2" fillId="0" borderId="0" xfId="1" applyFont="1" applyAlignment="1">
      <alignment horizontal="right"/>
    </xf>
    <xf numFmtId="10" fontId="2" fillId="0" borderId="0" xfId="2" applyNumberFormat="1" applyFont="1" applyAlignment="1">
      <alignment horizontal="right"/>
    </xf>
    <xf numFmtId="10" fontId="2" fillId="0" borderId="0" xfId="0" applyNumberFormat="1" applyFont="1" applyAlignment="1">
      <alignment horizontal="right"/>
    </xf>
    <xf numFmtId="0" fontId="2" fillId="0" borderId="0" xfId="0" applyFont="1" applyAlignment="1">
      <alignment horizontal="right"/>
    </xf>
    <xf numFmtId="0" fontId="0" fillId="2" borderId="0" xfId="0" applyFill="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alignment horizontal="left" vertical="top" wrapText="1"/>
    </xf>
  </cellXfs>
  <cellStyles count="3">
    <cellStyle name="Comma [0]" xfId="1" builtinId="6"/>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[output_with_tokens_evaluated.xlsx]Trends!PivotTable7</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Trends!$B$1</c:f>
              <c:strCache>
                <c:ptCount val="1"/>
                <c:pt idx="0">
                  <c:v>Average of prompt_score</c:v>
                </c:pt>
              </c:strCache>
            </c:strRef>
          </c:tx>
          <c:spPr>
            <a:ln w="28575" cap="rnd">
              <a:solidFill>
                <a:schemeClr val="accent1"/>
              </a:solidFill>
              <a:round/>
            </a:ln>
            <a:effectLst/>
          </c:spPr>
          <c:marker>
            <c:symbol val="none"/>
          </c:marker>
          <c:cat>
            <c:strRef>
              <c:f>Trends!$A$2:$A$9</c:f>
              <c:strCache>
                <c:ptCount val="7"/>
                <c:pt idx="0">
                  <c:v>W2</c:v>
                </c:pt>
                <c:pt idx="1">
                  <c:v>W3</c:v>
                </c:pt>
                <c:pt idx="2">
                  <c:v>W4</c:v>
                </c:pt>
                <c:pt idx="3">
                  <c:v>W5</c:v>
                </c:pt>
                <c:pt idx="4">
                  <c:v>W7</c:v>
                </c:pt>
                <c:pt idx="5">
                  <c:v>W8</c:v>
                </c:pt>
                <c:pt idx="6">
                  <c:v>W9</c:v>
                </c:pt>
              </c:strCache>
            </c:strRef>
          </c:cat>
          <c:val>
            <c:numRef>
              <c:f>Trends!$B$2:$B$9</c:f>
              <c:numCache>
                <c:formatCode>General</c:formatCode>
                <c:ptCount val="7"/>
                <c:pt idx="0">
                  <c:v>3.5588235294117645</c:v>
                </c:pt>
                <c:pt idx="1">
                  <c:v>3.7</c:v>
                </c:pt>
                <c:pt idx="2">
                  <c:v>3.782258064516129</c:v>
                </c:pt>
                <c:pt idx="3">
                  <c:v>3.7386363636363638</c:v>
                </c:pt>
                <c:pt idx="4">
                  <c:v>3.9285714285714284</c:v>
                </c:pt>
                <c:pt idx="5">
                  <c:v>3.78125</c:v>
                </c:pt>
                <c:pt idx="6">
                  <c:v>3.6349206349206349</c:v>
                </c:pt>
              </c:numCache>
            </c:numRef>
          </c:val>
          <c:smooth val="0"/>
          <c:extLst>
            <c:ext xmlns:c16="http://schemas.microsoft.com/office/drawing/2014/chart" uri="{C3380CC4-5D6E-409C-BE32-E72D297353CC}">
              <c16:uniqueId val="{00000000-7043-421C-A5CB-56D0971C055F}"/>
            </c:ext>
          </c:extLst>
        </c:ser>
        <c:ser>
          <c:idx val="1"/>
          <c:order val="1"/>
          <c:tx>
            <c:strRef>
              <c:f>Trends!$C$1</c:f>
              <c:strCache>
                <c:ptCount val="1"/>
                <c:pt idx="0">
                  <c:v>Average of response_score</c:v>
                </c:pt>
              </c:strCache>
            </c:strRef>
          </c:tx>
          <c:spPr>
            <a:ln w="28575" cap="rnd">
              <a:solidFill>
                <a:schemeClr val="accent2"/>
              </a:solidFill>
              <a:round/>
            </a:ln>
            <a:effectLst/>
          </c:spPr>
          <c:marker>
            <c:symbol val="none"/>
          </c:marker>
          <c:cat>
            <c:strRef>
              <c:f>Trends!$A$2:$A$9</c:f>
              <c:strCache>
                <c:ptCount val="7"/>
                <c:pt idx="0">
                  <c:v>W2</c:v>
                </c:pt>
                <c:pt idx="1">
                  <c:v>W3</c:v>
                </c:pt>
                <c:pt idx="2">
                  <c:v>W4</c:v>
                </c:pt>
                <c:pt idx="3">
                  <c:v>W5</c:v>
                </c:pt>
                <c:pt idx="4">
                  <c:v>W7</c:v>
                </c:pt>
                <c:pt idx="5">
                  <c:v>W8</c:v>
                </c:pt>
                <c:pt idx="6">
                  <c:v>W9</c:v>
                </c:pt>
              </c:strCache>
            </c:strRef>
          </c:cat>
          <c:val>
            <c:numRef>
              <c:f>Trends!$C$2:$C$9</c:f>
              <c:numCache>
                <c:formatCode>General</c:formatCode>
                <c:ptCount val="7"/>
                <c:pt idx="0">
                  <c:v>4.6029411764705879</c:v>
                </c:pt>
                <c:pt idx="1">
                  <c:v>4.74</c:v>
                </c:pt>
                <c:pt idx="2">
                  <c:v>4.685483870967742</c:v>
                </c:pt>
                <c:pt idx="3">
                  <c:v>4.6818181818181817</c:v>
                </c:pt>
                <c:pt idx="4">
                  <c:v>4.8571428571428568</c:v>
                </c:pt>
                <c:pt idx="5">
                  <c:v>4.5625</c:v>
                </c:pt>
                <c:pt idx="6">
                  <c:v>4.3015873015873014</c:v>
                </c:pt>
              </c:numCache>
            </c:numRef>
          </c:val>
          <c:smooth val="0"/>
          <c:extLst>
            <c:ext xmlns:c16="http://schemas.microsoft.com/office/drawing/2014/chart" uri="{C3380CC4-5D6E-409C-BE32-E72D297353CC}">
              <c16:uniqueId val="{00000001-7043-421C-A5CB-56D0971C055F}"/>
            </c:ext>
          </c:extLst>
        </c:ser>
        <c:ser>
          <c:idx val="2"/>
          <c:order val="2"/>
          <c:tx>
            <c:strRef>
              <c:f>Trends!$D$1</c:f>
              <c:strCache>
                <c:ptCount val="1"/>
                <c:pt idx="0">
                  <c:v>Average of verdict_num</c:v>
                </c:pt>
              </c:strCache>
            </c:strRef>
          </c:tx>
          <c:spPr>
            <a:ln w="28575" cap="rnd">
              <a:solidFill>
                <a:schemeClr val="accent3"/>
              </a:solidFill>
              <a:round/>
            </a:ln>
            <a:effectLst/>
          </c:spPr>
          <c:marker>
            <c:symbol val="none"/>
          </c:marker>
          <c:cat>
            <c:strRef>
              <c:f>Trends!$A$2:$A$9</c:f>
              <c:strCache>
                <c:ptCount val="7"/>
                <c:pt idx="0">
                  <c:v>W2</c:v>
                </c:pt>
                <c:pt idx="1">
                  <c:v>W3</c:v>
                </c:pt>
                <c:pt idx="2">
                  <c:v>W4</c:v>
                </c:pt>
                <c:pt idx="3">
                  <c:v>W5</c:v>
                </c:pt>
                <c:pt idx="4">
                  <c:v>W7</c:v>
                </c:pt>
                <c:pt idx="5">
                  <c:v>W8</c:v>
                </c:pt>
                <c:pt idx="6">
                  <c:v>W9</c:v>
                </c:pt>
              </c:strCache>
            </c:strRef>
          </c:cat>
          <c:val>
            <c:numRef>
              <c:f>Trends!$D$2:$D$9</c:f>
              <c:numCache>
                <c:formatCode>General</c:formatCode>
                <c:ptCount val="7"/>
                <c:pt idx="0">
                  <c:v>4.2058823529411766</c:v>
                </c:pt>
                <c:pt idx="1">
                  <c:v>4.3</c:v>
                </c:pt>
                <c:pt idx="2">
                  <c:v>4.2983870967741939</c:v>
                </c:pt>
                <c:pt idx="3">
                  <c:v>4.3068181818181817</c:v>
                </c:pt>
                <c:pt idx="4">
                  <c:v>4.5714285714285712</c:v>
                </c:pt>
                <c:pt idx="5">
                  <c:v>4.40625</c:v>
                </c:pt>
                <c:pt idx="6">
                  <c:v>4.087301587301587</c:v>
                </c:pt>
              </c:numCache>
            </c:numRef>
          </c:val>
          <c:smooth val="0"/>
          <c:extLst>
            <c:ext xmlns:c16="http://schemas.microsoft.com/office/drawing/2014/chart" uri="{C3380CC4-5D6E-409C-BE32-E72D297353CC}">
              <c16:uniqueId val="{00000002-7043-421C-A5CB-56D0971C055F}"/>
            </c:ext>
          </c:extLst>
        </c:ser>
        <c:dLbls>
          <c:showLegendKey val="0"/>
          <c:showVal val="0"/>
          <c:showCatName val="0"/>
          <c:showSerName val="0"/>
          <c:showPercent val="0"/>
          <c:showBubbleSize val="0"/>
        </c:dLbls>
        <c:smooth val="0"/>
        <c:axId val="83004047"/>
        <c:axId val="83006447"/>
      </c:lineChart>
      <c:catAx>
        <c:axId val="8300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6447"/>
        <c:crosses val="autoZero"/>
        <c:auto val="1"/>
        <c:lblAlgn val="ctr"/>
        <c:lblOffset val="100"/>
        <c:noMultiLvlLbl val="0"/>
      </c:catAx>
      <c:valAx>
        <c:axId val="8300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Regresi!$E$1</c:f>
              <c:strCache>
                <c:ptCount val="1"/>
                <c:pt idx="0">
                  <c:v>ratio</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7816739029116688"/>
                  <c:y val="9.329093478699777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Regresi!$B$2:$B$67</c:f>
              <c:numCache>
                <c:formatCode>General</c:formatCode>
                <c:ptCount val="66"/>
                <c:pt idx="0">
                  <c:v>4.5</c:v>
                </c:pt>
                <c:pt idx="1">
                  <c:v>4</c:v>
                </c:pt>
                <c:pt idx="2">
                  <c:v>3.8947368421052633</c:v>
                </c:pt>
                <c:pt idx="3">
                  <c:v>3</c:v>
                </c:pt>
                <c:pt idx="4">
                  <c:v>3.5</c:v>
                </c:pt>
                <c:pt idx="5">
                  <c:v>4.25</c:v>
                </c:pt>
                <c:pt idx="6">
                  <c:v>3.875</c:v>
                </c:pt>
                <c:pt idx="7">
                  <c:v>4.333333333333333</c:v>
                </c:pt>
                <c:pt idx="8">
                  <c:v>3.6</c:v>
                </c:pt>
                <c:pt idx="9">
                  <c:v>3.5</c:v>
                </c:pt>
                <c:pt idx="10">
                  <c:v>4.166666666666667</c:v>
                </c:pt>
                <c:pt idx="11">
                  <c:v>4.333333333333333</c:v>
                </c:pt>
                <c:pt idx="12">
                  <c:v>4.333333333333333</c:v>
                </c:pt>
                <c:pt idx="13">
                  <c:v>4.625</c:v>
                </c:pt>
                <c:pt idx="14">
                  <c:v>4</c:v>
                </c:pt>
                <c:pt idx="15">
                  <c:v>4.25</c:v>
                </c:pt>
                <c:pt idx="16">
                  <c:v>3.8333333333333335</c:v>
                </c:pt>
                <c:pt idx="17">
                  <c:v>4.5</c:v>
                </c:pt>
                <c:pt idx="18">
                  <c:v>4.5</c:v>
                </c:pt>
                <c:pt idx="19">
                  <c:v>4.333333333333333</c:v>
                </c:pt>
                <c:pt idx="20">
                  <c:v>4.4545454545454541</c:v>
                </c:pt>
                <c:pt idx="21">
                  <c:v>4.5</c:v>
                </c:pt>
                <c:pt idx="22">
                  <c:v>3</c:v>
                </c:pt>
                <c:pt idx="23">
                  <c:v>4.666666666666667</c:v>
                </c:pt>
                <c:pt idx="24">
                  <c:v>4.4285714285714288</c:v>
                </c:pt>
                <c:pt idx="25">
                  <c:v>4</c:v>
                </c:pt>
                <c:pt idx="26">
                  <c:v>4.7272727272727275</c:v>
                </c:pt>
                <c:pt idx="27">
                  <c:v>4.333333333333333</c:v>
                </c:pt>
                <c:pt idx="28">
                  <c:v>4.666666666666667</c:v>
                </c:pt>
                <c:pt idx="29">
                  <c:v>1</c:v>
                </c:pt>
                <c:pt idx="30">
                  <c:v>4.4000000000000004</c:v>
                </c:pt>
                <c:pt idx="31">
                  <c:v>4.4000000000000004</c:v>
                </c:pt>
                <c:pt idx="32">
                  <c:v>4.333333333333333</c:v>
                </c:pt>
                <c:pt idx="33">
                  <c:v>4.666666666666667</c:v>
                </c:pt>
                <c:pt idx="34">
                  <c:v>4.2666666666666666</c:v>
                </c:pt>
                <c:pt idx="35">
                  <c:v>4.4285714285714288</c:v>
                </c:pt>
                <c:pt idx="36">
                  <c:v>3.8333333333333335</c:v>
                </c:pt>
                <c:pt idx="37">
                  <c:v>4.1428571428571432</c:v>
                </c:pt>
                <c:pt idx="38">
                  <c:v>4.416666666666667</c:v>
                </c:pt>
                <c:pt idx="39">
                  <c:v>4.625</c:v>
                </c:pt>
                <c:pt idx="40">
                  <c:v>3.5</c:v>
                </c:pt>
                <c:pt idx="41">
                  <c:v>4.3</c:v>
                </c:pt>
                <c:pt idx="42">
                  <c:v>3.8333333333333335</c:v>
                </c:pt>
                <c:pt idx="43">
                  <c:v>3.8</c:v>
                </c:pt>
                <c:pt idx="44">
                  <c:v>4.5</c:v>
                </c:pt>
                <c:pt idx="45">
                  <c:v>4.1428571428571432</c:v>
                </c:pt>
                <c:pt idx="46">
                  <c:v>4.25</c:v>
                </c:pt>
                <c:pt idx="47">
                  <c:v>4.5714285714285712</c:v>
                </c:pt>
                <c:pt idx="48">
                  <c:v>4</c:v>
                </c:pt>
                <c:pt idx="49">
                  <c:v>4.4285714285714288</c:v>
                </c:pt>
                <c:pt idx="50">
                  <c:v>3.95</c:v>
                </c:pt>
                <c:pt idx="51">
                  <c:v>4.8888888888888893</c:v>
                </c:pt>
                <c:pt idx="52">
                  <c:v>4.5333333333333332</c:v>
                </c:pt>
                <c:pt idx="53">
                  <c:v>4.333333333333333</c:v>
                </c:pt>
                <c:pt idx="54">
                  <c:v>4.5</c:v>
                </c:pt>
                <c:pt idx="55">
                  <c:v>4.1428571428571432</c:v>
                </c:pt>
                <c:pt idx="56">
                  <c:v>4.5999999999999996</c:v>
                </c:pt>
                <c:pt idx="57">
                  <c:v>4.333333333333333</c:v>
                </c:pt>
                <c:pt idx="58">
                  <c:v>5</c:v>
                </c:pt>
                <c:pt idx="59">
                  <c:v>4.5625</c:v>
                </c:pt>
                <c:pt idx="60">
                  <c:v>4.1818181818181817</c:v>
                </c:pt>
                <c:pt idx="61">
                  <c:v>4.333333333333333</c:v>
                </c:pt>
                <c:pt idx="62">
                  <c:v>4.25</c:v>
                </c:pt>
                <c:pt idx="63">
                  <c:v>4.4000000000000004</c:v>
                </c:pt>
                <c:pt idx="64">
                  <c:v>3.6</c:v>
                </c:pt>
              </c:numCache>
            </c:numRef>
          </c:xVal>
          <c:yVal>
            <c:numRef>
              <c:f>Regresi!$E$2:$E$67</c:f>
              <c:numCache>
                <c:formatCode>General</c:formatCode>
                <c:ptCount val="66"/>
                <c:pt idx="0">
                  <c:v>5.2638505066456114E-2</c:v>
                </c:pt>
                <c:pt idx="1">
                  <c:v>0.17708474576271185</c:v>
                </c:pt>
                <c:pt idx="2">
                  <c:v>0.19294861366118948</c:v>
                </c:pt>
                <c:pt idx="3">
                  <c:v>8.1047381546134667E-2</c:v>
                </c:pt>
                <c:pt idx="4">
                  <c:v>6.5589353612167306E-2</c:v>
                </c:pt>
                <c:pt idx="5">
                  <c:v>0.26372745490981964</c:v>
                </c:pt>
                <c:pt idx="6">
                  <c:v>0.40828701364325415</c:v>
                </c:pt>
                <c:pt idx="7">
                  <c:v>0.36218229623137599</c:v>
                </c:pt>
                <c:pt idx="8">
                  <c:v>0.23711086501784176</c:v>
                </c:pt>
                <c:pt idx="9">
                  <c:v>0.1507959479015919</c:v>
                </c:pt>
                <c:pt idx="10">
                  <c:v>7.4915096224279151E-2</c:v>
                </c:pt>
                <c:pt idx="11">
                  <c:v>0.25845141700404856</c:v>
                </c:pt>
                <c:pt idx="12">
                  <c:v>0.26248696805989952</c:v>
                </c:pt>
                <c:pt idx="13">
                  <c:v>0.41749331493142411</c:v>
                </c:pt>
                <c:pt idx="14">
                  <c:v>0.19975508954538496</c:v>
                </c:pt>
                <c:pt idx="15">
                  <c:v>0.24543202229792505</c:v>
                </c:pt>
                <c:pt idx="16">
                  <c:v>0.10149195131527287</c:v>
                </c:pt>
                <c:pt idx="17">
                  <c:v>8.0818682760430333E-2</c:v>
                </c:pt>
                <c:pt idx="18">
                  <c:v>0.11210304808060197</c:v>
                </c:pt>
                <c:pt idx="19">
                  <c:v>0.22528147389969294</c:v>
                </c:pt>
                <c:pt idx="20">
                  <c:v>0.1540580084344608</c:v>
                </c:pt>
                <c:pt idx="21">
                  <c:v>0.186552217453505</c:v>
                </c:pt>
                <c:pt idx="22">
                  <c:v>0.23306822938467978</c:v>
                </c:pt>
                <c:pt idx="23">
                  <c:v>0.17652437909213944</c:v>
                </c:pt>
                <c:pt idx="24">
                  <c:v>0.1938864111773296</c:v>
                </c:pt>
                <c:pt idx="25">
                  <c:v>0.14700614124872058</c:v>
                </c:pt>
                <c:pt idx="26">
                  <c:v>0.19236752048117806</c:v>
                </c:pt>
                <c:pt idx="27">
                  <c:v>0.20262430401432854</c:v>
                </c:pt>
                <c:pt idx="28">
                  <c:v>0.17587855405518746</c:v>
                </c:pt>
                <c:pt idx="29">
                  <c:v>0.14920510815741464</c:v>
                </c:pt>
                <c:pt idx="30">
                  <c:v>0.14156109521863505</c:v>
                </c:pt>
                <c:pt idx="31">
                  <c:v>0.26247869491112735</c:v>
                </c:pt>
                <c:pt idx="32">
                  <c:v>0.23694253625558825</c:v>
                </c:pt>
                <c:pt idx="33">
                  <c:v>0.3671547141658118</c:v>
                </c:pt>
                <c:pt idx="34">
                  <c:v>0.16030497860847534</c:v>
                </c:pt>
                <c:pt idx="35">
                  <c:v>0.15598524186936322</c:v>
                </c:pt>
                <c:pt idx="36">
                  <c:v>0.31029523088569266</c:v>
                </c:pt>
                <c:pt idx="37">
                  <c:v>0.25304630381803411</c:v>
                </c:pt>
                <c:pt idx="38">
                  <c:v>0.19185120485022863</c:v>
                </c:pt>
                <c:pt idx="39">
                  <c:v>0.36482763255157585</c:v>
                </c:pt>
                <c:pt idx="40">
                  <c:v>7.698961937716263E-2</c:v>
                </c:pt>
                <c:pt idx="41">
                  <c:v>0.23737491272981151</c:v>
                </c:pt>
                <c:pt idx="42">
                  <c:v>0.26911499096929559</c:v>
                </c:pt>
                <c:pt idx="43">
                  <c:v>0.25738525685400132</c:v>
                </c:pt>
                <c:pt idx="44">
                  <c:v>6.6723131940523248E-2</c:v>
                </c:pt>
                <c:pt idx="45">
                  <c:v>0.17947037231253277</c:v>
                </c:pt>
                <c:pt idx="46">
                  <c:v>0.13393340552246888</c:v>
                </c:pt>
                <c:pt idx="47">
                  <c:v>0.23179845708775312</c:v>
                </c:pt>
                <c:pt idx="48">
                  <c:v>3.1740328183015927E-2</c:v>
                </c:pt>
                <c:pt idx="49">
                  <c:v>0.14210818478998336</c:v>
                </c:pt>
                <c:pt idx="50">
                  <c:v>0.26189459297855983</c:v>
                </c:pt>
                <c:pt idx="51">
                  <c:v>0.47432975143818518</c:v>
                </c:pt>
                <c:pt idx="52">
                  <c:v>0.17245586170384181</c:v>
                </c:pt>
                <c:pt idx="53">
                  <c:v>0.18224234938932346</c:v>
                </c:pt>
                <c:pt idx="54">
                  <c:v>0.32245497978684307</c:v>
                </c:pt>
                <c:pt idx="55">
                  <c:v>0.17407529360114149</c:v>
                </c:pt>
                <c:pt idx="56">
                  <c:v>0.25683216483044785</c:v>
                </c:pt>
                <c:pt idx="57">
                  <c:v>0.22925068987476119</c:v>
                </c:pt>
                <c:pt idx="58">
                  <c:v>0.33018181818181819</c:v>
                </c:pt>
                <c:pt idx="59">
                  <c:v>0.15325491060359789</c:v>
                </c:pt>
                <c:pt idx="60">
                  <c:v>0.26836900738515457</c:v>
                </c:pt>
                <c:pt idx="61">
                  <c:v>0.2139917695473251</c:v>
                </c:pt>
                <c:pt idx="62">
                  <c:v>0.31665234822451316</c:v>
                </c:pt>
                <c:pt idx="63">
                  <c:v>0.26442995706789635</c:v>
                </c:pt>
                <c:pt idx="64">
                  <c:v>6.149341142020498E-2</c:v>
                </c:pt>
              </c:numCache>
            </c:numRef>
          </c:yVal>
          <c:smooth val="0"/>
          <c:extLst>
            <c:ext xmlns:c16="http://schemas.microsoft.com/office/drawing/2014/chart" uri="{C3380CC4-5D6E-409C-BE32-E72D297353CC}">
              <c16:uniqueId val="{00000000-259C-490C-89E8-F8502557314A}"/>
            </c:ext>
          </c:extLst>
        </c:ser>
        <c:dLbls>
          <c:dLblPos val="t"/>
          <c:showLegendKey val="0"/>
          <c:showVal val="0"/>
          <c:showCatName val="0"/>
          <c:showSerName val="0"/>
          <c:showPercent val="0"/>
          <c:showBubbleSize val="0"/>
        </c:dLbls>
        <c:axId val="82994927"/>
        <c:axId val="83001167"/>
      </c:scatterChart>
      <c:valAx>
        <c:axId val="82994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Verdict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1167"/>
        <c:crosses val="autoZero"/>
        <c:crossBetween val="midCat"/>
      </c:valAx>
      <c:valAx>
        <c:axId val="8300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4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53340</xdr:colOff>
      <xdr:row>9</xdr:row>
      <xdr:rowOff>171450</xdr:rowOff>
    </xdr:from>
    <xdr:to>
      <xdr:col>5</xdr:col>
      <xdr:colOff>22860</xdr:colOff>
      <xdr:row>27</xdr:row>
      <xdr:rowOff>106680</xdr:rowOff>
    </xdr:to>
    <xdr:graphicFrame macro="">
      <xdr:nvGraphicFramePr>
        <xdr:cNvPr id="4" name="Chart 3">
          <a:extLst>
            <a:ext uri="{FF2B5EF4-FFF2-40B4-BE49-F238E27FC236}">
              <a16:creationId xmlns:a16="http://schemas.microsoft.com/office/drawing/2014/main" id="{C40CE177-865E-7688-4FAE-0695195D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594360</xdr:colOff>
      <xdr:row>0</xdr:row>
      <xdr:rowOff>137160</xdr:rowOff>
    </xdr:from>
    <xdr:to>
      <xdr:col>15</xdr:col>
      <xdr:colOff>205740</xdr:colOff>
      <xdr:row>19</xdr:row>
      <xdr:rowOff>129540</xdr:rowOff>
    </xdr:to>
    <xdr:graphicFrame macro="">
      <xdr:nvGraphicFramePr>
        <xdr:cNvPr id="3" name="Chart 2">
          <a:extLst>
            <a:ext uri="{FF2B5EF4-FFF2-40B4-BE49-F238E27FC236}">
              <a16:creationId xmlns:a16="http://schemas.microsoft.com/office/drawing/2014/main" id="{0C93337E-089E-6769-C350-FDEEB4F68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hezkiel David S" refreshedDate="46140.567257754628" createdVersion="8" refreshedVersion="8" minRefreshableVersion="3" recordCount="535" xr:uid="{6BF0AA66-0C5F-4E7E-832F-3AFDEA3BDF6D}">
  <cacheSource type="worksheet">
    <worksheetSource ref="A1:AC536" sheet="MASTER_DATA"/>
  </cacheSource>
  <cacheFields count="29">
    <cacheField name="user_id" numFmtId="0">
      <sharedItems containsString="0" containsBlank="1" containsNumber="1" containsInteger="1" minValue="2172013" maxValue="2472901" count="66">
        <n v="2172013"/>
        <n v="2172022"/>
        <n v="2172025"/>
        <n v="2272017"/>
        <n v="2372004"/>
        <n v="2372006"/>
        <n v="2372012"/>
        <n v="2372017"/>
        <n v="2372019"/>
        <n v="2372022"/>
        <n v="2372027"/>
        <n v="2372028"/>
        <n v="2372036"/>
        <n v="2372041"/>
        <n v="2372042"/>
        <n v="2372050"/>
        <n v="2372059"/>
        <n v="2372062"/>
        <n v="2372063"/>
        <n v="2372902"/>
        <n v="2472001"/>
        <n v="2472003"/>
        <n v="2472005"/>
        <n v="2472007"/>
        <n v="2472008"/>
        <n v="2472009"/>
        <n v="2472010"/>
        <n v="2472011"/>
        <n v="2472012"/>
        <n v="2472013"/>
        <n v="2472014"/>
        <n v="2472017"/>
        <n v="2472018"/>
        <n v="2472019"/>
        <n v="2472020"/>
        <n v="2472021"/>
        <n v="2472022"/>
        <n v="2472023"/>
        <n v="2472024"/>
        <n v="2472025"/>
        <n v="2472026"/>
        <n v="2472027"/>
        <n v="2472028"/>
        <n v="2472029"/>
        <n v="2472030"/>
        <n v="2472032"/>
        <n v="2472034"/>
        <n v="2472035"/>
        <n v="2472037"/>
        <n v="2472039"/>
        <n v="2472040"/>
        <n v="2472041"/>
        <n v="2472042"/>
        <n v="2472043"/>
        <n v="2472045"/>
        <n v="2472046"/>
        <n v="2472048"/>
        <n v="2472051"/>
        <n v="2472052"/>
        <n v="2472053"/>
        <n v="2472056"/>
        <n v="2472057"/>
        <n v="2472058"/>
        <n v="2472064"/>
        <n v="2472901"/>
        <m/>
      </sharedItems>
    </cacheField>
    <cacheField name="prompt" numFmtId="0">
      <sharedItems containsBlank="1" longText="1"/>
    </cacheField>
    <cacheField name="status" numFmtId="0">
      <sharedItems containsBlank="1"/>
    </cacheField>
    <cacheField name="code" numFmtId="0">
      <sharedItems containsBlank="1" longText="1"/>
    </cacheField>
    <cacheField name="raw_response" numFmtId="0">
      <sharedItems containsBlank="1" longText="1"/>
    </cacheField>
    <cacheField name="created_at" numFmtId="165">
      <sharedItems containsNonDate="0" containsDate="1" containsString="0" containsBlank="1" minDate="2026-02-24T11:54:01" maxDate="2026-04-15T15:12:55"/>
    </cacheField>
    <cacheField name="week" numFmtId="0">
      <sharedItems containsBlank="1" count="8">
        <s v="W8"/>
        <s v="W2"/>
        <s v="W4"/>
        <s v="W9"/>
        <s v="W5"/>
        <s v="W7"/>
        <s v="W3"/>
        <m/>
      </sharedItems>
    </cacheField>
    <cacheField name="is_retrieval" numFmtId="0">
      <sharedItems containsString="0" containsBlank="1" containsNumber="1" containsInteger="1" minValue="0" maxValue="0"/>
    </cacheField>
    <cacheField name="prompt_tokens" numFmtId="0">
      <sharedItems containsString="0" containsBlank="1" containsNumber="1" containsInteger="1" minValue="24" maxValue="1186"/>
    </cacheField>
    <cacheField name="response_tokens" numFmtId="0">
      <sharedItems containsString="0" containsBlank="1" containsNumber="1" containsInteger="1" minValue="3" maxValue="1134"/>
    </cacheField>
    <cacheField name="total_tokens" numFmtId="0">
      <sharedItems containsString="0" containsBlank="1" containsNumber="1" containsInteger="1" minValue="36" maxValue="1999"/>
    </cacheField>
    <cacheField name="prompt_char_length" numFmtId="0">
      <sharedItems containsString="0" containsBlank="1" containsNumber="1" containsInteger="1" minValue="112" maxValue="3960"/>
    </cacheField>
    <cacheField name="response_char_length" numFmtId="0">
      <sharedItems containsString="0" containsBlank="1" containsNumber="1" containsInteger="1" minValue="7" maxValue="4275"/>
    </cacheField>
    <cacheField name="row_id" numFmtId="0">
      <sharedItems containsString="0" containsBlank="1" containsNumber="1" containsInteger="1" minValue="48" maxValue="5001"/>
    </cacheField>
    <cacheField name="prompt_score" numFmtId="0">
      <sharedItems containsString="0" containsBlank="1" containsNumber="1" containsInteger="1" minValue="2" maxValue="5"/>
    </cacheField>
    <cacheField name="response_score" numFmtId="0">
      <sharedItems containsString="0" containsBlank="1" containsNumber="1" containsInteger="1" minValue="2" maxValue="5"/>
    </cacheField>
    <cacheField name="overall_score" numFmtId="0">
      <sharedItems containsString="0" containsBlank="1" containsNumber="1" containsInteger="1" minValue="2" maxValue="5"/>
    </cacheField>
    <cacheField name="prompt_strengths" numFmtId="0">
      <sharedItems containsBlank="1"/>
    </cacheField>
    <cacheField name="prompt_issues" numFmtId="0">
      <sharedItems containsBlank="1"/>
    </cacheField>
    <cacheField name="response_strengths" numFmtId="0">
      <sharedItems containsBlank="1"/>
    </cacheField>
    <cacheField name="response_issues" numFmtId="0">
      <sharedItems containsBlank="1"/>
    </cacheField>
    <cacheField name="prompt_rewrite" numFmtId="0">
      <sharedItems containsBlank="1" longText="1"/>
    </cacheField>
    <cacheField name="response_improvement_suggestions" numFmtId="0">
      <sharedItems containsBlank="1"/>
    </cacheField>
    <cacheField name="verdict" numFmtId="0">
      <sharedItems containsBlank="1"/>
    </cacheField>
    <cacheField name="needs_human_review" numFmtId="0">
      <sharedItems containsBlank="1"/>
    </cacheField>
    <cacheField name="model" numFmtId="0">
      <sharedItems containsBlank="1"/>
    </cacheField>
    <cacheField name="raw_json" numFmtId="0">
      <sharedItems containsBlank="1" longText="1"/>
    </cacheField>
    <cacheField name="evaluation_status" numFmtId="0">
      <sharedItems containsBlank="1"/>
    </cacheField>
    <cacheField name="verdict_num"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5">
  <r>
    <x v="0"/>
    <s v="[MODE:code]_x000a_Latih parameter akhir theta_final menggunakan data gabungan dan alpha terbaik dari validation curve._x000a__x000a_### YOUR CODES HERE ###_x000a_# Latih model akhir menggunakan alpha terbaik hasil validation curve._x000a_theta_final = ..."/>
    <s v="done"/>
    <s v="theta_final = train_linear_reg(X_train_final, y_train_final, alpha_vec[np.argmin(error_val)])"/>
    <s v="theta_final = train_linear_reg(X_train_final, y_train_final, alpha_vec[np.argmin(error_val)])"/>
    <d v="2026-04-07T12:27:50"/>
    <x v="0"/>
    <n v="0"/>
    <n v="50"/>
    <n v="22"/>
    <n v="72"/>
    <n v="225"/>
    <n v="93"/>
    <n v="286"/>
    <n v="4"/>
    <n v="4"/>
    <n v="4"/>
    <s v="Clear instructions and context provided."/>
    <s v="Could specify the expected format of theta_final more clearly."/>
    <s v="Correctly implements the training of the final model."/>
    <s v="Lacks explanation of the code and assumptions made."/>
    <s v="Latih parameter akhir theta_final menggunakan data gabungan dan alpha terbaik dari validation curve. Tunjukkan hasil dalam format yang jelas. ### YOUR CODES HERE ###"/>
    <s v="Add comments explaining the code and the rationale behind choosing alpha."/>
    <s v="good"/>
    <b v="0"/>
    <s v="gpt-4o-mini"/>
    <s v="{&quot;prompt_score&quot;: 4, &quot;response_score&quot;: 4, &quot;overall_score&quot;: 4, &quot;prompt_strengths&quot;: &quot;Clear instructions and context provided.&quot;, &quot;prompt_issues&quot;: &quot;Could specify the expected format of theta_final more clearly.&quot;, &quot;response_strengths&quot;: &quot;Correctly implements the training of the final model.&quot;, &quot;response_issues&quot;: &quot;Lacks explanation of the code and assumptions made.&quot;, &quot;prompt_rewrite&quot;: &quot;Latih parameter akhir theta_final menggunakan data gabungan dan alpha terbaik dari validation curve. Tunjukkan hasil dalam format yang jelas. ### YOUR CODES HERE ###&quot;, &quot;response_improvement_suggestions&quot;: &quot;Add comments explaining the code and the rationale behind choosing alpha.&quot;, &quot;verdict&quot;: &quot;good&quot;, &quot;needs_human_review&quot;: false}"/>
    <s v="ok"/>
    <n v="4"/>
  </r>
  <r>
    <x v="0"/>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python_x000a_import numpy as np_x000a__x000a_def poly_features(X, p):_x000a_    X = np.asarray(X).reshape(-1)_x000a_    X_poly = np.zeros((X.size, p))_x000a__x000a_    P = np.arange(1, p + 1)_x000a_    X_poly = X[:, None] ** P[None, :]_x000a__x000a_    return X_poly_x000a_```"/>
    <d v="2026-04-07T12:16:29"/>
    <x v="0"/>
    <n v="0"/>
    <n v="152"/>
    <n v="72"/>
    <n v="224"/>
    <n v="496"/>
    <n v="213"/>
    <n v="2126"/>
    <n v="4"/>
    <n v="4"/>
    <n v="4"/>
    <s v="Clear instructions and specific requirements."/>
    <s v="Could provide more context on the input format."/>
    <s v="Correct implementation of polynomial feature generation."/>
    <s v="Lacks comments explaining the code logic."/>
    <s v="Lengkapi fungsi poly_features untuk membentuk fitur polinomial dari derajat 1 sampai p. Input X adalah vektor satu kolom. Kembalikan matriks X_poly berukuran (m, p) dengan kolom ke-k berisi X pangkat (k + 1)."/>
    <s v="Add comments to explain each step of the code for better clarity."/>
    <s v="good"/>
    <b v="0"/>
    <s v="gpt-4o-mini"/>
    <s v="{&quot;prompt_score&quot;: 4, &quot;response_score&quot;: 4, &quot;overall_score&quot;: 4, &quot;prompt_strengths&quot;: &quot;Clear instructions and specific requirements.&quot;, &quot;prompt_issues&quot;: &quot;Could provide more context on the input format.&quot;, &quot;response_strengths&quot;: &quot;Correct implementation of polynomial feature generation.&quot;, &quot;response_issues&quot;: &quot;Lacks comments explaining the code logic.&quot;, &quot;prompt_rewrite&quot;: &quot;Lengkapi fungsi poly_features untuk membentuk fitur polinomial dari derajat 1 sampai p. Input X adalah vektor satu kolom. Kembalikan matriks X_poly berukuran (m, p) dengan kolom ke-k berisi X pangkat (k + 1).&quot;, &quot;response_improvement_suggestions&quot;: &quot;Add comments to explain each step of the code for better clarity.&quot;, &quot;verdict&quot;: &quot;good&quot;, &quot;needs_human_review&quot;: false}"/>
    <s v="ok"/>
    <n v="4"/>
  </r>
  <r>
    <x v="0"/>
    <s v="[MODE:code]_x000a_buat code untuk latih grid_serach dari 6000 data pertama pada dataset csv sebelumnya yang sudah dibuat pipeline dengan preprocessing svr"/>
    <s v="done"/>
    <s v="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    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    estimator=svr_pipeline,_x000a_    param_grid=param_grid,_x000a_    cv=CV_FOLDS,_x000a_    scoring=SCORING,_x000a_    n_jobs=-1,_x000a_    verbose=2,_x000a_    refit=True,_x000a_)_x000a__x000a_grid_search.fit(X_train, y_train)_x000a__x000a_print(&quot;Best params:&quot;, grid_search.best_params_)_x000a_print(&quot;Best CV RMSE:&quot;, -grid_search.best_score_)_x000a_best_model = grid_search.best_estimator_"/>
    <s v="```python_x000a_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    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    estimator=svr_pipeline,_x000a_    param_grid=param_grid,_x000a_    cv=CV_FOLDS,_x000a_    scoring=SCORING,_x000a_    n_jobs=-1,_x000a_    verbose=2,_x000a_    refit=True,_x000a_)_x000a__x000a_grid_search.fit(X_train, y_train)_x000a__x000a_print(&quot;Best params:&quot;, grid_search.best_params_)_x000a_print(&quot;Best CV RMSE:&quot;, -grid_search.best_score_)_x000a_best_model = grid_search.best_estimator__x000a_```"/>
    <d v="2026-02-24T13:27:14"/>
    <x v="1"/>
    <n v="0"/>
    <n v="35"/>
    <n v="350"/>
    <n v="385"/>
    <n v="148"/>
    <n v="1263"/>
    <n v="4151"/>
    <n v="4"/>
    <n v="5"/>
    <n v="5"/>
    <s v="Clear and specific about the task."/>
    <s v="Could provide more context on the dataset."/>
    <s v="Correct, complete, and well-structured code."/>
    <s v="None significant."/>
    <s v="Buat kode untuk melatih GridSearchCV menggunakan 6000 data pertama dari dataset CSV yang sudah diproses dengan pipeline SVR."/>
    <s v="Add comments explaining each step for better clarity."/>
    <s v="excellent"/>
    <b v="0"/>
    <s v="gpt-4o-mini"/>
    <s v="{&quot;prompt_score&quot;: 4, &quot;response_score&quot;: 5, &quot;overall_score&quot;: 5, &quot;prompt_strengths&quot;: &quot;Clear and specific about the task.&quot;, &quot;prompt_issues&quot;: &quot;Could provide more context on the dataset.&quot;, &quot;response_strengths&quot;: &quot;Correct, complete, and well-structured code.&quot;, &quot;response_issues&quot;: &quot;None significant.&quot;, &quot;prompt_rewrite&quot;: &quot;Buat kode untuk melatih GridSearchCV menggunakan 6000 data pertama dari dataset CSV yang sudah diproses dengan pipeline SVR.&quot;, &quot;response_improvement_suggestions&quot;: &quot;Add comments explaining each step for better clarity.&quot;, &quot;verdict&quot;: &quot;excellent&quot;, &quot;needs_human_review&quot;: false}"/>
    <s v="ok"/>
    <n v="5"/>
  </r>
  <r>
    <x v="0"/>
    <s v="[MODE:summary]_x000a_ini soal kedua_x000a__x000a_Apa tujuan feature scaling?_x000a_*_x000a_Mengubah label_x000a_Membuat semua fitur berada pada skala yang sama_x000a_Menghapus dataset_x000a_Menghapus outlier"/>
    <s v="done"/>
    <s v="Feature scaling bertujuan membuat semua fitur berada pada skala yang sama agar algoritma yang sensitif terhadap perbedaan skala (misalnya KNN, SVM, regresi) bekerja lebih stabil dan adil. Jadi jawabannya: Membuat semua fitur berada pada skala yang sama."/>
    <s v="Feature scaling bertujuan membuat semua fitur berada pada skala yang sama agar algoritma yang sensitif terhadap perbedaan skala (misalnya KNN, SVM, regresi) bekerja lebih stabil dan adil. Jadi jawabannya: Membuat semua fitur berada pada skala yang sama."/>
    <d v="2026-03-10T09:38:37"/>
    <x v="2"/>
    <n v="0"/>
    <n v="47"/>
    <n v="72"/>
    <n v="119"/>
    <n v="159"/>
    <n v="253"/>
    <n v="4639"/>
    <n v="4"/>
    <n v="5"/>
    <n v="5"/>
    <s v="Clear and specific question about feature scaling."/>
    <s v="Could provide more context on feature scaling importance."/>
    <s v="Accurate, clear, and directly answers the prompt."/>
    <s v="None."/>
    <s v="Apa tujuan dari feature scaling dalam machine learning?"/>
    <s v="None needed; response is already strong."/>
    <s v="excellent"/>
    <b v="0"/>
    <s v="gpt-4o-mini"/>
    <s v="{&quot;prompt_score&quot;: 4, &quot;response_score&quot;: 5, &quot;overall_score&quot;: 5, &quot;prompt_strengths&quot;: &quot;Clear and specific question about feature scaling.&quot;, &quot;prompt_issues&quot;: &quot;Could provide more context on feature scaling importance.&quot;, &quot;response_strengths&quot;: &quot;Accurate, clear, and directly answers the prompt.&quot;, &quot;response_issues&quot;: &quot;None.&quot;, &quot;prompt_rewrite&quot;: &quot;Apa tujuan dari feature scaling dalam machine learning?&quot;, &quot;response_improvement_suggestions&quot;: &quot;None needed; response is already strong.&quot;, &quot;verdict&quot;: &quot;excellent&quot;, &quot;needs_human_review&quot;: false}"/>
    <s v="ok"/>
    <n v="5"/>
  </r>
  <r>
    <x v="1"/>
    <s v="[MODE:code]_x000a_untuk selanjutnya saya ingin _x000a_1.menampilkan score terbaik dari hasil grid_search berdasarkan RMSE._x000a_2.menampilkan best hyperparameter dari hasil grid_search"/>
    <s v="done"/>
    <s v="# 1) Score terbaik berdasarkan RMSE (scoring = &quot;neg_root_mean_squared_error&quot;)_x000a_best_rmse = -grid_search.best_score__x000a_print(&quot;Best RMSE (CV):&quot;, best_rmse)_x000a__x000a_# 2) Best hyperparameter_x000a_print(&quot;Best hyperparameters:&quot;, grid_search.best_params_)"/>
    <s v="```python_x000a_# 1) Score terbaik berdasarkan RMSE (scoring = &quot;neg_root_mean_squared_error&quot;)_x000a_best_rmse = -grid_search.best_score__x000a_print(&quot;Best RMSE (CV):&quot;, best_rmse)_x000a__x000a_# 2) Best hyperparameter_x000a_print(&quot;Best hyperparameters:&quot;, grid_search.best_params_)_x000a_```"/>
    <d v="2026-02-24T13:02:53"/>
    <x v="1"/>
    <n v="0"/>
    <n v="43"/>
    <n v="70"/>
    <n v="113"/>
    <n v="167"/>
    <n v="247"/>
    <n v="118"/>
    <n v="4"/>
    <n v="5"/>
    <n v="4"/>
    <s v="Clear and specific about desired outputs."/>
    <s v="Could provide more context on the data or model used."/>
    <s v="Correct and complete code for the requested tasks."/>
    <s v="Could include comments for clarity."/>
    <s v="[MODE:code] Tampilkan score terbaik dari grid_search berdasarkan RMSE dan best hyperparameter. Berikan konteks tentang model yang digunakan."/>
    <s v="Add comments to explain each part of the code for better clarity."/>
    <s v="good"/>
    <b v="0"/>
    <s v="gpt-4o-mini"/>
    <s v="{&quot;prompt_score&quot;: 4, &quot;response_score&quot;: 5, &quot;overall_score&quot;: 4, &quot;prompt_strengths&quot;: &quot;Clear and specific about desired outputs.&quot;, &quot;prompt_issues&quot;: &quot;Could provide more context on the data or model used.&quot;, &quot;response_strengths&quot;: &quot;Correct and complete code for the requested tasks.&quot;, &quot;response_issues&quot;: &quot;Could include comments for clarity.&quot;, &quot;prompt_rewrite&quot;: &quot;[MODE:code] Tampilkan score terbaik dari grid_search berdasarkan RMSE dan best hyperparameter. Berikan konteks tentang model yang digunakan.&quot;, &quot;response_improvement_suggestions&quot;: &quot;Add comments to explain each part of the code for better clarity.&quot;, &quot;verdict&quot;: &quot;good&quot;, &quot;needs_human_review&quot;: false}"/>
    <s v="ok"/>
    <n v="4"/>
  </r>
  <r>
    <x v="1"/>
    <s v="[MODE:code]_x000a_housing_labels = pd.read_csv('housing_labels.csv')_x000a_housing_labels = housing_labels[&quot;median_house_value&quot;]"/>
    <s v="done"/>
    <s v="import pandas as pd_x000a__x000a_housing_labels = pd.read_csv(&quot;housing_labels.csv&quot;)[&quot;median_house_value&quot;]"/>
    <s v="```python_x000a_import pandas as pd_x000a__x000a_housing_labels = pd.read_csv(&quot;housing_labels.csv&quot;)[&quot;median_house_value&quot;]_x000a_```"/>
    <d v="2026-02-24T12:03:55"/>
    <x v="1"/>
    <n v="0"/>
    <n v="26"/>
    <n v="25"/>
    <n v="51"/>
    <n v="116"/>
    <n v="107"/>
    <n v="815"/>
    <n v="4"/>
    <n v="5"/>
    <n v="4"/>
    <s v="Clear and specific about the task."/>
    <s v="Lacks context on the purpose of the code."/>
    <s v="Correct and complete code implementation."/>
    <s v="Could include comments for clarity."/>
    <s v="[MODE:code] Load the median house values from the housing_labels.csv file."/>
    <s v="Add comments to explain the code."/>
    <s v="good"/>
    <b v="0"/>
    <s v="gpt-4o-mini"/>
    <s v="{&quot;prompt_score&quot;: 4, &quot;response_score&quot;: 5, &quot;overall_score&quot;: 4, &quot;prompt_strengths&quot;: &quot;Clear and specific about the task.&quot;, &quot;prompt_issues&quot;: &quot;Lacks context on the purpose of the code.&quot;, &quot;response_strengths&quot;: &quot;Correct and complete code implementation.&quot;, &quot;response_issues&quot;: &quot;Could include comments for clarity.&quot;, &quot;prompt_rewrite&quot;: &quot;[MODE:code] Load the median house values from the housing_labels.csv file.&quot;, &quot;response_improvement_suggestions&quot;: &quot;Add comments to explain the code.&quot;, &quot;verdict&quot;: &quot;good&quot;, &quot;needs_human_review&quot;: false}"/>
    <s v="ok"/>
    <n v="4"/>
  </r>
  <r>
    <x v="1"/>
    <s v="[MODE:code]_x000a_[ASSESSMENT_ID:1771cf8e-0a65-11f1-b762-3e0936ad7efb]_x000a_[FORCE_GPT:true]_x000a_[AUTO_FALLBACK:true]_x000a_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
    <s v="done"/>
    <s v="import numpy as np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_x000a_# df harus punya kolom: 'final_exam_score' (target regresi) dan 'pass_fail' (target klasifikasi)_x000a_# serta fitur lain sebagai input regresi._x000a_# Jika Anda sudah punya X_train/X_test/y_reg_train/y_reg_test/y_clf_train/y_clf_test, lewati blok ini._x000a__x000a_from sklearn.model_selection import train_test_split_x000a__x000a_TARGET_REG = &quot;final_exam_score&quot;_x000a_TARGET_CLF = &quot;pass_fail&quot;_x000a__x000a_feature_cols = [c for c in df.columns if c not in [TARGET_REG, TARGET_CLF]]_x000a_X = df[feature_cols]_x000a_y_reg = df[TARGET_REG]_x000a_y_clf = df[TARGET_CLF]_x000a__x000a_X_train, X_test, y_reg_train, y_reg_test, y_clf_train, y_clf_test = train_test_split(_x000a_    X, y_reg, y_clf, test_size=0.2, random_state=42, stratify=y_clf_x000a_)_x000a__x000a_# --- 1) Regresi: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hat_reg_train = reg_model.predict(X_train).reshape(-1, 1)_x000a_yhat_reg_test  = reg_model.predict(X_test).reshape(-1, 1)_x000a__x000a_# --- 2) Klasifikasi: LogisticRegression dengan input = prediksi regresi ---_x000a_clf_model = LogisticRegression(max_iter=1000, random_state=42)_x000a_clf_model.fit(yhat_reg_train, y_clf_train)_x000a__x000a_y_pred = clf_model.predict(yhat_reg_test)_x000a_y_proba = clf_model.predict_proba(yhat_reg_test)[:, 1]_x000a__x000a_print(&quot;Prediksi pass_fail (label):&quot;, y_pred[:10])_x000a_print(&quot;Prediksi pass_fail (proba kelas 1):&quot;, y_proba[:10])"/>
    <s v="```python_x000a_import numpy as np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_x000a_# df harus punya kolom: 'final_exam_score' (target regresi) dan 'pass_fail' (target klasifikasi)_x000a_# serta fitur lain sebagai input regresi._x000a_# Jika Anda sudah punya X_train/X_test/y_reg_train/y_reg_test/y_clf_train/y_clf_test, lewati blok ini._x000a__x000a_from sklearn.model_selection import train_test_split_x000a__x000a_TARGET_REG = &quot;final_exam_score&quot;_x000a_TARGET_CLF = &quot;pass_fail&quot;_x000a__x000a_feature_cols = [c for c in df.columns if c not in [TARGET_REG, TARGET_CLF]]_x000a_X = df[feature_cols]_x000a_y_reg = df[TARGET_REG]_x000a_y_clf = df[TARGET_CLF]_x000a__x000a_X_train, X_test, y_reg_train, y_reg_test, y_clf_train, y_clf_test = train_test_split(_x000a_    X, y_reg, y_clf, test_size=0.2, random_state=42, stratify=y_clf_x000a_)_x000a__x000a_# --- 1) Regresi: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hat_reg_train = reg_model.predict(X_train).reshape(-1, 1)_x000a_yhat_reg_test  = reg_model.predict(X_test).reshape(-1, 1)_x000a__x000a_# --- 2) Klasifikasi: LogisticRegression dengan input = prediksi regresi ---_x000a_clf_model = LogisticRegression(max_iter=1000, random_state=42)_x000a_clf_model.fit(yhat_reg_train, y_clf_train)_x000a__x000a_y_pred = clf_model.predict(yhat_reg_test)_x000a_y_proba = clf_model.predict_proba(yhat_reg_test)[:, 1]_x000a__x000a_print(&quot;Prediksi pass_fail (label):&quot;, y_pred[:10])_x000a_print(&quot;Prediksi pass_fail (proba kelas 1):&quot;, y_proba[:10])_x000a_```"/>
    <d v="2026-04-14T11:07:18"/>
    <x v="3"/>
    <n v="0"/>
    <n v="140"/>
    <n v="569"/>
    <n v="709"/>
    <n v="487"/>
    <n v="2164"/>
    <n v="2376"/>
    <n v="4"/>
    <n v="5"/>
    <n v="4"/>
    <s v="Clear instructions and context for model creation."/>
    <s v="Could specify the dataset structure more clearly."/>
    <s v="Correct implementation of the classification model with clear steps."/>
    <s v="Could include comments on the output interpretation."/>
    <s v="Buat model klasifikasi menggunakan LogisticRegression untuk memprediksi pass_fail, dengan fitur masukan dari hasil prediksi final_exam_score yang diperoleh dari regresi. Pastikan dataset memiliki kolom 'final_exam_score' dan 'pass_fail'."/>
    <s v="Add comments explaining the output predictions and their significance."/>
    <s v="good"/>
    <b v="0"/>
    <s v="gpt-4o-mini"/>
    <s v="{&quot;prompt_score&quot;: 4, &quot;response_score&quot;: 5, &quot;overall_score&quot;: 4, &quot;prompt_strengths&quot;: &quot;Clear instructions and context for model creation.&quot;, &quot;prompt_issues&quot;: &quot;Could specify the dataset structure more clearly.&quot;, &quot;response_strengths&quot;: &quot;Correct implementation of the classification model with clear steps.&quot;, &quot;response_issues&quot;: &quot;Could include comments on the output interpretation.&quot;, &quot;prompt_rewrite&quot;: &quot;Buat model klasifikasi menggunakan LogisticRegression untuk memprediksi pass_fail, dengan fitur masukan dari hasil prediksi final_exam_score yang diperoleh dari regresi. Pastikan dataset memiliki kolom 'final_exam_score' dan 'pass_fail'.&quot;, &quot;response_improvement_suggestions&quot;: &quot;Add comments explaining the output predictions and their significance.&quot;, &quot;verdict&quot;: &quot;good&quot;, &quot;needs_human_review&quot;: false}"/>
    <s v="ok"/>
    <n v="4"/>
  </r>
  <r>
    <x v="1"/>
    <s v="[MODE:code]_x000a_[ASSESSMENT_ID:1771cf8e-0a65-11f1-b762-3e0936ad7efb]_x000a_[FORCE_GPT:true]_x000a_[AUTO_FALLBACK:true]_x000a_Contoh bonus berikut memakai hasil regresi yang sama, tetapi target klasifikasinya diganti menjadi grade_category untuk klasifikasi multikelas._x000a_y_bonus = ..._x000a__x000a__, _, _, _, y_train_bonus, y_test_bonus = train_test_split(_x000a_    X, y_reg, y_bonus, test_size=0.2, random_state=SEED, stratify=y_bonus_x000a_)"/>
    <s v="done"/>
    <s v="y_bonus = df[&quot;grade_category&quot;]"/>
    <s v="```python_x000a_y_bonus = df[&quot;grade_category&quot;]_x000a_```"/>
    <d v="2026-04-14T11:31:33"/>
    <x v="3"/>
    <n v="0"/>
    <n v="133"/>
    <n v="12"/>
    <n v="145"/>
    <n v="397"/>
    <n v="44"/>
    <n v="2535"/>
    <n v="3"/>
    <n v="4"/>
    <n v="3"/>
    <s v="The prompt specifies a clear task related to regression and classification."/>
    <s v="Lacks clarity on the expected output format and context for the classification task."/>
    <s v="The response is relevant and correctly identifies the target variable."/>
    <s v="Incomplete as it does not provide further context or explanation."/>
    <s v="Provide a complete example of how to implement the classification using grade_category in a regression context."/>
    <s v="Include additional context or steps for implementing the classification task."/>
    <s v="fair"/>
    <b v="0"/>
    <s v="gpt-4o-mini"/>
    <s v="{&quot;prompt_score&quot;: 3, &quot;response_score&quot;: 4, &quot;overall_score&quot;: 3, &quot;prompt_strengths&quot;: &quot;The prompt specifies a clear task related to regression and classification.&quot;, &quot;prompt_issues&quot;: &quot;Lacks clarity on the expected output format and context for the classification task.&quot;, &quot;response_strengths&quot;: &quot;The response is relevant and correctly identifies the target variable.&quot;, &quot;response_issues&quot;: &quot;Incomplete as it does not provide further context or explanation.&quot;, &quot;prompt_rewrite&quot;: &quot;Provide a complete example of how to implement the classification using grade_category in a regression context.&quot;, &quot;response_improvement_suggestions&quot;: &quot;Include additional context or steps for implementing the classification task.&quot;, &quot;verdict&quot;: &quot;fair&quot;, &quot;needs_human_review&quot;: false}"/>
    <s v="ok"/>
    <n v="3"/>
  </r>
  <r>
    <x v="1"/>
    <s v="[MODE:code]_x000a_untuk selanjutnya bagaimana caranya jika saya ingin melatih grid_search ter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python_x000a_#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_x000a_```"/>
    <d v="2026-02-24T13:00:42"/>
    <x v="1"/>
    <n v="0"/>
    <n v="32"/>
    <n v="143"/>
    <n v="175"/>
    <n v="115"/>
    <n v="494"/>
    <n v="3291"/>
    <n v="4"/>
    <n v="5"/>
    <n v="4"/>
    <s v="Clear request for guidance on training with a subset of data."/>
    <s v="Could provide more context about the dataset or model."/>
    <s v="Directly addresses the prompt with relevant code and explanations."/>
    <s v="Could include comments on potential pitfalls or assumptions."/>
    <s v="Bagaimana cara melatih grid_search pada 6000 data pertama dari dataset yang telah dibagi?"/>
    <s v="Add comments on data assumptions and potential issues with subset training."/>
    <s v="good"/>
    <b v="0"/>
    <s v="gpt-4o-mini"/>
    <s v="{&quot;prompt_score&quot;: 4, &quot;response_score&quot;: 5, &quot;overall_score&quot;: 4, &quot;prompt_strengths&quot;: &quot;Clear request for guidance on training with a subset of data.&quot;, &quot;prompt_issues&quot;: &quot;Could provide more context about the dataset or model.&quot;, &quot;response_strengths&quot;: &quot;Directly addresses the prompt with relevant code and explanations.&quot;, &quot;response_issues&quot;: &quot;Could include comments on potential pitfalls or assumptions.&quot;, &quot;prompt_rewrite&quot;: &quot;Bagaimana cara melatih grid_search pada 6000 data pertama dari dataset yang telah dibagi?&quot;, &quot;response_improvement_suggestions&quot;: &quot;Add comments on data assumptions and potential issues with subset training.&quot;, &quot;verdict&quot;: &quot;good&quot;, &quot;needs_human_review&quot;: false}"/>
    <s v="ok"/>
    <n v="4"/>
  </r>
  <r>
    <x v="1"/>
    <s v="[MODE:code]_x000a_[ASSESSMENT_ID:1771cf8e-0a65-11f1-b762-3e0936ad7efb]_x000a_[FORCE_GPT:true]_x000a_[AUTO_FALLBACK:true]_x000a_# Lengkapi bagian yang diberikan komentar_x000a_SEED = 42_x000a_y_bonus = df[&quot;grade_category&quot;]_x000a__x000a_X_train, X_test, y_reg_train, y_reg_test, y_train_bonus, y_test_bonus = train_test_split(_x000a_    X, y_reg, y_bonus, test_size=0.2, random_state=SEED, stratify=y_bonus_x000a_)_x000a__x000a_X_train_bonus = y_pred_reg_train_x000a_X_test_bonus = y_pred_reg_test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_x000a_ini codingan nya tetaip y_pred_reg_train dan lain lain not difined"/>
    <s v="done"/>
    <s v="from sklearn.model_selection import train_test_split_x000a_from sklearn.preprocessing import LabelEncoder_x000a_from sklearn.linear_model import LogisticRegression_x000a_from sklearn.metrics import accuracy_score_x000a__x000a_SEED = 42_x000a__x000a_# Encode target multikelas agar LogisticRegression bisa dilatih_x000a_le = LabelEncoder()_x000a_y_bonus = le.fit_transform(df[&quot;grade_category&quot;].astype(str))_x000a__x000a_# Split (X_train/X_test harus sama dengan yang dipakai untuk prediksi regresi)_x000a_X_train, X_test, y_reg_train, y_reg_test, y_train_bonus, y_test_bonus = train_test_split(_x000a_    X, y_reg, y_bonus, test_size=0.2, random_state=SEED, stratify=y_bonus_x000a_)_x000a__x000a_# Buat dulu prediksi regresi sebagai fitur input klasifikasi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SEED = 42_x000a__x000a_# Encode target multikelas agar LogisticRegression bisa dilatih_x000a_le = LabelEncoder()_x000a_y_bonus = le.fit_transform(df[&quot;grade_category&quot;].astype(str))_x000a__x000a_# Split (X_train/X_test harus sama dengan yang dipakai untuk prediksi regresi)_x000a_X_train, X_test, y_reg_train, y_reg_test, y_train_bonus, y_test_bonus = train_test_split(_x000a_    X, y_reg, y_bonus, test_size=0.2, random_state=SEED, stratify=y_bonus_x000a_)_x000a__x000a_# Buat dulu prediksi regresi sebagai fitur input klasifikasi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1:44:45"/>
    <x v="3"/>
    <n v="0"/>
    <n v="236"/>
    <n v="295"/>
    <n v="531"/>
    <n v="775"/>
    <n v="1151"/>
    <n v="3504"/>
    <n v="3"/>
    <n v="4"/>
    <n v="4"/>
    <s v="The prompt provides a clear coding context and specifies the task."/>
    <s v="Lacks clarity on the specific requirements for the missing code."/>
    <s v="The response is relevant, correct, and provides a complete solution."/>
    <s v="Could improve clarity by adding comments to explain each step."/>
    <s v="Lengkapi bagian yang diberikan komentar dengan kode yang tepat untuk mendefinisikan y_pred_reg_train dan y_pred_reg_test."/>
    <s v="Add comments to explain the purpose of each code block for better clarity."/>
    <s v="good"/>
    <b v="0"/>
    <s v="gpt-4o-mini"/>
    <s v="{&quot;prompt_score&quot;: 3, &quot;response_score&quot;: 4, &quot;overall_score&quot;: 4, &quot;prompt_strengths&quot;: &quot;The prompt provides a clear coding context and specifies the task.&quot;, &quot;prompt_issues&quot;: &quot;Lacks clarity on the specific requirements for the missing code.&quot;, &quot;response_strengths&quot;: &quot;The response is relevant, correct, and provides a complete solution.&quot;, &quot;response_issues&quot;: &quot;Could improve clarity by adding comments to explain each step.&quot;, &quot;prompt_rewrite&quot;: &quot;Lengkapi bagian yang diberikan komentar dengan kode yang tepat untuk mendefinisikan y_pred_reg_train dan y_pred_reg_test.&quot;, &quot;response_improvement_suggestions&quot;: &quot;Add comments to explain the purpose of each code block for better clarity.&quot;, &quot;verdict&quot;: &quot;good&quot;, &quot;needs_human_review&quot;: false}"/>
    <s v="ok"/>
    <n v="4"/>
  </r>
  <r>
    <x v="1"/>
    <s v="[MODE:code]_x000a_apa tujuan melatih sebuah model, lalu bagaimana cara menentukan apa yang tepat untuk model tersebut ?"/>
    <s v="done"/>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 Target kontinu → regresi (Linear Regression, Ridge/Lasso, dll)_x000a_   - Target kelas → klasifikasi (Logistic Regression, SVM, Tree, dll)_x000a__x000a_2) Tentukan metrik evaluasi yang sesuai_x000a_   - Regresi: MSE/MAE/RMSE, R²_x000a_   - Klasifikasi: Accuracy, Precision/Recall, F1, AUC_x000a__x000a_3) Siapkan pembagian data yang benar_x000a_   - Train/validation/test atau cross-validation_x000a_   - Pastikan tidak ada data leakage_x000a__x000a_4) Pilih model baseline yang sederhana dulu_x000a_   - Mulai dari model sederhana (mis. linear/logistic) untuk patokan_x000a_   - Lalu bandingkan dengan model yang lebih kompleks bila perlu_x000a__x000a_5) Cek bias–variance (underfit vs overfit)_x000a_   - Underfit: tambah fitur, model lebih kompleks, kurangi regularisasi_x000a_   - Overfit: tambah data, tambah regularisasi, sederhanakan model, early stopping_x000a__x000a_6) Tuning hyperparameter dengan validasi_x000a_   - Contoh: λ pada Ridge/Lasso, learning rate, jumlah epoch, depth tree_x000a_   - Pilih yang memberi performa terbaik di validation/cross-validation_x000a__x000a_7) Pertimbangkan kebutuhan praktis_x000a_   - Interpretabilitas (linear/logistic lebih mudah dijelaskan)_x000a_   - Kecepatan training/inferensi_x000a_   - Ukuran data (data besar → metode iteratif seperti gradient descent lebih cocok)_x000a__x000a_Intinya: “tepat” ditentukan oleh kombinasi **jenis masalah, metrik, hasil validasi, dan kebutuhan praktis** (akurasi vs interpretabilitas vs komputasi)."/>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 Target kontinu → regresi (Linear Regression, Ridge/Lasso, dll)_x000a_   - Target kelas → klasifikasi (Logistic Regression, SVM, Tree, dll)_x000a__x000a_2) Tentukan metrik evaluasi yang sesuai_x000a_   - Regresi: MSE/MAE/RMSE, R²_x000a_   - Klasifikasi: Accuracy, Precision/Recall, F1, AUC_x000a__x000a_3) Siapkan pembagian data yang benar_x000a_   - Train/validation/test atau cross-validation_x000a_   - Pastikan tidak ada data leakage_x000a__x000a_4) Pilih model baseline yang sederhana dulu_x000a_   - Mulai dari model sederhana (mis. linear/logistic) untuk patokan_x000a_   - Lalu bandingkan dengan model yang lebih kompleks bila perlu_x000a__x000a_5) Cek bias–variance (underfit vs overfit)_x000a_   - Underfit: tambah fitur, model lebih kompleks, kurangi regularisasi_x000a_   - Overfit: tambah data, tambah regularisasi, sederhanakan model, early stopping_x000a__x000a_6) Tuning hyperparameter dengan validasi_x000a_   - Contoh: λ pada Ridge/Lasso, learning rate, jumlah epoch, depth tree_x000a_   - Pilih yang memberi performa terbaik di validation/cross-validation_x000a__x000a_7) Pertimbangkan kebutuhan praktis_x000a_   - Interpretabilitas (linear/logistic lebih mudah dijelaskan)_x000a_   - Kecepatan training/inferensi_x000a_   - Ukuran data (data besar → metode iteratif seperti gradient descent lebih cocok)_x000a__x000a_Intinya: “tepat” ditentukan oleh kombinasi **jenis masalah, metrik, hasil validasi, dan kebutuhan praktis** (akurasi vs interpretabilitas vs komputasi)."/>
    <d v="2026-04-14T10:13:44"/>
    <x v="3"/>
    <n v="0"/>
    <n v="31"/>
    <n v="529"/>
    <n v="560"/>
    <n v="113"/>
    <n v="1808"/>
    <n v="3588"/>
    <n v="4"/>
    <n v="5"/>
    <n v="5"/>
    <s v="Clear and specific about model training goals."/>
    <s v="Could provide more context on the type of model."/>
    <s v="Thorough, relevant, and well-structured explanation."/>
    <s v="None significant; very comprehensive."/>
    <s v="[MODE:code] Apa tujuan melatih model machine learning dan bagaimana cara menentukan model yang tepat untuk masalah tertentu?"/>
    <s v="Consider adding examples of models for each type of problem."/>
    <s v="excellent"/>
    <b v="0"/>
    <s v="gpt-4o-mini"/>
    <s v="{&quot;prompt_score&quot;: 4, &quot;response_score&quot;: 5, &quot;overall_score&quot;: 5, &quot;prompt_strengths&quot;: &quot;Clear and specific about model training goals.&quot;, &quot;prompt_issues&quot;: &quot;Could provide more context on the type of model.&quot;, &quot;response_strengths&quot;: &quot;Thorough, relevant, and well-structured explanation.&quot;, &quot;response_issues&quot;: &quot;None significant; very comprehensive.&quot;, &quot;prompt_rewrite&quot;: &quot;[MODE:code] Apa tujuan melatih model machine learning dan bagaimana cara menentukan model yang tepat untuk masalah tertentu?&quot;, &quot;response_improvement_suggestions&quot;: &quot;Consider adding examples of models for each type of problem.&quot;, &quot;verdict&quot;: &quot;excellent&quot;, &quot;needs_human_review&quot;: false}"/>
    <s v="ok"/>
    <n v="5"/>
  </r>
  <r>
    <x v="1"/>
    <s v="[MODE:code]_x000a_NameError                                 Traceback (most recent call last)_x000a_Cell In[22], line 6_x000a_      1 # Lengkapi bagian yang diberikan komentar_x000a_      3 y_bonus = df[&quot;grade_category&quot;]_x000a_      5 X_train, X_test, y_reg_train, y_reg_test, y_train_bonus, y_test_bonus = train_test_split(_x000a_----&gt; 6     X, y_reg, y_bonus, test_size=0.2, random_state=SEED, stratify=y_bonus_x000a_      7 )_x000a_      9 X_train_bonus = y_pred_reg_train_x000a_     10 X_test_bonus = y_pred_reg_test_x000a__x000a_NameError: name 'SEED' is not defined"/>
    <s v="done"/>
    <s v="SEED = 42"/>
    <s v="```python_x000a_SEED = 42_x000a_```"/>
    <d v="2026-04-14T11:36:48"/>
    <x v="3"/>
    <n v="0"/>
    <n v="152"/>
    <n v="10"/>
    <n v="162"/>
    <n v="505"/>
    <n v="23"/>
    <n v="4434"/>
    <n v="3"/>
    <n v="4"/>
    <n v="3"/>
    <s v="Identifies a specific error in code."/>
    <s v="Lacks clarity on what the user should do next."/>
    <s v="Provides a clear and relevant solution."/>
    <s v="Could include more context or explanation."/>
    <s v="Identify the error in the code and suggest how to define 'SEED' properly."/>
    <s v="Explain why 'SEED' is set to 42 and its significance."/>
    <s v="fair"/>
    <b v="0"/>
    <s v="gpt-4o-mini"/>
    <s v="{&quot;prompt_score&quot;: 3, &quot;response_score&quot;: 4, &quot;overall_score&quot;: 3, &quot;prompt_strengths&quot;: &quot;Identifies a specific error in code.&quot;, &quot;prompt_issues&quot;: &quot;Lacks clarity on what the user should do next.&quot;, &quot;response_strengths&quot;: &quot;Provides a clear and relevant solution.&quot;, &quot;response_issues&quot;: &quot;Could include more context or explanation.&quot;, &quot;prompt_rewrite&quot;: &quot;Identify the error in the code and suggest how to define 'SEED' properly.&quot;, &quot;response_improvement_suggestions&quot;: &quot;Explain why 'SEED' is set to 42 and its significance.&quot;, &quot;verdict&quot;: &quot;fair&quot;, &quot;needs_human_review&quot;: false}"/>
    <s v="ok"/>
    <n v="3"/>
  </r>
  <r>
    <x v="1"/>
    <s v="[MODE:code]_x000a_apakah df.info() menunjukan dataset memiliki berapa baris dan berapa kolom, bagaimana cara menampilkan dataset memiliki berapa baris dan kolom?"/>
    <s v="done"/>
    <s v="#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
    <s v="```python_x000a_#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_x000a_```"/>
    <d v="2026-04-14T10:41:19"/>
    <x v="3"/>
    <n v="0"/>
    <n v="41"/>
    <n v="125"/>
    <n v="166"/>
    <n v="155"/>
    <n v="443"/>
    <n v="4665"/>
    <n v="4"/>
    <n v="5"/>
    <n v="5"/>
    <s v="Clear and specific question about dataset dimensions."/>
    <s v="Could provide more context on the dataset type."/>
    <s v="Correct, complete, and clear explanation with code examples."/>
    <s v="None significant."/>
    <s v="Apa df.info() menunjukkan jumlah baris dan kolom dalam dataset? Bagaimana cara menampilkan jumlah baris dan kolom tersebut?"/>
    <s v="None needed; response is already comprehensive."/>
    <s v="excellent"/>
    <b v="0"/>
    <s v="gpt-4o-mini"/>
    <s v="{&quot;prompt_score&quot;: 4, &quot;response_score&quot;: 5, &quot;overall_score&quot;: 5, &quot;prompt_strengths&quot;: &quot;Clear and specific question about dataset dimensions.&quot;, &quot;prompt_issues&quot;: &quot;Could provide more context on the dataset type.&quot;, &quot;response_strengths&quot;: &quot;Correct, complete, and clear explanation with code examples.&quot;, &quot;response_issues&quot;: &quot;None significant.&quot;, &quot;prompt_rewrite&quot;: &quot;Apa df.info() menunjukkan jumlah baris dan kolom dalam dataset? Bagaimana cara menampilkan jumlah baris dan kolom tersebut?&quot;, &quot;response_improvement_suggestions&quot;: &quot;None needed; response is already comprehensive.&quot;, &quot;verdict&quot;: &quot;excellent&quot;, &quot;needs_human_review&quot;: false}"/>
    <s v="ok"/>
    <n v="5"/>
  </r>
  <r>
    <x v="2"/>
    <s v="[MODE:summary_code_explanation]_x000a_from sklearn.datasets import fetch_openml mnist = fetch_openml('mnist_784', as_frame=False) X, y = mnist.data, mnist.target Mari kita bagi `X` dan `y` menjadi 60000 gambar untuk train set dan 10000 untuk test set. X_train, X_test, y_train, y_test ="/>
    <s v="done"/>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d v="2026-03-18T16:05:17"/>
    <x v="4"/>
    <n v="0"/>
    <n v="78"/>
    <n v="127"/>
    <n v="205"/>
    <n v="280"/>
    <n v="351"/>
    <n v="162"/>
    <n v="4"/>
    <n v="5"/>
    <n v="4"/>
    <s v="Clear and specific about the task."/>
    <s v="Could provide more context on the expected output format."/>
    <s v="Accurate, complete, and clearly explains the slicing."/>
    <s v="None."/>
    <s v="Explain how to split the MNIST dataset into training and testing sets with clear output expectations."/>
    <s v="None needed; response is already strong."/>
    <s v="good"/>
    <b v="0"/>
    <s v="gpt-4o-mini"/>
    <s v="{&quot;prompt_score&quot;: 4, &quot;response_score&quot;: 5, &quot;overall_score&quot;: 4, &quot;prompt_strengths&quot;: &quot;Clear and specific about the task.&quot;, &quot;prompt_issues&quot;: &quot;Could provide more context on the expected output format.&quot;, &quot;response_strengths&quot;: &quot;Accurate, complete, and clearly explains the slicing.&quot;, &quot;response_issues&quot;: &quot;None.&quot;, &quot;prompt_rewrite&quot;: &quot;Explain how to split the MNIST dataset into training and testing sets with clear output expectations.&quot;, &quot;response_improvement_suggestions&quot;: &quot;None needed; response is already strong.&quot;, &quot;verdict&quot;: &quot;good&quot;, &quot;needs_human_review&quot;: false}"/>
    <s v="ok"/>
    <n v="4"/>
  </r>
  <r>
    <x v="2"/>
    <s v="[MODE:summary_code_explanation]_x000a_Kemudian, selanjutnya tampilkan Distribusi Fitur Berdasarkan Class. gunakan libari `sns` dengan atribut `boxplot`"/>
    <s v="done"/>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    sns.boxplot(data=dataframe, x=&quot;class&quot;, y=col, ax=ax)_x000a_    ax.set_title(col)_x000a_    ax.set_xlabel(&quot;class&quot;)_x000a_    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    sns.boxplot(data=dataframe, x=&quot;class&quot;, y=col, ax=ax)_x000a_    ax.set_title(col)_x000a_    ax.set_xlabel(&quot;class&quot;)_x000a_    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d v="2026-03-18T14:58:25"/>
    <x v="4"/>
    <n v="0"/>
    <n v="42"/>
    <n v="262"/>
    <n v="304"/>
    <n v="145"/>
    <n v="871"/>
    <n v="454"/>
    <n v="4"/>
    <n v="5"/>
    <n v="4"/>
    <s v="Clear and specific about the task."/>
    <s v="Could provide more context on the dataset."/>
    <s v="Correct and complete explanation with relevant code."/>
    <s v="Could improve clarity in some explanations."/>
    <s v="Tampilkan distribusi fitur berdasarkan class menggunakan `sns.boxplot` pada dataset yang diberikan."/>
    <s v="Add more comments in the code for clarity."/>
    <s v="good"/>
    <b v="0"/>
    <s v="gpt-4o-mini"/>
    <s v="{&quot;prompt_score&quot;: 4, &quot;response_score&quot;: 5, &quot;overall_score&quot;: 4, &quot;prompt_strengths&quot;: &quot;Clear and specific about the task.&quot;, &quot;prompt_issues&quot;: &quot;Could provide more context on the dataset.&quot;, &quot;response_strengths&quot;: &quot;Correct and complete explanation with relevant code.&quot;, &quot;response_issues&quot;: &quot;Could improve clarity in some explanations.&quot;, &quot;prompt_rewrite&quot;: &quot;Tampilkan distribusi fitur berdasarkan class menggunakan `sns.boxplot` pada dataset yang diberikan.&quot;, &quot;response_improvement_suggestions&quot;: &quot;Add more comments in the code for clarity.&quot;, &quot;verdict&quot;: &quot;good&quot;, &quot;needs_human_review&quot;: false}"/>
    <s v="ok"/>
    <n v="4"/>
  </r>
  <r>
    <x v="2"/>
    <s v="[MODE:summary]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kode ini menampilkan berpandingan pass vs fail kan?"/>
    <s v="done"/>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d v="2026-04-15T14:19:16"/>
    <x v="3"/>
    <n v="0"/>
    <n v="204"/>
    <n v="99"/>
    <n v="303"/>
    <n v="665"/>
    <n v="357"/>
    <n v="517"/>
    <n v="3"/>
    <n v="4"/>
    <n v="3"/>
    <s v="Includes specific code context and intended output."/>
    <s v="Lacks clarity in phrasing and structure."/>
    <s v="Accurate explanation of the code's functionality."/>
    <s v="Could provide more detail on the implications of the visualizations."/>
    <s v="Can you explain how this code compares the distributions of final_exam_score and previous_gpa between Pass and Fail groups using boxplots?"/>
    <s v="Include examples of what the visualizations reveal about the data."/>
    <s v="good"/>
    <b v="0"/>
    <s v="gpt-4o-mini"/>
    <s v="{&quot;prompt_score&quot;: 3, &quot;response_score&quot;: 4, &quot;overall_score&quot;: 3, &quot;prompt_strengths&quot;: &quot;Includes specific code context and intended output.&quot;, &quot;prompt_issues&quot;: &quot;Lacks clarity in phrasing and structure.&quot;, &quot;response_strengths&quot;: &quot;Accurate explanation of the code's functionality.&quot;, &quot;response_issues&quot;: &quot;Could provide more detail on the implications of the visualizations.&quot;, &quot;prompt_rewrite&quot;: &quot;Can you explain how this code compares the distributions of final_exam_score and previous_gpa between Pass and Fail groups using boxplots?&quot;, &quot;response_improvement_suggestions&quot;: &quot;Include examples of what the visualizations reveal about the data.&quot;, &quot;verdict&quot;: &quot;good&quot;, &quot;needs_human_review&quot;: false}"/>
    <s v="ok"/>
    <n v="4"/>
  </r>
  <r>
    <x v="2"/>
    <s v="[MODE:code]_x000a_[ASSESSMENT_ID:1771cf8e-0a65-11f1-b762-3e0936ad7efb]_x000a_[FORCE_GPT:true]_x000a_[AUTO_FALLBACK:true]_x000a_pipe_lr = Pipeline(steps=[_x000a_    (&quot;preprocess&quot;, preprocess),_x000a_    (&quot;model&quot;, LinearRegression())_x000a_])_x000a_pipe_ridge = Pipeline(steps=[_x000a_    (&quot;preprocess&quot;, preprocess),_x000a_    (&quot;model&quot;, Ridge(alpha=1.0, random_state=42))_x000a_])_x000a_Evaluasi masing-masing model dengan:_x000a_- RMSE_x000a_- MAE_x000a_- R2_x000a__x000a_Tentukan model regresi terbaik dan simpan prediksi pada data train serta test untuk dipakai di tahap klasifikasi."/>
    <s v="done"/>
    <s v="import numpy as np_x000a_import pandas as pd_x000a_from sklearn.metrics import mean_squared_error, mean_absolute_error, r2_score_x000a__x000a_# Asumsi sudah ada:_x000a_# pipe_lr, pipe_ridge_x000a_# X_train, X_test, y_train, y_test  (y_* adalah target regresi final_exam_score)_x000a__x000a_def regression_metrics(y_true, y_pred):_x000a_    rmse = np.sqrt(mean_squared_error(y_true, y_pred))_x000a_    mae = mean_absolute_error(y_true, y_pred)_x000a_    r2 = r2_score(y_true, y_pred)_x000a_    return rmse, mae, r2_x000a__x000a_# Fit model_x000a_pipe_lr.fit(X_train, y_train)_x000a_pipe_ridge.fit(X_train, y_train)_x000a__x000a_# Prediksi_x000a_lr_pred_train = pipe_lr.predict(X_train)_x000a_lr_pred_test  = pipe_lr.predict(X_test)_x000a__x000a_ridge_pred_train = pipe_ridge.predict(X_train)_x000a_ridge_pred_test  = pipe_ridge.predict(X_test)_x000a__x000a_# Evaluasi_x000a_lr_rmse_tr, lr_mae_tr, lr_r2_tr = regression_metrics(y_train, lr_pred_train)_x000a_lr_rmse_te, lr_mae_te, lr_r2_te = regression_metrics(y_test, lr_pred_test)_x000a__x000a_rg_rmse_tr, rg_mae_tr, rg_r2_tr = regression_metrics(y_train, ridge_pred_train)_x000a_rg_rmse_te, rg_mae_te, rg_r2_te = regression_metrics(y_test, ridge_pred_test)_x000a__x000a_results = pd.DataFrame([_x000a_    [&quot;LinearRegression&quot;, lr_rmse_tr, lr_mae_tr, lr_r2_tr, lr_rmse_te, lr_mae_te, lr_r2_te],_x000a_    [&quot;Ridge(alpha=1.0)&quot;, rg_rmse_tr, rg_mae_tr, rg_r2_tr, rg_rmse_te, rg_mae_te, rg_r2_te],_x000a_], columns=[&quot;model&quot;, &quot;rmse_train&quot;, &quot;mae_train&quot;, &quot;r2_train&quot;, &quot;rmse_test&quot;, &quot;mae_test&quot;, &quot;r2_test&quot;])_x000a__x000a_print(results.to_string(index=False))_x000a__x000a_# Tentukan model terbaik: RMSE test terendah (tie-break: MAE test terendah, lalu R2 test tertinggi)_x000a_best_row = results.sort_values(_x000a_    by=[&quot;rmse_test&quot;, &quot;mae_test&quot;, &quot;r2_test&quot;],_x000a_    ascending=[True, True, False]_x000a_).iloc[0]_x000a__x000a_best_model_name = best_row[&quot;model&quot;]_x000a_print(&quot;\nBest model:&quot;, best_model_name)_x000a__x000a_# Simpan prediksi dari model terbaik untuk tahap klasifikasi_x000a_X_train_cls = X_train.copy()_x000a_X_test_cls  = X_test.copy()_x000a__x000a_if best_model_name == &quot;LinearRegression&quot;:_x000a_    best_pipe = pipe_lr_x000a_    best_pred_train = lr_pred_train_x000a_    best_pred_test = lr_pred_test_x000a_else:_x000a_    best_pipe = pipe_ridge_x000a_    best_pred_train = ridge_pred_train_x000a_    best_pred_test = ridge_pred_test_x000a__x000a_X_train_cls[&quot;pred_final_exam_score&quot;] = best_pred_train_x000a_X_test_cls[&quot;pred_final_exam_score&quot;] = best_pred_test_x000a__x000a_# (Opsional) residual sebagai fitur tambahan_x000a_X_train_cls[&quot;residual_final_exam_score&quot;] = (y_train.values - best_pred_train)_x000a_X_test_cls[&quot;residual_final_exam_score&quot;] = (y_test.values - best_pred_test)_x000a__x000a_print(&quot;\nX_train_cls shape:&quot;, X_train_cls.shape)_x000a_print(&quot;X_test_cls  shape:&quot;, X_test_cls.shape)_x000a__x000a_# Output variabel yang bisa dipakai lanjut:_x000a_# - best_pipe_x000a_# - X_train_cls, X_test_cls_x000a_# - best_pred_train, best_pred_test"/>
    <s v="```python_x000a_import numpy as np_x000a_import pandas as pd_x000a_from sklearn.metrics import mean_squared_error, mean_absolute_error, r2_score_x000a__x000a_# Asumsi sudah ada:_x000a_# pipe_lr, pipe_ridge_x000a_# X_train, X_test, y_train, y_test  (y_* adalah target regresi final_exam_score)_x000a__x000a_def regression_metrics(y_true, y_pred):_x000a_    rmse = np.sqrt(mean_squared_error(y_true, y_pred))_x000a_    mae = mean_absolute_error(y_true, y_pred)_x000a_    r2 = r2_score(y_true, y_pred)_x000a_    return rmse, mae, r2_x000a__x000a_# Fit model_x000a_pipe_lr.fit(X_train, y_train)_x000a_pipe_ridge.fit(X_train, y_train)_x000a__x000a_# Prediksi_x000a_lr_pred_train = pipe_lr.predict(X_train)_x000a_lr_pred_test  = pipe_lr.predict(X_test)_x000a__x000a_ridge_pred_train = pipe_ridge.predict(X_train)_x000a_ridge_pred_test  = pipe_ridge.predict(X_test)_x000a__x000a_# Evaluasi_x000a_lr_rmse_tr, lr_mae_tr, lr_r2_tr = regression_metrics(y_train, lr_pred_train)_x000a_lr_rmse_te, lr_mae_te, lr_r2_te = regression_metrics(y_test, lr_pred_test)_x000a__x000a_rg_rmse_tr, rg_mae_tr, rg_r2_tr = regression_metrics(y_train, ridge_pred_train)_x000a_rg_rmse_te, rg_mae_te, rg_r2_te = regression_metrics(y_test, ridge_pred_test)_x000a__x000a_results = pd.DataFrame([_x000a_    [&quot;LinearRegression&quot;, lr_rmse_tr, lr_mae_tr, lr_r2_tr, lr_rmse_te, lr_mae_te, lr_r2_te],_x000a_    [&quot;Ridge(alpha=1.0)&quot;, rg_rmse_tr, rg_mae_tr, rg_r2_tr, rg_rmse_te, rg_mae_te, rg_r2_te],_x000a_], columns=[&quot;model&quot;, &quot;rmse_train&quot;, &quot;mae_train&quot;, &quot;r2_train&quot;, &quot;rmse_test&quot;, &quot;mae_test&quot;, &quot;r2_test&quot;])_x000a__x000a_print(results.to_string(index=False))_x000a__x000a_# Tentukan model terbaik: RMSE test terendah (tie-break: MAE test terendah, lalu R2 test tertinggi)_x000a_best_row = results.sort_values(_x000a_    by=[&quot;rmse_test&quot;, &quot;mae_test&quot;, &quot;r2_test&quot;],_x000a_    ascending=[True, True, False]_x000a_).iloc[0]_x000a__x000a_best_model_name = best_row[&quot;model&quot;]_x000a_print(&quot;\nBest model:&quot;, best_model_name)_x000a__x000a_# Simpan prediksi dari model terbaik untuk tahap klasifikasi_x000a_X_train_cls = X_train.copy()_x000a_X_test_cls  = X_test.copy()_x000a__x000a_if best_model_name == &quot;LinearRegression&quot;:_x000a_    best_pipe = pipe_lr_x000a_    best_pred_train = lr_pred_train_x000a_    best_pred_test = lr_pred_test_x000a_else:_x000a_    best_pipe = pipe_ridge_x000a_    best_pred_train = ridge_pred_train_x000a_    best_pred_test = ridge_pred_test_x000a__x000a_X_train_cls[&quot;pred_final_exam_score&quot;] = best_pred_train_x000a_X_test_cls[&quot;pred_final_exam_score&quot;] = best_pred_test_x000a__x000a_# (Opsional) residual sebagai fitur tambahan_x000a_X_train_cls[&quot;residual_final_exam_score&quot;] = (y_train.values - best_pred_train)_x000a_X_test_cls[&quot;residual_final_exam_score&quot;] = (y_test.values - best_pred_test)_x000a__x000a_print(&quot;\nX_train_cls shape:&quot;, X_train_cls.shape)_x000a_print(&quot;X_test_cls  shape:&quot;, X_test_cls.shape)_x000a__x000a_# Output variabel yang bisa dipakai lanjut:_x000a_# - best_pipe_x000a_# - X_train_cls, X_test_cls_x000a_# - best_pred_train, best_pred_test_x000a_```"/>
    <d v="2026-04-15T15:04:08"/>
    <x v="3"/>
    <n v="0"/>
    <n v="155"/>
    <n v="757"/>
    <n v="912"/>
    <n v="482"/>
    <n v="2578"/>
    <n v="1953"/>
    <n v="4"/>
    <n v="5"/>
    <n v="5"/>
    <s v="Clear and specific about model evaluation metrics and tasks."/>
    <s v="Could provide more context on the dataset or features used."/>
    <s v="Correctly implements the evaluation metrics and model selection process."/>
    <s v="None significant; response is complete and clear."/>
    <s v="Evaluate the performance of the Linear Regression and Ridge Regression models using RMSE, MAE, and R2 metrics. Identify the best regression model and save predictions for both training and testing datasets for classification purposes. Please provide context on the dataset used."/>
    <s v="Consider adding comments to explain each step of the code for better clarity."/>
    <s v="excellent"/>
    <b v="0"/>
    <s v="gpt-4o-mini"/>
    <s v="{&quot;prompt_score&quot;: 4, &quot;response_score&quot;: 5, &quot;overall_score&quot;: 5, &quot;prompt_strengths&quot;: &quot;Clear and specific about model evaluation metrics and tasks.&quot;, &quot;prompt_issues&quot;: &quot;Could provide more context on the dataset or features used.&quot;, &quot;response_strengths&quot;: &quot;Correctly implements the evaluation metrics and model selection process.&quot;, &quot;response_issues&quot;: &quot;None significant; response is complete and clear.&quot;, &quot;prompt_rewrite&quot;: &quot;Evaluate the performance of the Linear Regression and Ridge Regression models using RMSE, MAE, and R2 metrics. Identify the best regression model and save predictions for both training and testing datasets for classification purposes. Please provide context on the dataset used.&quot;, &quot;response_improvement_suggestions&quot;: &quot;Consider adding comments to explain each step of the code for better clarity.&quot;, &quot;verdict&quot;: &quot;excellent&quot;, &quot;needs_human_review&quot;: false}"/>
    <s v="ok"/>
    <n v="5"/>
  </r>
  <r>
    <x v="2"/>
    <s v="[MODE:summary_code_explanation]_x000a_Mari kita hitung _accuracy_ dari classifier knn  yang sudah dibuat ##### Your Code Here ##### baseline_accuracy ="/>
    <s v="done"/>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d v="2026-03-18T16:07:42"/>
    <x v="4"/>
    <n v="0"/>
    <n v="32"/>
    <n v="91"/>
    <n v="123"/>
    <n v="145"/>
    <n v="323"/>
    <n v="2302"/>
    <n v="4"/>
    <n v="5"/>
    <n v="4"/>
    <s v="Clear intent to calculate accuracy."/>
    <s v="Lacks specific context for the classifier and dataset."/>
    <s v="Correct and complete explanation with relevant code."/>
    <s v="Could provide more context on KNN usage."/>
    <s v="Calculate the accuracy of the KNN classifier on the provided test dataset."/>
    <s v="Include a brief explanation of KNN and its significance in classification."/>
    <s v="good"/>
    <b v="0"/>
    <s v="gpt-4o-mini"/>
    <s v="{&quot;prompt_score&quot;: 4, &quot;response_score&quot;: 5, &quot;overall_score&quot;: 4, &quot;prompt_strengths&quot;: &quot;Clear intent to calculate accuracy.&quot;, &quot;prompt_issues&quot;: &quot;Lacks specific context for the classifier and dataset.&quot;, &quot;response_strengths&quot;: &quot;Correct and complete explanation with relevant code.&quot;, &quot;response_issues&quot;: &quot;Could provide more context on KNN usage.&quot;, &quot;prompt_rewrite&quot;: &quot;Calculate the accuracy of the KNN classifier on the provided test dataset.&quot;, &quot;response_improvement_suggestions&quot;: &quot;Include a brief explanation of KNN and its significance in classification.&quot;, &quot;verdict&quot;: &quot;good&quot;, &quot;needs_human_review&quot;: false}"/>
    <s v="ok"/>
    <n v="4"/>
  </r>
  <r>
    <x v="2"/>
    <s v="[MODE:summary]_x000a_Outcome_x000a_0    65.104167_x000a_1    34.895833_x000a_Name: proportion, dtype: float64 apakah hasil pembagian data ini seimbang atau tidak?"/>
    <s v="done"/>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d v="2026-03-11T15:23:42"/>
    <x v="2"/>
    <n v="0"/>
    <n v="45"/>
    <n v="115"/>
    <n v="160"/>
    <n v="138"/>
    <n v="322"/>
    <n v="2359"/>
    <n v="3"/>
    <n v="5"/>
    <n v="4"/>
    <s v="Asks about data balance clearly."/>
    <s v="Lacks context on what the data represents."/>
    <s v="Accurate analysis of data balance with actionable suggestions."/>
    <s v="Could provide more detail on handling imbalance."/>
    <s v="Apakah hasil pembagian data ini seimbang? Data ini menunjukkan proporsi kelas 0 dan kelas 1."/>
    <s v="Include examples of specific techniques for handling class imbalance."/>
    <s v="good"/>
    <b v="0"/>
    <s v="gpt-4o-mini"/>
    <s v="{&quot;prompt_score&quot;: 3, &quot;response_score&quot;: 5, &quot;overall_score&quot;: 4, &quot;prompt_strengths&quot;: &quot;Asks about data balance clearly.&quot;, &quot;prompt_issues&quot;: &quot;Lacks context on what the data represents.&quot;, &quot;response_strengths&quot;: &quot;Accurate analysis of data balance with actionable suggestions.&quot;, &quot;response_issues&quot;: &quot;Could provide more detail on handling imbalance.&quot;, &quot;prompt_rewrite&quot;: &quot;Apakah hasil pembagian data ini seimbang? Data ini menunjukkan proporsi kelas 0 dan kelas 1.&quot;, &quot;response_improvement_suggestions&quot;: &quot;Include examples of specific techniques for handling class imbalance.&quot;, &quot;verdict&quot;: &quot;good&quot;, &quot;needs_human_review&quot;: false}"/>
    <s v="ok"/>
    <n v="4"/>
  </r>
  <r>
    <x v="2"/>
    <s v="[MODE:summary_code_explanation]_x000a_#################################_x000a_# DO NOT CHANGE THE CODE BELOW_x000a_#################################_x000a_from sklearn.datasets import fetch_openml_x000a__x000a_mnist = fetch_openml('mnist_784', as_frame=False)_x000a__x000a_X, y = mnist.data, mnist.target_x000a__x000a_Mari kita bagi `X` dan `y` menjadi 60000 gambar untuk train set dan 10000 untuk test set."/>
    <s v="done"/>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d v="2026-03-18T16:04:09"/>
    <x v="4"/>
    <n v="0"/>
    <n v="81"/>
    <n v="125"/>
    <n v="206"/>
    <n v="347"/>
    <n v="375"/>
    <n v="2943"/>
    <n v="4"/>
    <n v="5"/>
    <n v="4"/>
    <s v="Clear instructions and context provided."/>
    <s v="Could specify the expected format of the output more clearly."/>
    <s v="Accurate, clear, and complete explanation with code."/>
    <s v="None noted."/>
    <s v="[MODE:summary_code_explanation] ################################# # DO NOT CHANGE THE CODE BELOW ################################# from sklearn.datasets import fetch_openml mnist = fetch_openml('mnist_784', as_frame=False) X, y = mnist.data, mnist.target Mari kita bagi `X` dan `y` menjadi 60000 gambar untuk train set dan 10000 untuk test set. Please provide a summary and explanation in a structured format."/>
    <s v="None needed; response is already strong."/>
    <s v="good"/>
    <b v="0"/>
    <s v="gpt-4o-mini"/>
    <s v="{&quot;prompt_score&quot;: 4, &quot;response_score&quot;: 5, &quot;overall_score&quot;: 4, &quot;prompt_strengths&quot;: &quot;Clear instructions and context provided.&quot;, &quot;prompt_issues&quot;: &quot;Could specify the expected format of the output more clearly.&quot;, &quot;response_strengths&quot;: &quot;Accurate, clear, and complete explanation with code.&quot;, &quot;response_issues&quot;: &quot;None noted.&quot;, &quot;prompt_rewrite&quot;: &quot;[MODE:summary_code_explanation] ################################# # DO NOT CHANGE THE CODE BELOW ################################# from sklearn.datasets import fetch_openml mnist = fetch_openml('mnist_784', as_frame=False) X, y = mnist.data, mnist.target Mari kita bagi `X` dan `y` menjadi 60000 gambar untuk train set dan 10000 untuk test set. Please provide a summary and explanation in a structured format.&quot;, &quot;response_improvement_suggestions&quot;: &quot;None needed; response is already strong.&quot;, &quot;verdict&quot;: &quot;good&quot;, &quot;needs_human_review&quot;: false}"/>
    <s v="ok"/>
    <n v="4"/>
  </r>
  <r>
    <x v="2"/>
    <s v="[MODE:summary_code_explanation]_x000a_Mari kita hitung _accuracy_ dari classifier knn yang sudah dibuat ##### Your Code Here ##### baseline_accuracy ="/>
    <s v="done"/>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d v="2026-03-18T16:12:35"/>
    <x v="4"/>
    <n v="0"/>
    <n v="31"/>
    <n v="85"/>
    <n v="116"/>
    <n v="144"/>
    <n v="300"/>
    <n v="3002"/>
    <n v="3"/>
    <n v="4"/>
    <n v="4"/>
    <s v="The prompt specifies the task clearly."/>
    <s v="Lacks context on what KNN is and what data is being used."/>
    <s v="The response is relevant and provides a correct code snippet."/>
    <s v="Could include more explanation on the significance of accuracy."/>
    <s v="Calculate the accuracy of the KNN classifier on the test set using the provided data."/>
    <s v="Add a brief explanation of why accuracy is important in evaluating classifiers."/>
    <s v="good"/>
    <b v="0"/>
    <s v="gpt-4o-mini"/>
    <s v="{&quot;prompt_score&quot;: 3, &quot;response_score&quot;: 4, &quot;overall_score&quot;: 4, &quot;prompt_strengths&quot;: &quot;The prompt specifies the task clearly.&quot;, &quot;prompt_issues&quot;: &quot;Lacks context on what KNN is and what data is being used.&quot;, &quot;response_strengths&quot;: &quot;The response is relevant and provides a correct code snippet.&quot;, &quot;response_issues&quot;: &quot;Could include more explanation on the significance of accuracy.&quot;, &quot;prompt_rewrite&quot;: &quot;Calculate the accuracy of the KNN classifier on the test set using the provided data.&quot;, &quot;response_improvement_suggestions&quot;: &quot;Add a brief explanation of why accuracy is important in evaluating classifiers.&quot;, &quot;verdict&quot;: &quot;good&quot;, &quot;needs_human_review&quot;: false}"/>
    <s v="ok"/>
    <n v="4"/>
  </r>
  <r>
    <x v="2"/>
    <s v="[MODE:code]_x000a_λ besar pada Lasso * Tidak berubah Besar semua Beberapa nol Semua aktif Decision boundary * y=0 θ·x=0 θ·x=1 θ=0"/>
    <s v="done"/>
    <s v="λ besar pada Lasso: Beberapa nol_x000a_Decision boundary: θ·x = 0"/>
    <s v="```text_x000a_λ besar pada Lasso: Beberapa nol_x000a_Decision boundary: θ·x = 0_x000a_```"/>
    <d v="2026-04-15T13:30:29"/>
    <x v="3"/>
    <n v="0"/>
    <n v="48"/>
    <n v="26"/>
    <n v="74"/>
    <n v="123"/>
    <n v="71"/>
    <n v="3232"/>
    <n v="2"/>
    <n v="3"/>
    <n v="2"/>
    <s v="Attempts to address Lasso and decision boundaries."/>
    <s v="Lacks clarity and specificity; difficult to understand."/>
    <s v="Provides some relevant information."/>
    <s v="Incomplete and lacks clarity; does not fully address the prompt."/>
    <s v="Explain the significance of λ in Lasso regression and its effect on decision boundaries."/>
    <s v="Expand on the role of λ in Lasso and clarify the decision boundary equations."/>
    <s v="fair"/>
    <b v="0"/>
    <s v="gpt-4o-mini"/>
    <s v="{&quot;prompt_score&quot;: 2, &quot;response_score&quot;: 3, &quot;overall_score&quot;: 2, &quot;prompt_strengths&quot;: &quot;Attempts to address Lasso and decision boundaries.&quot;, &quot;prompt_issues&quot;: &quot;Lacks clarity and specificity; difficult to understand.&quot;, &quot;response_strengths&quot;: &quot;Provides some relevant information.&quot;, &quot;response_issues&quot;: &quot;Incomplete and lacks clarity; does not fully address the prompt.&quot;, &quot;prompt_rewrite&quot;: &quot;Explain the significance of λ in Lasso regression and its effect on decision boundaries.&quot;, &quot;response_improvement_suggestions&quot;: &quot;Expand on the role of λ in Lasso and clarify the decision boundary equations.&quot;, &quot;verdict&quot;: &quot;fair&quot;, &quot;needs_human_review&quot;: false}"/>
    <s v="ok"/>
    <n v="3"/>
  </r>
  <r>
    <x v="2"/>
    <s v="[MODE:summary_code_explanation]_x000a_[ASSESSMENT_ID:1771cf81-0a65-11f1-b762-3e0936ad7efb]_x000a_[FORCE_GPT:true]_x000a_[AUTO_FALLBACK:true]_x000a_Pertanyaan Refleksi - Menurut pendapat Anda, bagaimana perbandingan performance antara Logistic Regression dengan Random Forest? dengan singkat _x000a_roc LR = 0.8247611940298508_x000a_roc RF = 0.823"/>
    <s v="done"/>
    <s v="**SUMMARY**  _x000a_Berdasarkan ROC AUC, Logistic Regression sedikit lebih baik daripada Random Forest, tetapi perbedaannya sangat kecil sehingga performanya praktis setara._x000a__x000a_```text_x000a_ROC AUC: LR = 0.8248, RF = 0.8230  → LR unggul tipis (~0.0018)_x000a_```_x000a__x000a_**EXPLANATION**  _x000a_Selisih AUC ~0.0018 biasanya tidak signifikan secara praktis; jika metrik lain (F1/PR) juga mirip, Logistic Regression bisa dipilih karena lebih sederhana dan mudah diinterpretasi."/>
    <s v="**SUMMARY**  _x000a_Berdasarkan ROC AUC, Logistic Regression sedikit lebih baik daripada Random Forest, tetapi perbedaannya sangat kecil sehingga performanya praktis setara._x000a__x000a_```text_x000a_ROC AUC: LR = 0.8248, RF = 0.8230  → LR unggul tipis (~0.0018)_x000a_```_x000a__x000a_**EXPLANATION**  _x000a_Selisih AUC ~0.0018 biasanya tidak signifikan secara praktis; jika metrik lain (F1/PR) juga mirip, Logistic Regression bisa dipilih karena lebih sederhana dan mudah diinterpretasi."/>
    <d v="2026-03-18T16:00:48"/>
    <x v="4"/>
    <n v="0"/>
    <n v="106"/>
    <n v="138"/>
    <n v="244"/>
    <n v="310"/>
    <n v="443"/>
    <n v="3313"/>
    <n v="4"/>
    <n v="5"/>
    <n v="4"/>
    <s v="Clear question about model performance comparison."/>
    <s v="Could provide more context on the models' applications."/>
    <s v="Accurate, clear, and provides a practical interpretation of results."/>
    <s v="Could include more detail on the implications of the findings."/>
    <s v="Bandingkan performa Logistic Regression dan Random Forest berdasarkan ROC AUC dan jelaskan hasilnya."/>
    <s v="Add examples of scenarios where one model might be preferred over the other."/>
    <s v="good"/>
    <b v="0"/>
    <s v="gpt-4o-mini"/>
    <s v="{&quot;prompt_score&quot;: 4, &quot;response_score&quot;: 5, &quot;overall_score&quot;: 4, &quot;prompt_strengths&quot;: &quot;Clear question about model performance comparison.&quot;, &quot;prompt_issues&quot;: &quot;Could provide more context on the models' applications.&quot;, &quot;response_strengths&quot;: &quot;Accurate, clear, and provides a practical interpretation of results.&quot;, &quot;response_issues&quot;: &quot;Could include more detail on the implications of the findings.&quot;, &quot;prompt_rewrite&quot;: &quot;Bandingkan performa Logistic Regression dan Random Forest berdasarkan ROC AUC dan jelaskan hasilnya.&quot;, &quot;response_improvement_suggestions&quot;: &quot;Add examples of scenarios where one model might be preferred over the other.&quot;, &quot;verdict&quot;: &quot;good&quot;, &quot;needs_human_review&quot;: false}"/>
    <s v="ok"/>
    <n v="4"/>
  </r>
  <r>
    <x v="2"/>
    <s v="[MODE:code]_x000a_[ASSESSMENT_ID:1771cf8e-0a65-11f1-b762-3e0936ad7efb]_x000a_[FORCE_GPT:true]_x000a_[AUTO_FALLBACK:true]_x000a_logreg_pipe.fit(X_train_A, y_train_cls)_x000a_     50 y_pred_A = logreg_pipe.predict(X_test_A)_x000a_     51 eval_binary(y_test_cls, y_pred_A, &quot;Skenario A: predicted_final_exam_score saja&quot;)_x000a__x000a_NameError: name 'y_train_cls'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AUTO-DETECT target klasifikasi (y_train_cls/y_test_cls)_x000a_# =========================_x000a_# Prasyarat minimal:_x000a_# - X_train_cls, X_test_cls sudah ada_x000a_# - Salah satu dari ini ada:_x000a_#   (a) y_train_cls &amp; y_test_cls, atau_x000a_#   (b) y_train_at_risk &amp; y_test_at_risk, atau_x000a_#   (c) y_train &amp; y_test (jika itu memang target klasifikasi), atau_x000a_#   (d) data['at_risk'] + indeks X_train_cls/X_test_cls cocok dengan data_x000a__x000a_def _resolve_y():_x000a_    g = globals()_x000a__x000a_    # (a) sudah sesuai nama yang diharapkan_x000a_    if &quot;y_train_cls&quot; in g and &quot;y_test_cls&quot; in g:_x000a_        return g[&quot;y_train_cls&quot;], g[&quot;y_test_cls&quot;]_x000a__x000a_    # (b) alternatif umum_x000a_    if &quot;y_train_at_risk&quot; in g and &quot;y_test_at_risk&quot; in g:_x000a_        return g[&quot;y_train_at_risk&quot;], g[&quot;y_test_at_risk&quot;]_x000a__x000a_    # (c) fallback: y_train/y_test (HATI-HATI: pastikan ini memang target klasifikasi at_risk)_x000a_    if &quot;y_train&quot; in g and &quot;y_test&quot; in g:_x000a_        # jika y_train/y_test berupa float kontinu, kemungkinan itu target regresi -&gt; jangan dipakai_x000a_        ytr, yte = g[&quot;y_train&quot;], g[&quot;y_test&quot;]_x000a_        if pd.api.types.is_numeric_dtype(ytr) and (pd.Series(ytr).nunique() &gt; 10):_x000a_            raise ValueError(_x000a_                &quot;Ditemukan y_train/y_test tetapi terlihat seperti target regresi (kontinu). &quot;_x000a_                &quot;Buat dulu y_train_cls/y_test_cls untuk target at_risk.&quot;_x000a_            )_x000a_        return ytr, yte_x000a__x000a_    # (d) ambil dari data['at_risk'] berdasarkan index X_train_cls/X_test_cls_x000a_    if &quot;data&quot; in g and isinstance(g[&quot;data&quot;], pd.DataFrame) and &quot;at_risk&quot; in g[&quot;data&quot;].columns:_x000a_        df = g[&quot;data&quot;]_x000a_        if hasattr(X_train_cls, &quot;index&quot;) and hasattr(X_test_cls, &quot;index&quot;):_x000a_            return df.loc[X_train_cls.index, &quot;at_risk&quot;], df.loc[X_test_cls.index, &quot;at_risk&quot;]_x000a__x000a_    raise NameError(_x000a_        &quot;Target klasifikasi tidak ditemukan. Pastikan Anda punya y_train_cls &amp; y_test_cls &quot;_x000a_        &quot;atau data['at_risk'] dengan index yang sesuai.&quot;_x000a_    )_x000a__x000a_y_train_cls, y_test_cls = _resolve_y()_x000a__x000a_# =========================_x000a_# Validasi kolom prediksi regresi_x000a_# =========================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kolom ini.&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d v="2026-04-15T15:12:19"/>
    <x v="3"/>
    <n v="0"/>
    <n v="113"/>
    <n v="1053"/>
    <n v="1166"/>
    <n v="326"/>
    <n v="3780"/>
    <n v="3496"/>
    <n v="3"/>
    <n v="2"/>
    <n v="2"/>
    <s v="Identifies a specific error in code."/>
    <s v="Lacks clarity and context for the error and expected output."/>
    <s v="Includes relevant imports for logistic regression."/>
    <s v="Does not address the specific error or provide a solution."/>
    <s v="What is causing the NameError for 'y_train_cls' in the logistic regression code, and how can it be resolved?"/>
    <s v="Provide a complete code snippet that defines 'y_train_cls' and resolves the NameError."/>
    <s v="weak"/>
    <b v="0"/>
    <s v="gpt-4o-mini"/>
    <s v="{&quot;prompt_score&quot;: 3, &quot;response_score&quot;: 2, &quot;overall_score&quot;: 2, &quot;prompt_strengths&quot;: &quot;Identifies a specific error in code.&quot;, &quot;prompt_issues&quot;: &quot;Lacks clarity and context for the error and expected output.&quot;, &quot;response_strengths&quot;: &quot;Includes relevant imports for logistic regression.&quot;, &quot;response_issues&quot;: &quot;Does not address the specific error or provide a solution.&quot;, &quot;prompt_rewrite&quot;: &quot;What is causing the NameError for 'y_train_cls' in the logistic regression code, and how can it be resolved?&quot;, &quot;response_improvement_suggestions&quot;: &quot;Provide a complete code snippet that defines 'y_train_cls' and resolves the NameError.&quot;, &quot;verdict&quot;: &quot;weak&quot;, &quot;needs_human_review&quot;: false}"/>
    <s v="ok"/>
    <n v="1"/>
  </r>
  <r>
    <x v="2"/>
    <s v="[MODE:summary_code_explanati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 jelaskan kode ini"/>
    <s v="done"/>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 `props.index` = label kelas (0, 1) di sumbu X  _x000a_  - `props.values` = proporsi tiap kelas di sumbu Y_x000a__x000a_- `ax.bar_label(ax.containers[0], labels=[f&quot;{v:.1%}&quot; for v in props.values], padding=3)`:_x000a_  - `ax.containers[0]` adalah kumpulan bar yang digambar._x000a_  - `labels=[f&quot;{v:.1%}&quot; ...]` membuat teks label persentase (contoh `65.2%`) untuk tiap bar._x000a_  - `padding=3` memberi jarak label dari puncak bar supaya tidak menempel._x000a__x000a_- `ax.set(...)`: memberi judul dan label sumbu.  _x000a_- `plt.tight_layout()`: merapikan layout agar teks tidak terpotong.  _x000a_- `plt.show()`: menampilkan plot."/>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 `props.index` = label kelas (0, 1) di sumbu X  _x000a_  - `props.values` = proporsi tiap kelas di sumbu Y_x000a__x000a_- `ax.bar_label(ax.containers[0], labels=[f&quot;{v:.1%}&quot; for v in props.values], padding=3)`:_x000a_  - `ax.containers[0]` adalah kumpulan bar yang digambar._x000a_  - `labels=[f&quot;{v:.1%}&quot; ...]` membuat teks label persentase (contoh `65.2%`) untuk tiap bar._x000a_  - `padding=3` memberi jarak label dari puncak bar supaya tidak menempel._x000a__x000a_- `ax.set(...)`: memberi judul dan label sumbu.  _x000a_- `plt.tight_layout()`: merapikan layout agar teks tidak terpotong.  _x000a_- `plt.show()`: menampilkan plot."/>
    <d v="2026-03-18T15:10:20"/>
    <x v="4"/>
    <n v="0"/>
    <n v="95"/>
    <n v="470"/>
    <n v="565"/>
    <n v="365"/>
    <n v="1500"/>
    <n v="3563"/>
    <n v="4"/>
    <n v="5"/>
    <n v="5"/>
    <s v="Clear and specific request for code explanation."/>
    <s v="Could provide more context about the audience's familiarity with the code."/>
    <s v="Thorough explanation with clear breakdown of each code component."/>
    <s v="None significant; very comprehensive."/>
    <s v="Jelaskan kode berikut yang digunakan untuk mem-plot proporsi kelas pada kolom 'Outcome' dalam dataframe."/>
    <s v="Consider adding a brief introduction about the importance of visualizing class proportions."/>
    <s v="excellent"/>
    <b v="0"/>
    <s v="gpt-4o-mini"/>
    <s v="{&quot;prompt_score&quot;: 4, &quot;response_score&quot;: 5, &quot;overall_score&quot;: 5, &quot;prompt_strengths&quot;: &quot;Clear and specific request for code explanation.&quot;, &quot;prompt_issues&quot;: &quot;Could provide more context about the audience's familiarity with the code.&quot;, &quot;response_strengths&quot;: &quot;Thorough explanation with clear breakdown of each code component.&quot;, &quot;response_issues&quot;: &quot;None significant; very comprehensive.&quot;, &quot;prompt_rewrite&quot;: &quot;Jelaskan kode berikut yang digunakan untuk mem-plot proporsi kelas pada kolom 'Outcome' dalam dataframe.&quot;, &quot;response_improvement_suggestions&quot;: &quot;Consider adding a brief introduction about the importance of visualizing class proportions.&quot;, &quot;verdict&quot;: &quot;excellent&quot;, &quot;needs_human_review&quot;: false}"/>
    <s v="ok"/>
    <n v="5"/>
  </r>
  <r>
    <x v="2"/>
    <s v="[MODE:summary_code_explanation]_x000a_[ASSESSMENT_ID:1771cf87-0a65-11f1-b762-3e0936ad7efb]_x000a_[FORCE_GPT:true]_x000a_[AUTO_FALLBACK:true]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Batch gradient descent meng-update `theta` memakai seluruh data sekaligus: hitung error `e = X@theta - y`, lalu `theta := theta - (eta/m) * X.T@e`, dan simpan cost tiap iterasi ke `MSE_history`._x000a__x000a_```python_x000a_def gradient_descent(X, y, theta, eta, num_iters):_x000a_    m = y.size_x000a_    MSE_history = np.zeros(num_iters)_x000a__x000a_    for i in range(num_iters):_x000a_        e = X @ theta - y_x000a_        theta = theta - (eta / m) * (X.T @ e)_x000a_        MSE_history[i] = compute_cost(X, y, theta)_x000a__x000a_    return theta, MSE_history_x000a_```_x000a__x000a_Penjelasan singkat: `X.T @ e` adalah gradien dari fungsi cost MSE terhadap `theta`, `eta` adalah learning rate, dan pembagian `m` membuat langkah update ter-skala rata-rata per sampel."/>
    <s v="Batch gradient descent meng-update `theta` memakai seluruh data sekaligus: hitung error `e = X@theta - y`, lalu `theta := theta - (eta/m) * X.T@e`, dan simpan cost tiap iterasi ke `MSE_history`._x000a__x000a_```python_x000a_def gradient_descent(X, y, theta, eta, num_iters):_x000a_    m = y.size_x000a_    MSE_history = np.zeros(num_iters)_x000a__x000a_    for i in range(num_iters):_x000a_        e = X @ theta - y_x000a_        theta = theta - (eta / m) * (X.T @ e)_x000a_        MSE_history[i] = compute_cost(X, y, theta)_x000a__x000a_    return theta, MSE_history_x000a_```_x000a__x000a_Penjelasan singkat: `X.T @ e` adalah gradien dari fungsi cost MSE terhadap `theta`, `eta` adalah learning rate, dan pembagian `m` membuat langkah update ter-skala rata-rata per sampel."/>
    <d v="2026-04-01T14:47:32"/>
    <x v="5"/>
    <n v="0"/>
    <n v="119"/>
    <n v="210"/>
    <n v="329"/>
    <n v="429"/>
    <n v="685"/>
    <n v="3629"/>
    <n v="4"/>
    <n v="5"/>
    <n v="4"/>
    <s v="Clear instructions for code implementation."/>
    <s v="Could provide more context on the purpose of the function."/>
    <s v="Accurate and complete explanation of the gradient descent algorithm."/>
    <s v="Could improve clarity by breaking down complex terms further."/>
    <s v="Explain the purpose of the gradient descent function and provide specific constraints for the implementation."/>
    <s v="Consider adding examples or visual aids to clarify the concepts further."/>
    <s v="good"/>
    <b v="0"/>
    <s v="gpt-4o-mini"/>
    <s v="{&quot;prompt_score&quot;: 4, &quot;response_score&quot;: 5, &quot;overall_score&quot;: 4, &quot;prompt_strengths&quot;: &quot;Clear instructions for code implementation.&quot;, &quot;prompt_issues&quot;: &quot;Could provide more context on the purpose of the function.&quot;, &quot;response_strengths&quot;: &quot;Accurate and complete explanation of the gradient descent algorithm.&quot;, &quot;response_issues&quot;: &quot;Could improve clarity by breaking down complex terms further.&quot;, &quot;prompt_rewrite&quot;: &quot;Explain the purpose of the gradient descent function and provide specific constraints for the implementation.&quot;, &quot;response_improvement_suggestions&quot;: &quot;Consider adding examples or visual aids to clarify the concepts further.&quot;, &quot;verdict&quot;: &quot;good&quot;, &quot;needs_human_review&quot;: false}"/>
    <s v="ok"/>
    <n v="4"/>
  </r>
  <r>
    <x v="2"/>
    <s v="[MODE:summary_code_explanation]_x000a_**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_x000a__x000a_persingkat"/>
    <s v="done"/>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d v="2026-03-04T15:42:15"/>
    <x v="6"/>
    <n v="0"/>
    <n v="708"/>
    <n v="226"/>
    <n v="934"/>
    <n v="2284"/>
    <n v="710"/>
    <n v="3753"/>
    <n v="4"/>
    <n v="4"/>
    <n v="4"/>
    <s v="Clear structure and specific insights."/>
    <s v="Could be more concise."/>
    <s v="Summarizes key insights effectively."/>
    <s v="Lacks additional code or examples."/>
    <s v="Buat ringkasan singkat tentang distribusi `charges` dan faktor-faktor yang mempengaruhi, termasuk perokok, usia, dan BMI."/>
    <s v="Include a brief code example or visualization to enhance understanding."/>
    <s v="good"/>
    <b v="0"/>
    <s v="gpt-4o-mini"/>
    <s v="{&quot;prompt_score&quot;: 4, &quot;response_score&quot;: 4, &quot;overall_score&quot;: 4, &quot;prompt_strengths&quot;: &quot;Clear structure and specific insights.&quot;, &quot;prompt_issues&quot;: &quot;Could be more concise.&quot;, &quot;response_strengths&quot;: &quot;Summarizes key insights effectively.&quot;, &quot;response_issues&quot;: &quot;Lacks additional code or examples.&quot;, &quot;prompt_rewrite&quot;: &quot;Buat ringkasan singkat tentang distribusi `charges` dan faktor-faktor yang mempengaruhi, termasuk perokok, usia, dan BMI.&quot;, &quot;response_improvement_suggestions&quot;: &quot;Include a brief code example or visualization to enhance understanding.&quot;, &quot;verdict&quot;: &quot;good&quot;, &quot;needs_human_review&quot;: false}"/>
    <s v="ok"/>
    <n v="4"/>
  </r>
  <r>
    <x v="2"/>
    <s v="[MODE:summary_code_explanation]_x000a_#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_x000a_buatkan test model polynomial"/>
    <s v="done"/>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d v="2026-04-01T15:13:47"/>
    <x v="5"/>
    <n v="0"/>
    <n v="161"/>
    <n v="546"/>
    <n v="707"/>
    <n v="578"/>
    <n v="1839"/>
    <n v="3760"/>
    <n v="4"/>
    <n v="5"/>
    <n v="4"/>
    <s v="Clear instructions for visualizing data and model testing."/>
    <s v="Could provide more context on the dataset or specific goals."/>
    <s v="Thorough explanation and complete code for polynomial model testing."/>
    <s v="Could include more details on interpreting the metrics."/>
    <s v="[MODE:summary_code_explanation] # Visualisasi data train/test dan kurva baseline. Berikan konteks dataset dan tujuan analisis. plt.figure(figsize=(8, 5)) ... buatkan test model polynomial."/>
    <s v="Add explanations for interpreting MSE, RMSE, and R² metrics."/>
    <s v="good"/>
    <b v="0"/>
    <s v="gpt-4o-mini"/>
    <s v="{&quot;prompt_score&quot;: 4, &quot;response_score&quot;: 5, &quot;overall_score&quot;: 4, &quot;prompt_strengths&quot;: &quot;Clear instructions for visualizing data and model testing.&quot;, &quot;prompt_issues&quot;: &quot;Could provide more context on the dataset or specific goals.&quot;, &quot;response_strengths&quot;: &quot;Thorough explanation and complete code for polynomial model testing.&quot;, &quot;response_issues&quot;: &quot;Could include more details on interpreting the metrics.&quot;, &quot;prompt_rewrite&quot;: &quot;[MODE:summary_code_explanation] # Visualisasi data train/test dan kurva baseline. Berikan konteks dataset dan tujuan analisis. plt.figure(figsize=(8, 5)) ... buatkan test model polynomial.&quot;, &quot;response_improvement_suggestions&quot;: &quot;Add explanations for interpreting MSE, RMSE, and R² metrics.&quot;, &quot;verdict&quot;: &quot;good&quot;, &quot;needs_human_review&quot;: false}"/>
    <s v="ok"/>
    <n v="4"/>
  </r>
  <r>
    <x v="2"/>
    <s v="[MODE:code]_x000a_[ASSESSMENT_ID:1771cf8e-0a65-11f1-b762-3e0936ad7efb]_x000a_[FORCE_GPT:true]_x000a_[AUTO_FALLBACK:true]_x000a_num_cols = data.select_dtypes(include=[np.number]).columns_x000a_corr = data[num_cols].corr()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kolom yang keluar salah karena di y age paling atas sedangkan di x age paling kiri"/>
    <s v="done"/>
    <s v="#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    corr,_x000a_    cmap=&quot;coolwarm&quot;,_x000a_    center=0,_x000a_    annot=False,_x000a_    linewidths=0.5,_x000a_    linecolor=&quot;white&quot;,_x000a_    square=True,_x000a_    cbar_kws={&quot;shrink&quot;: 0.8},_x000a_    xticklabels=num_cols,_x000a_    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
    <s v="```python_x000a_#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    corr,_x000a_    cmap=&quot;coolwarm&quot;,_x000a_    center=0,_x000a_    annot=False,_x000a_    linewidths=0.5,_x000a_    linecolor=&quot;white&quot;,_x000a_    square=True,_x000a_    cbar_kws={&quot;shrink&quot;: 0.8},_x000a_    xticklabels=num_cols,_x000a_    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_x000a_```"/>
    <d v="2026-04-15T14:36:13"/>
    <x v="3"/>
    <n v="0"/>
    <n v="168"/>
    <n v="243"/>
    <n v="411"/>
    <n v="514"/>
    <n v="840"/>
    <n v="3845"/>
    <n v="3"/>
    <n v="4"/>
    <n v="4"/>
    <s v="Identifies a specific issue with the heatmap."/>
    <s v="Lacks clarity and context regarding the data structure."/>
    <s v="Provides a corrected code snippet that addresses the issue."/>
    <s v="Could include more explanation of changes made."/>
    <s v="Fix the heatmap so that the 'age' column appears correctly on the axes."/>
    <s v="Add comments explaining the changes made to the code."/>
    <s v="good"/>
    <b v="0"/>
    <s v="gpt-4o-mini"/>
    <s v="{&quot;prompt_score&quot;: 3, &quot;response_score&quot;: 4, &quot;overall_score&quot;: 4, &quot;prompt_strengths&quot;: &quot;Identifies a specific issue with the heatmap.&quot;, &quot;prompt_issues&quot;: &quot;Lacks clarity and context regarding the data structure.&quot;, &quot;response_strengths&quot;: &quot;Provides a corrected code snippet that addresses the issue.&quot;, &quot;response_issues&quot;: &quot;Could include more explanation of changes made.&quot;, &quot;prompt_rewrite&quot;: &quot;Fix the heatmap so that the 'age' column appears correctly on the axes.&quot;, &quot;response_improvement_suggestions&quot;: &quot;Add comments explaining the changes made to the code.&quot;, &quot;verdict&quot;: &quot;good&quot;, &quot;needs_human_review&quot;: false}"/>
    <s v="ok"/>
    <n v="4"/>
  </r>
  <r>
    <x v="2"/>
    <s v="[MODE:summary_code_explanation]_x000a_[ASSESSMENT_ID:1771cf81-0a65-11f1-b762-3e0936ad7efb]_x000a_[FORCE_GPT:true]_x000a_[AUTO_FALLBACK:true]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minta bagian kode sns boxplotnya"/>
    <s v="done"/>
    <s v="**SUMMARY**  _x000a_Bagian inti `sns.boxplot`-nya adalah memanggil `sns.boxplot(data=..., x='Outcome', y=fitur, ax=...)` untuk tiap fitur._x000a__x000a_```python_x000a_for ax, col in zip(axes, features):_x000a_    sns.boxplot(data=df, x=&quot;Outcome&quot;, y=col, ax=ax)_x000a_```_x000a__x000a_**EXPLANATION**  _x000a_Loop tersebut membuat boxplot untuk setiap kolom fitur (`col`) dengan pemisahan kelas berdasarkan `Outcome` pada sumbu-x, dan menggambarkannya ke subplot `ax`."/>
    <s v="**SUMMARY**  _x000a_Bagian inti `sns.boxplot`-nya adalah memanggil `sns.boxplot(data=..., x='Outcome', y=fitur, ax=...)` untuk tiap fitur._x000a__x000a_```python_x000a_for ax, col in zip(axes, features):_x000a_    sns.boxplot(data=df, x=&quot;Outcome&quot;, y=col, ax=ax)_x000a_```_x000a__x000a_**EXPLANATION**  _x000a_Loop tersebut membuat boxplot untuk setiap kolom fitur (`col`) dengan pemisahan kelas berdasarkan `Outcome` pada sumbu-x, dan menggambarkannya ke subplot `ax`."/>
    <d v="2026-03-18T14:53:43"/>
    <x v="4"/>
    <n v="0"/>
    <n v="271"/>
    <n v="129"/>
    <n v="400"/>
    <n v="933"/>
    <n v="414"/>
    <n v="3854"/>
    <n v="4"/>
    <n v="4"/>
    <n v="4"/>
    <s v="Clear and specific request for code explanation."/>
    <s v="Could provide more context on the desired output format."/>
    <s v="Relevant and correct explanation of the code segment."/>
    <s v="Could be more detailed in explaining the significance of the boxplots."/>
    <s v="Explain the sns boxplot code segment in detail, including its purpose and output."/>
    <s v="Include more context on why boxplots are useful for visualizing the data."/>
    <s v="good"/>
    <b v="0"/>
    <s v="gpt-4o-mini"/>
    <s v="{&quot;prompt_score&quot;: 4, &quot;response_score&quot;: 4, &quot;overall_score&quot;: 4, &quot;prompt_strengths&quot;: &quot;Clear and specific request for code explanation.&quot;, &quot;prompt_issues&quot;: &quot;Could provide more context on the desired output format.&quot;, &quot;response_strengths&quot;: &quot;Relevant and correct explanation of the code segment.&quot;, &quot;response_issues&quot;: &quot;Could be more detailed in explaining the significance of the boxplots.&quot;, &quot;prompt_rewrite&quot;: &quot;Explain the sns boxplot code segment in detail, including its purpose and output.&quot;, &quot;response_improvement_suggestions&quot;: &quot;Include more context on why boxplots are useful for visualizing the data.&quot;, &quot;verdict&quot;: &quot;good&quot;, &quot;needs_human_review&quot;: false}"/>
    <s v="ok"/>
    <n v="4"/>
  </r>
  <r>
    <x v="2"/>
    <s v="[MODE:code]_x000a_grid_search.fit(X_train, y_train) disini error tolong perbaiki _x000a__x000a_# YOUR CODE IS HERE_x000a_svr_pipeline = Pipeline(steps=[_x000a_    (&quot;preprocessing&quot;, preprocessing),_x000a_    (&quot;svr&quot;, SVR())_x000a_])_x000a__x000a_svr_pipeline_x000a__x000a__x000a_dari mana X dan Y nya"/>
    <s v="done"/>
    <s v="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
    <s v="```python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
    <d v="2026-02-25T16:36:20"/>
    <x v="1"/>
    <n v="0"/>
    <n v="63"/>
    <n v="292"/>
    <n v="355"/>
    <n v="226"/>
    <n v="1084"/>
    <n v="3991"/>
    <n v="3"/>
    <n v="4"/>
    <n v="4"/>
    <s v="Identifies a specific error and requests a fix."/>
    <s v="Lacks clarity in explaining the context of X and y."/>
    <s v="Provides a complete and relevant solution with clear steps."/>
    <s v="Could improve clarity on the source of 'housing' and 'housing_labels'."/>
    <s v="Perbaiki error pada grid_search.fit(X_train, y_train) dan jelaskan dari mana X dan y berasal."/>
    <s v="Clarify the source of 'housing' and 'housing_labels' in the response."/>
    <s v="good"/>
    <b v="0"/>
    <s v="gpt-4o-mini"/>
    <s v="{&quot;prompt_score&quot;: 3, &quot;response_score&quot;: 4, &quot;overall_score&quot;: 4, &quot;prompt_strengths&quot;: &quot;Identifies a specific error and requests a fix.&quot;, &quot;prompt_issues&quot;: &quot;Lacks clarity in explaining the context of X and y.&quot;, &quot;response_strengths&quot;: &quot;Provides a complete and relevant solution with clear steps.&quot;, &quot;response_issues&quot;: &quot;Could improve clarity on the source of 'housing' and 'housing_labels'.&quot;, &quot;prompt_rewrite&quot;: &quot;Perbaiki error pada grid_search.fit(X_train, y_train) dan jelaskan dari mana X dan y berasal.&quot;, &quot;response_improvement_suggestions&quot;: &quot;Clarify the source of 'housing' and 'housing_labels' in the response.&quot;, &quot;verdict&quot;: &quot;good&quot;, &quot;needs_human_review&quot;: false}"/>
    <s v="ok"/>
    <n v="4"/>
  </r>
  <r>
    <x v="2"/>
    <s v="[MODE:code]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s v="done"/>
    <s v="import numpy as np_x000a_import pandas as pd_x000a__x000a_def audit_missing_and_zeros(df: pd.DataFrame):_x000a_    # 1) Apakah ada nilai null?_x000a_    null_counts = df.isna().sum()_x000a_    has_null = bool((null_counts &gt; 0).any())_x000a__x000a_    # 2) Apakah nilai 0 wajar?_x000a_    # Kolom yang 0-nya umumnya TIDAK wajar (sering dipakai sebagai kode missing pada dataset medis seperti Pima)_x000a_    zero_not_plausible = [&quot;Glucose&quot;, &quot;BloodPressure&quot;, &quot;SkinThickness&quot;, &quot;Insulin&quot;, &quot;BMI&quot;]_x000a_    # Kolom yang 0-nya wajar_x000a_    zero_plausible = [&quot;Pregnancies&quot;, &quot;Outcome&quot;]  # Outcome memang label 0/1_x000a__x000a_    zero_counts = (df == 0).sum(numeric_only=False)_x000a__x000a_    # Rekomendasi penanganan: jangan dibiarkan sebagai 0 untuk kolom medis di atas._x000a_    # Umumnya: ubah 0 -&gt; NaN lalu imputasi (median) atau drop baris jika jumlahnya kecil._x000a_    df_zero_to_nan = df.copy()_x000a_    existing_cols = [c for c in zero_not_plausible if c in df_zero_to_nan.columns]_x000a_    df_zero_to_nan[existing_cols] = df_zero_to_nan[existing_cols].replace(0, np.nan)_x000a__x000a_    # Ringkasan jawaban_x000a_    answer = {_x000a_        &quot;has_null&quot;: has_null,_x000a_        &quot;null_counts&quot;: null_counts.sort_values(ascending=False),_x000a_        &quot;zero_counts&quot;: zero_counts.sort_values(ascending=False),_x000a_        &quot;zero_plausible_columns&quot;: [c for c in zero_plausible if c in df.columns],_x000a_        &quot;zero_not_plausible_columns&quot;: existing_cols,_x000a_        &quot;why_zero_not_plausible&quot;: (_x000a_            &quot;Pada kolom medis (Glucose, BloodPressure, SkinThickness, Insulin, BMI), nilai 0 umumnya &quot;_x000a_            &quot;tidak realistis secara klinis dan sering merupakan kode 'missing'. Jika dibiarkan, model/statistik &quot;_x000a_            &quot;menganggap 0 sebagai nilai valid sehingga bias. Lebih tepat ubah 0-&gt;NaN lalu imputasi.&quot;_x000a_        ),_x000a_        &quot;df_with_zeros_as_nan&quot;: df_zero_to_nan,_x000a_        &quot;nan_counts_after_zero_to_nan&quot;: df_zero_to_nan[existing_cols].isna().sum().sort_values(ascending=False),_x000a_    }_x000a_    return answer_x000a__x000a_# Contoh pakai:_x000a_# result = audit_missing_and_zeros(dataframe)_x000a_# print(&quot;Ada null?&quot;, result[&quot;has_null&quot;])_x000a_# print(&quot;Null per kolom:\n&quot;, result[&quot;null_counts&quot;])_x000a_# print(&quot;0 per kolom:\n&quot;, result[&quot;zero_counts&quot;])_x000a_# print(&quot;Kolom 0 wajar:&quot;, result[&quot;zero_plausible_columns&quot;])_x000a_# print(&quot;Kolom 0 tidak wajar:&quot;, result[&quot;zero_not_plausible_columns&quot;])_x000a_# print(result[&quot;why_zero_not_plausible&quot;])_x000a_# df_clean = result[&quot;df_with_zeros_as_nan&quot;]"/>
    <s v="```python_x000a_import numpy as np_x000a_import pandas as pd_x000a__x000a_def audit_missing_and_zeros(df: pd.DataFrame):_x000a_    # 1) Apakah ada nilai null?_x000a_    null_counts = df.isna().sum()_x000a_    has_null = bool((null_counts &gt; 0).any())_x000a__x000a_    # 2) Apakah nilai 0 wajar?_x000a_    # Kolom yang 0-nya umumnya TIDAK wajar (sering dipakai sebagai kode missing pada dataset medis seperti Pima)_x000a_    zero_not_plausible = [&quot;Glucose&quot;, &quot;BloodPressure&quot;, &quot;SkinThickness&quot;, &quot;Insulin&quot;, &quot;BMI&quot;]_x000a_    # Kolom yang 0-nya wajar_x000a_    zero_plausible = [&quot;Pregnancies&quot;, &quot;Outcome&quot;]  # Outcome memang label 0/1_x000a__x000a_    zero_counts = (df == 0).sum(numeric_only=False)_x000a__x000a_    # Rekomendasi penanganan: jangan dibiarkan sebagai 0 untuk kolom medis di atas._x000a_    # Umumnya: ubah 0 -&gt; NaN lalu imputasi (median) atau drop baris jika jumlahnya kecil._x000a_    df_zero_to_nan = df.copy()_x000a_    existing_cols = [c for c in zero_not_plausible if c in df_zero_to_nan.columns]_x000a_    df_zero_to_nan[existing_cols] = df_zero_to_nan[existing_cols].replace(0, np.nan)_x000a__x000a_    # Ringkasan jawaban_x000a_    answer = {_x000a_        &quot;has_null&quot;: has_null,_x000a_        &quot;null_counts&quot;: null_counts.sort_values(ascending=False),_x000a_        &quot;zero_counts&quot;: zero_counts.sort_values(ascending=False),_x000a_        &quot;zero_plausible_columns&quot;: [c for c in zero_plausible if c in df.columns],_x000a_        &quot;zero_not_plausible_columns&quot;: existing_cols,_x000a_        &quot;why_zero_not_plausible&quot;: (_x000a_            &quot;Pada kolom medis (Glucose, BloodPressure, SkinThickness, Insulin, BMI), nilai 0 umumnya &quot;_x000a_            &quot;tidak realistis secara klinis dan sering merupakan kode 'missing'. Jika dibiarkan, model/statistik &quot;_x000a_            &quot;menganggap 0 sebagai nilai valid sehingga bias. Lebih tepat ubah 0-&gt;NaN lalu imputasi.&quot;_x000a_        ),_x000a_        &quot;df_with_zeros_as_nan&quot;: df_zero_to_nan,_x000a_        &quot;nan_counts_after_zero_to_nan&quot;: df_zero_to_nan[existing_cols].isna().sum().sort_values(ascending=False),_x000a_    }_x000a_    return answer_x000a__x000a_# Contoh pakai:_x000a_# result = audit_missing_and_zeros(dataframe)_x000a_# print(&quot;Ada null?&quot;, result[&quot;has_null&quot;])_x000a_# print(&quot;Null per kolom:\n&quot;, result[&quot;null_counts&quot;])_x000a_# print(&quot;0 per kolom:\n&quot;, result[&quot;zero_counts&quot;])_x000a_# print(&quot;Kolom 0 wajar:&quot;, result[&quot;zero_plausible_columns&quot;])_x000a_# print(&quot;Kolom 0 tidak wajar:&quot;, result[&quot;zero_not_plausible_columns&quot;])_x000a_# print(result[&quot;why_zero_not_plausible&quot;])_x000a_# df_clean = result[&quot;df_with_zeros_as_nan&quot;]_x000a_```"/>
    <d v="2026-03-11T15:14:59"/>
    <x v="2"/>
    <n v="0"/>
    <n v="150"/>
    <n v="638"/>
    <n v="788"/>
    <n v="555"/>
    <n v="2283"/>
    <n v="4060"/>
    <n v="4"/>
    <n v="5"/>
    <n v="4"/>
    <s v="Clear and specific questions about dataset values."/>
    <s v="Could provide more context on the dataset's purpose."/>
    <s v="Thorough analysis with clear code and explanations."/>
    <s v="Could include more comments for clarity."/>
    <s v="Jelaskan apakah ada nilai null dalam dataset dan apakah nilai 0 wajar untuk kolom-kolom tertentu. Jika tidak, jelaskan alasannya."/>
    <s v="Add more comments in the code to enhance clarity for users unfamiliar with the context."/>
    <s v="good"/>
    <b v="0"/>
    <s v="gpt-4o-mini"/>
    <s v="{&quot;prompt_score&quot;: 4, &quot;response_score&quot;: 5, &quot;overall_score&quot;: 4, &quot;prompt_strengths&quot;: &quot;Clear and specific questions about dataset values.&quot;, &quot;prompt_issues&quot;: &quot;Could provide more context on the dataset's purpose.&quot;, &quot;response_strengths&quot;: &quot;Thorough analysis with clear code and explanations.&quot;, &quot;response_issues&quot;: &quot;Could include more comments for clarity.&quot;, &quot;prompt_rewrite&quot;: &quot;Jelaskan apakah ada nilai null dalam dataset dan apakah nilai 0 wajar untuk kolom-kolom tertentu. Jika tidak, jelaskan alasannya.&quot;, &quot;response_improvement_suggestions&quot;: &quot;Add more comments in the code to enhance clarity for users unfamiliar with the context.&quot;, &quot;verdict&quot;: &quot;good&quot;, &quot;needs_human_review&quot;: false}"/>
    <s v="ok"/>
    <n v="4"/>
  </r>
  <r>
    <x v="3"/>
    <s v="[MODE:code]_x000a_Cetaklah hasil cross-validation sbb:_x000a_Accuracy: &lt;Nilai Rata-Rata&gt;% (&lt;Nilai Simpangan Baku&gt;%)_x000a_Harapannya nilai akurasi _x000a__x000a_Hint: Gunakan method masing-masing mean dan std untuk rata-rata dan simpangan baku._x000a_tolong berikan hasil jawaban yang tepat_x000a__x000a_berikan kode nya print(f&quot;akurasi.. tolong lanjutkan kode ini yang benar dan tepat"/>
    <s v="done"/>
    <s v="print(f&quot;Accuracy: {results.mean()*100:.2f}% ({results.std()*100:.2f}%)&quot;)"/>
    <s v="```python_x000a_print(f&quot;Accuracy: {results.mean()*100:.2f}% ({results.std()*100:.2f}%)&quot;)_x000a_```"/>
    <d v="2026-03-11T16:41:00"/>
    <x v="2"/>
    <n v="0"/>
    <n v="101"/>
    <n v="29"/>
    <n v="130"/>
    <n v="337"/>
    <n v="86"/>
    <n v="1803"/>
    <n v="3"/>
    <n v="4"/>
    <n v="3"/>
    <s v="Specifies the desired output format clearly."/>
    <s v="Lacks clarity in the request for code continuation."/>
    <s v="Correctly formats the output string for accuracy."/>
    <s v="Does not address the prompt's request for code continuation."/>
    <s v="[MODE:code] Cetaklah hasil cross-validation sbb: Accuracy: &lt;Nilai Rata-Rata&gt;% (&lt;Nilai Simpangan Baku&gt;%). Harapannya nilai akurasi. Tolong lanjutkan kode ini dengan benar dan tepat."/>
    <s v="Provide a complete code snippet that includes the context of how 'results' is defined."/>
    <s v="fair"/>
    <b v="0"/>
    <s v="gpt-4o-mini"/>
    <s v="{&quot;prompt_score&quot;: 3, &quot;response_score&quot;: 4, &quot;overall_score&quot;: 3, &quot;prompt_strengths&quot;: &quot;Specifies the desired output format clearly.&quot;, &quot;prompt_issues&quot;: &quot;Lacks clarity in the request for code continuation.&quot;, &quot;response_strengths&quot;: &quot;Correctly formats the output string for accuracy.&quot;, &quot;response_issues&quot;: &quot;Does not address the prompt's request for code continuation.&quot;, &quot;prompt_rewrite&quot;: &quot;[MODE:code] Cetaklah hasil cross-validation sbb: Accuracy: &lt;Nilai Rata-Rata&gt;% (&lt;Nilai Simpangan Baku&gt;%). Harapannya nilai akurasi. Tolong lanjutkan kode ini dengan benar dan tepat.&quot;, &quot;response_improvement_suggestions&quot;: &quot;Provide a complete code snippet that includes the context of how 'results' is defined.&quot;, &quot;verdict&quot;: &quot;fair&quot;, &quot;needs_human_review&quot;: false}"/>
    <s v="ok"/>
    <n v="3"/>
  </r>
  <r>
    <x v="4"/>
    <s v="[MODE:code]_x000a_cpba tolong jawab ini _x000a_Mengapa feature scaling penting ketika fitur punya skala berbeda jauh??????????"/>
    <s v="done"/>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d v="2026-03-31T11:27:51"/>
    <x v="5"/>
    <n v="0"/>
    <n v="37"/>
    <n v="257"/>
    <n v="294"/>
    <n v="114"/>
    <n v="963"/>
    <n v="1030"/>
    <n v="4"/>
    <n v="5"/>
    <n v="5"/>
    <s v="Clear and specific question about feature scaling."/>
    <s v="Could provide more context on the audience's knowledge level."/>
    <s v="Thorough explanation of the importance of feature scaling with relevant examples."/>
    <s v="None identified; response is comprehensive."/>
    <s v="Mengapa feature scaling penting dalam pembelajaran mesin, terutama ketika fitur memiliki skala yang sangat berbeda?"/>
    <s v="Consider adding a brief example of feature scaling methods."/>
    <s v="excellent"/>
    <b v="0"/>
    <s v="gpt-4o-mini"/>
    <s v="{&quot;prompt_score&quot;: 4, &quot;response_score&quot;: 5, &quot;overall_score&quot;: 5, &quot;prompt_strengths&quot;: &quot;Clear and specific question about feature scaling.&quot;, &quot;prompt_issues&quot;: &quot;Could provide more context on the audience's knowledge level.&quot;, &quot;response_strengths&quot;: &quot;Thorough explanation of the importance of feature scaling with relevant examples.&quot;, &quot;response_issues&quot;: &quot;None identified; response is comprehensive.&quot;, &quot;prompt_rewrite&quot;: &quot;Mengapa feature scaling penting dalam pembelajaran mesin, terutama ketika fitur memiliki skala yang sangat berbeda?&quot;, &quot;response_improvement_suggestions&quot;: &quot;Consider adding a brief example of feature scaling methods.&quot;, &quot;verdict&quot;: &quot;excellent&quot;, &quot;needs_human_review&quot;: false}"/>
    <s v="ok"/>
    <n v="5"/>
  </r>
  <r>
    <x v="4"/>
    <s v="[MODE:code]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python_x000a_from sklearn.metrics import precision_recall_curve_x000a__x000a_precisions_forest, recalls_forest, thresholds_forest = precision_recall_curve(y_test, y_scores_forest)_x000a_```"/>
    <d v="2026-03-17T12:18:17"/>
    <x v="4"/>
    <n v="0"/>
    <n v="66"/>
    <n v="36"/>
    <n v="102"/>
    <n v="251"/>
    <n v="168"/>
    <n v="2054"/>
    <n v="4"/>
    <n v="5"/>
    <n v="4"/>
    <s v="Clear instructions and context for the task."/>
    <s v="Could provide more detail on expected input/output formats."/>
    <s v="Correct and complete implementation of the precision-recall curve."/>
    <s v="None."/>
    <s v="Implement the precision-recall curve using y_scores_forest from the predictions. Ensure to specify the expected input format for y_scores_forest."/>
    <s v="None needed; response is complete."/>
    <s v="good"/>
    <b v="0"/>
    <s v="gpt-4o-mini"/>
    <s v="{&quot;prompt_score&quot;: 4, &quot;response_score&quot;: 5, &quot;overall_score&quot;: 4, &quot;prompt_strengths&quot;: &quot;Clear instructions and context for the task.&quot;, &quot;prompt_issues&quot;: &quot;Could provide more detail on expected input/output formats.&quot;, &quot;response_strengths&quot;: &quot;Correct and complete implementation of the precision-recall curve.&quot;, &quot;response_issues&quot;: &quot;None.&quot;, &quot;prompt_rewrite&quot;: &quot;Implement the precision-recall curve using y_scores_forest from the predictions. Ensure to specify the expected input format for y_scores_forest.&quot;, &quot;response_improvement_suggestions&quot;: &quot;None needed; response is complete.&quot;, &quot;verdict&quot;: &quot;good&quot;, &quot;needs_human_review&quot;: false}"/>
    <s v="ok"/>
    <n v="4"/>
  </r>
  <r>
    <x v="4"/>
    <s v="[MODE:code]_x000a_tolong bantu jawab ini_x000a_Batch GD menggunakan_x000a_*_x000a_Sebagian_x000a_Tanpa data_x000a_Semua data_x000a_1 data_x000a__x000a_............................."/>
    <s v="done"/>
    <s v="Batch Gradient Descent menggunakan: Semua data"/>
    <s v="```text_x000a_Batch Gradient Descent menggunakan: Semua data_x000a_```"/>
    <d v="2026-04-14T09:36:25"/>
    <x v="3"/>
    <n v="0"/>
    <n v="35"/>
    <n v="14"/>
    <n v="49"/>
    <n v="126"/>
    <n v="58"/>
    <n v="2304"/>
    <n v="2"/>
    <n v="3"/>
    <n v="2"/>
    <s v="Attempts to ask for help with Batch GD."/>
    <s v="Lacks clarity and specificity; unclear what is being asked."/>
    <s v="Directly addresses the topic of Batch Gradient Descent."/>
    <s v="Too vague; does not explain how to implement or use Batch GD."/>
    <s v="Bisa tolong jelaskan cara menggunakan Batch Gradient Descent dengan data sebagian dan semua data?"/>
    <s v="Provide a detailed explanation of Batch Gradient Descent and its implementation."/>
    <s v="weak"/>
    <b v="0"/>
    <s v="gpt-4o-mini"/>
    <s v="{&quot;prompt_score&quot;: 2, &quot;response_score&quot;: 3, &quot;overall_score&quot;: 2, &quot;prompt_strengths&quot;: &quot;Attempts to ask for help with Batch GD.&quot;, &quot;prompt_issues&quot;: &quot;Lacks clarity and specificity; unclear what is being asked.&quot;, &quot;response_strengths&quot;: &quot;Directly addresses the topic of Batch Gradient Descent.&quot;, &quot;response_issues&quot;: &quot;Too vague; does not explain how to implement or use Batch GD.&quot;, &quot;prompt_rewrite&quot;: &quot;Bisa tolong jelaskan cara menggunakan Batch Gradient Descent dengan data sebagian dan semua data?&quot;, &quot;response_improvement_suggestions&quot;: &quot;Provide a detailed explanation of Batch Gradient Descent and its implementation.&quot;, &quot;verdict&quot;: &quot;weak&quot;, &quot;needs_human_review&quot;: false}"/>
    <s v="ok"/>
    <n v="1"/>
  </r>
  <r>
    <x v="4"/>
    <s v="[MODE:code]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python_x000a_from sklearn.metrics import precision_recall_curve_x000a__x000a_precisions_forest, recalls_forest, thresholds_forest = precision_recall_curve(y_test, y_scores_forest)_x000a_```"/>
    <d v="2026-03-17T12:20:45"/>
    <x v="4"/>
    <n v="0"/>
    <n v="66"/>
    <n v="36"/>
    <n v="102"/>
    <n v="252"/>
    <n v="168"/>
    <n v="2502"/>
    <n v="4"/>
    <n v="5"/>
    <n v="5"/>
    <s v="Clear instructions and context for the task."/>
    <s v="Could specify the expected format of the output more clearly."/>
    <s v="Correct and complete implementation of the required function."/>
    <s v="None."/>
    <s v="Mari kita ambil score hasil prediksi dan kita simpan di y_scores_forest. Kemudian, panggil precision_recall_curve dengan y_test dan y_scores_forest. Tulis kode Anda di bagian ##### Your Code Here #####."/>
    <s v="None needed; response is complete and correct."/>
    <s v="excellent"/>
    <b v="0"/>
    <s v="gpt-4o-mini"/>
    <s v="{&quot;prompt_score&quot;: 4, &quot;response_score&quot;: 5, &quot;overall_score&quot;: 5, &quot;prompt_strengths&quot;: &quot;Clear instructions and context for the task.&quot;, &quot;prompt_issues&quot;: &quot;Could specify the expected format of the output more clearly.&quot;, &quot;response_strengths&quot;: &quot;Correct and complete implementation of the required function.&quot;, &quot;response_issues&quot;: &quot;None.&quot;, &quot;prompt_rewrite&quot;: &quot;Mari kita ambil score hasil prediksi dan kita simpan di y_scores_forest. Kemudian, panggil precision_recall_curve dengan y_test dan y_scores_forest. Tulis kode Anda di bagian ##### Your Code Here #####.&quot;, &quot;response_improvement_suggestions&quot;: &quot;None needed; response is complete and correct.&quot;, &quot;verdict&quot;: &quot;excellent&quot;, &quot;needs_human_review&quot;: false}"/>
    <s v="ok"/>
    <n v="5"/>
  </r>
  <r>
    <x v="4"/>
    <s v="[MODE:code]_x000a_Setelah model ini dilatih, evaluasi model yang sudah dilatih pada test set. tolong buatkan model accuracynya kemudian jelaskan codingannya secra teori setiap fungsinya"/>
    <s v="done"/>
    <s v="from sklearn.metrics import accuracy_score_x000a__x000a_# Prediksi label untuk data test_x000a_y_pred = knn_clf.predict(X_test)_x000a__x000a_# Hitung akurasi pada test set_x000a_test_accuracy = accuracy_score(y_test, y_pred)_x000a__x000a_test_accuracy"/>
    <s v="```python_x000a_from sklearn.metrics import accuracy_score_x000a__x000a_# Prediksi label untuk data test_x000a_y_pred = knn_clf.predict(X_test)_x000a__x000a_# Hitung akurasi pada test set_x000a_test_accuracy = accuracy_score(y_test, y_pred)_x000a__x000a_test_accuracy_x000a_```"/>
    <d v="2026-03-17T12:49:01"/>
    <x v="4"/>
    <n v="0"/>
    <n v="51"/>
    <n v="55"/>
    <n v="106"/>
    <n v="179"/>
    <n v="217"/>
    <n v="3480"/>
    <n v="3"/>
    <n v="4"/>
    <n v="3"/>
    <s v="The prompt is clear about the task and context."/>
    <s v="Lacks specificity in the explanation request and does not define the model type."/>
    <s v="The response provides relevant code and correctly uses accuracy_score."/>
    <s v="Lacks a theoretical explanation of the code functions as requested."/>
    <s v="[MODE:code] Setelah model ini dilatih, evaluasi model yang sudah dilatih pada test set. Tolong buatkan model accuracynya dan jelaskan setiap fungsi dalam kode secara teori."/>
    <s v="Add a detailed explanation of each function used in the code."/>
    <s v="fair"/>
    <b v="0"/>
    <s v="gpt-4o-mini"/>
    <s v="{&quot;prompt_score&quot;: 3, &quot;response_score&quot;: 4, &quot;overall_score&quot;: 3, &quot;prompt_strengths&quot;: &quot;The prompt is clear about the task and context.&quot;, &quot;prompt_issues&quot;: &quot;Lacks specificity in the explanation request and does not define the model type.&quot;, &quot;response_strengths&quot;: &quot;The response provides relevant code and correctly uses accuracy_score.&quot;, &quot;response_issues&quot;: &quot;Lacks a theoretical explanation of the code functions as requested.&quot;, &quot;prompt_rewrite&quot;: &quot;[MODE:code] Setelah model ini dilatih, evaluasi model yang sudah dilatih pada test set. Tolong buatkan model accuracynya dan jelaskan setiap fungsi dalam kode secara teori.&quot;, &quot;response_improvement_suggestions&quot;: &quot;Add a detailed explanation of each function used in the code.&quot;, &quot;verdict&quot;: &quot;fair&quot;, &quot;needs_human_review&quot;: false}"/>
    <s v="ok"/>
    <n v="3"/>
  </r>
  <r>
    <x v="4"/>
    <s v="[MODE:code]_x000a_Decision boundary_x000a_*_x000a_θ·x=1_x000a_θ·x=0_x000a_θ=0_x000a_y=0_x000a_......................................................................"/>
    <s v="done"/>
    <s v="θ·x = 0"/>
    <s v="θ·x = 0"/>
    <d v="2026-04-14T09:43:05"/>
    <x v="3"/>
    <n v="0"/>
    <n v="31"/>
    <n v="6"/>
    <n v="37"/>
    <n v="122"/>
    <n v="7"/>
    <n v="4659"/>
    <n v="2"/>
    <n v="3"/>
    <n v="2"/>
    <s v="Attempts to define decision boundaries."/>
    <s v="Lacks clarity and context; too vague."/>
    <s v="Directly addresses part of the prompt."/>
    <s v="Incomplete and lacks explanation."/>
    <s v="Explain the decision boundary equations and their significance in a clear context."/>
    <s v="Provide a more detailed explanation of the decision boundary and its implications."/>
    <s v="fair"/>
    <b v="0"/>
    <s v="gpt-4o-mini"/>
    <s v="{&quot;prompt_score&quot;: 2, &quot;response_score&quot;: 3, &quot;overall_score&quot;: 2, &quot;prompt_strengths&quot;: &quot;Attempts to define decision boundaries.&quot;, &quot;prompt_issues&quot;: &quot;Lacks clarity and context; too vague.&quot;, &quot;response_strengths&quot;: &quot;Directly addresses part of the prompt.&quot;, &quot;response_issues&quot;: &quot;Incomplete and lacks explanation.&quot;, &quot;prompt_rewrite&quot;: &quot;Explain the decision boundary equations and their significance in a clear context.&quot;, &quot;response_improvement_suggestions&quot;: &quot;Provide a more detailed explanation of the decision boundary and its implications.&quot;, &quot;verdict&quot;: &quot;fair&quot;, &quot;needs_human_review&quot;: false}"/>
    <s v="ok"/>
    <n v="3"/>
  </r>
  <r>
    <x v="5"/>
    <s v="[MODE:code]_x000a_---------------------------------------------------------------------------_x000a_Exception                                 Traceback (most recent call last)_x000a_Cell In[26], line 3_x000a_      1 # pastikan target tersedia_x000a_      2 if 'at_risk' not in df.columns:_x000a_----&gt; 3     raise Exception(&quot;Kolom at_risk belum dibuat&quot;)_x000a_      6 # ambil target sesuai index train dan test_x000a_      7 y = df['at_risk']_x000a__x000a_Exception: Kolom at_risk belum dibua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_x000a_    mean_squared_error, mean_absolute_error, r2_score,_x000a_    confusion_matrix, accuracy_score, precision_score, recall_score, f1_score_x000a_)_x000a__x000a_# =========================_x000a_# 0) LOAD DATA_x000a_# =========================_x000a_CSV_PATH = &quot;student_exam_performance_dataset (1).csv&quot;_x000a_df = pd.read_csv(CSV_PATH)_x000a__x000a_# =========================_x000a_# 1) FEATURE ENGINEERING (minimal 3 fitur turunan)_x000a_# =========================_x000a_def _find_col(candidates):_x000a_    for c in candidates:_x000a_        if c in df.columns:_x000a_            return c_x000a_    return None_x000a__x000a_attendance_col = _find_col([&quot;attendance_rate&quot;, &quot;attendance&quot;])_x000a_assignment_col = _find_col([&quot;assignment_completion_rate&quot;, &quot;assignment_completion&quot;])_x000a_participation_col = _find_col([&quot;participation_score&quot;, &quot;participation&quot;])_x000a__x000a_social_col = _find_col([&quot;social_media_hours&quot;, &quot;social_media_hours_per_day&quot;])_x000a_study_col = _find_col([&quot;study_hours_per_day&quot;, &quot;study_hours&quot;])_x000a__x000a_online_courses_col = _find_col([&quot;online_courses_completed&quot;, &quot;online_courses&quot;])_x000a_tutoring_col = _find_col([&quot;tutoring&quot;, &quot;tutoring_sessions&quot;, &quot;received_tutoring&quot;, &quot;tutoring_support&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ValueError(_x000a_        &quot;Kolom yang dibutuhkan untuk feature engineering tidak ditemukan: &quot;_x000a_        + &quot;, &quot;.join(missing)_x000a_        + &quot;\nKolom yang tersedia:\n&quot;_x000a_        + &quot;, &quot;.join(df.columns)_x000a_    )_x000a__x000a_# engagement_index: rata-rata dari 3 komponen (robust terhadap skala berbeda jika sudah 0-100)_x000a_df[&quot;engagement_index&quot;] = df[[attendance_col, assignment_col, participation_col]].mean(axis=1)_x000a__x000a_# digital_distraction_ratio: social_media_hours / (study_hours_per_day + 1e-6)_x000a_df[&quot;digital_distraction_ratio&quot;] = df[social_col] / (df[study_col].replace(0, np.nan))_x000a_df[&quot;digital_distraction_ratio&quot;] = df[&quot;digital_distraction_ratio&quot;].replace([np.inf, -np.inf], np.nan)_x000a__x000a_# support_score: online_courses_completed + tutoring (dibuat numerik 0/1 jika tutoring kategorikal)_x000a_if pd.api.types.is_numeric_dtype(df[tutoring_col]):_x000a_    tutoring_num = df[tutoring_col]_x000a_else:_x000a_    tutoring_num = df[tutoring_col].astype(str).str.strip().str.lower().map(_x000a_        {&quot;yes&quot;: 1, &quot;y&quot;: 1, &quot;true&quot;: 1, &quot;1&quot;: 1, &quot;no&quot;: 0, &quot;n&quot;: 0, &quot;false&quot;: 0, &quot;0&quot;: 0}_x000a_    )_x000a_df[&quot;support_score&quot;] = df[online_courses_col] + tutoring_num_x000a__x000a_# =========================_x000a_# 2) TARGET KLASIFIKASI at_risk (buat jika belum ada)_x000a_#    Prioritas:_x000a_#    - jika ada pass_fail -&gt; at_risk = (pass_fail == fail)_x000a_#    - else jika ada final_exam_score -&gt; at_risk = (final_exam_score &lt; median)_x000a_# =========================_x000a_if &quot;at_risk&quot; not in df.columns:_x000a_    if &quot;pass_fail&quot; in df.columns:_x000a_        s = df[&quot;pass_fail&quot;].astype(str).str.strip().str.lower()_x000a_        df[&quot;at_risk&quot;] = s.isin([&quot;fail&quot;, &quot;0&quot;, &quot;false&quot;, &quot;no&quot;]).astype(int)_x000a_    elif &quot;final_exam_score&quot; in df.columns:_x000a_        thr = df[&quot;final_exam_score&quot;].median()_x000a_        df[&quot;at_risk&quot;] = (df[&quot;final_exam_score&quot;] &lt; thr).astype(int)_x000a_    else:_x000a_        raise ValueError(&quot;Tidak bisa membuat at_risk: kolom 'pass_fail' atau 'final_exam_score' tidak ditemukan.&quot;)_x000a__x000a_# =========================_x000a_# 3) REGRESI: prediksi final_exam_score (tanpa leakage)_x000a_#    Hindari kolom yang langsung turunan/berkaitan dengan final_exam_score atau label._x000a_# =========================_x000a_if &quot;final_exam_score&quot; not in df.columns:_x000a_    raise ValueError(&quot;Kolom target regresi 'final_exam_score' tidak ditemukan.&quot;)_x000a__x000a_leakage_cols = set([_x000a_    &quot;final_exam_score&quot;,_x000a_    &quot;pass_fail&quot;,_x000a_    &quot;grade_category&quot;,"/>
    <d v="2026-04-15T14:41:54"/>
    <x v="3"/>
    <n v="0"/>
    <n v="103"/>
    <n v="1036"/>
    <n v="1139"/>
    <n v="432"/>
    <n v="4064"/>
    <n v="459"/>
    <n v="3"/>
    <n v="2"/>
    <n v="2"/>
    <s v="Identifies a specific error in code."/>
    <s v="Lacks clarity and context for broader understanding."/>
    <s v="Includes relevant imports for machine learning."/>
    <s v="Incomplete and does not address the prompt's issue."/>
    <s v="Explain the error regarding the 'at_risk' column and suggest how to create it."/>
    <s v="Provide a complete code snippet that includes the creation of the 'at_risk' column."/>
    <s v="fair"/>
    <b v="0"/>
    <s v="gpt-4o-mini"/>
    <s v="{&quot;prompt_score&quot;: 3, &quot;response_score&quot;: 2, &quot;overall_score&quot;: 2, &quot;prompt_strengths&quot;: &quot;Identifies a specific error in code.&quot;, &quot;prompt_issues&quot;: &quot;Lacks clarity and context for broader understanding.&quot;, &quot;response_strengths&quot;: &quot;Includes relevant imports for machine learning.&quot;, &quot;response_issues&quot;: &quot;Incomplete and does not address the prompt's issue.&quot;, &quot;prompt_rewrite&quot;: &quot;Explain the error regarding the 'at_risk' column and suggest how to create it.&quot;, &quot;response_improvement_suggestions&quot;: &quot;Provide a complete code snippet that includes the creation of the 'at_risk' column.&quot;, &quot;verdict&quot;: &quot;fair&quot;, &quot;needs_human_review&quot;: false}"/>
    <s v="ok"/>
    <n v="3"/>
  </r>
  <r>
    <x v="5"/>
    <s v="[MODE:code]_x000a_Halo, saya mahasiswa semester 6, Teknik Informatika lagi ngerjain praktikum Kecerdasan Mesin._x000a__x000a_Di bagian ini saya diminta membuat fungsi evaluasi model regresi, yaitu:_x000a_1. mse(y_true, y_pred)_x000a_2. rmse(y_true, y_pred)_x000a_3. r2_score(y_true, y_pred)_x000a__x000a_Instruksinya:_x000a_- MSE = mean((y_true - y_pred)^2)_x000a_- RMSE = sqrt(MSE)_x000a_- R² = 1 - (SS_res / SS_tot)_x000a__x000a_Saya ingin mengimplementasikan semuanya menggunakan numpy dan hasilnya berupa satu nilai (skalar)._x000a__x000a_Boleh dibantu contoh implementasi ketiga fungsi tersebut?"/>
    <s v="done"/>
    <s v="import numpy as np_x000a__x000a_def mse(y_true, y_pred):_x000a_    y_true = np.asarray(y_true).reshape(-1)_x000a_    y_pred = np.asarray(y_pred).reshape(-1)_x000a_    if y_true.shape[0] != y_pred.shape[0]:_x000a_        raise ValueError(&quot;y_true and y_pred must have the same length.&quot;)_x000a_    diff = y_true - y_pred_x000a_    return (diff @ diff) / y_true.shape[0]_x000a__x000a_def rmse(y_true, y_pred):_x000a_    return np.sqrt(mse(y_true, y_pred))_x000a__x000a_def r2_score(y_true, y_pred):_x000a_    y_true = np.asarray(y_true).reshape(-1)_x000a_    y_pred = np.asarray(y_pred).reshape(-1)_x000a_    if y_true.shape[0] != y_pred.shape[0]:_x000a_        raise ValueError(&quot;y_true and y_pred must have the same length.&quot;)_x000a__x000a_    ss_res = np.sum((y_true - y_pred) ** 2)_x000a_    y_mean = np.mean(y_true)_x000a_    ss_tot = np.sum((y_true - y_mean) ** 2)_x000a__x000a_    if ss_tot == 0.0:_x000a_        return 1.0 if ss_res == 0.0 else 0.0_x000a__x000a_    return 1.0 - (ss_res / ss_tot)"/>
    <s v="```python_x000a_import numpy as np_x000a__x000a_def mse(y_true, y_pred):_x000a_    y_true = np.asarray(y_true).reshape(-1)_x000a_    y_pred = np.asarray(y_pred).reshape(-1)_x000a_    if y_true.shape[0] != y_pred.shape[0]:_x000a_        raise ValueError(&quot;y_true and y_pred must have the same length.&quot;)_x000a_    diff = y_true - y_pred_x000a_    return (diff @ diff) / y_true.shape[0]_x000a__x000a_def rmse(y_true, y_pred):_x000a_    return np.sqrt(mse(y_true, y_pred))_x000a__x000a_def r2_score(y_true, y_pred):_x000a_    y_true = np.asarray(y_true).reshape(-1)_x000a_    y_pred = np.asarray(y_pred).reshape(-1)_x000a_    if y_true.shape[0] != y_pred.shape[0]:_x000a_        raise ValueError(&quot;y_true and y_pred must have the same length.&quot;)_x000a__x000a_    ss_res = np.sum((y_true - y_pred) ** 2)_x000a_    y_mean = np.mean(y_true)_x000a_    ss_tot = np.sum((y_true - y_mean) ** 2)_x000a__x000a_    if ss_tot == 0.0:_x000a_        return 1.0 if ss_res == 0.0 else 0.0_x000a__x000a_    return 1.0 - (ss_res / ss_tot)_x000a_```"/>
    <d v="2026-04-01T13:31:30"/>
    <x v="5"/>
    <n v="0"/>
    <n v="163"/>
    <n v="270"/>
    <n v="433"/>
    <n v="510"/>
    <n v="856"/>
    <n v="840"/>
    <n v="5"/>
    <n v="5"/>
    <n v="5"/>
    <s v="Clear and specific request for implementation of regression evaluation functions."/>
    <s v="None."/>
    <s v="Correct implementation of all requested functions with appropriate error handling."/>
    <s v="None."/>
    <s v="Halo, saya mahasiswa semester 6, Teknik Informatika. Saya sedang mengerjakan praktikum Kecerdasan Mesin dan perlu bantuan untuk membuat fungsi evaluasi model regresi: mse(y_true, y_pred), rmse(y_true, y_pred), dan r2_score(y_true, y_pred) menggunakan numpy. Hasilnya harus berupa satu nilai skalar. Mohon contoh implementasi ketiga fungsi tersebut."/>
    <s v="Consider adding example usage for the functions to enhance clarity."/>
    <s v="excellent"/>
    <b v="0"/>
    <s v="gpt-4o-mini"/>
    <s v="{&quot;prompt_score&quot;: 5, &quot;response_score&quot;: 5, &quot;overall_score&quot;: 5, &quot;prompt_strengths&quot;: &quot;Clear and specific request for implementation of regression evaluation functions.&quot;, &quot;prompt_issues&quot;: &quot;None.&quot;, &quot;response_strengths&quot;: &quot;Correct implementation of all requested functions with appropriate error handling.&quot;, &quot;response_issues&quot;: &quot;None.&quot;, &quot;prompt_rewrite&quot;: &quot;Halo, saya mahasiswa semester 6, Teknik Informatika. Saya sedang mengerjakan praktikum Kecerdasan Mesin dan perlu bantuan untuk membuat fungsi evaluasi model regresi: mse(y_true, y_pred), rmse(y_true, y_pred), dan r2_score(y_true, y_pred) menggunakan numpy. Hasilnya harus berupa satu nilai skalar. Mohon contoh implementasi ketiga fungsi tersebut.&quot;, &quot;response_improvement_suggestions&quot;: &quot;Consider adding example usage for the functions to enhance clarity.&quot;, &quot;verdict&quot;: &quot;excellent&quot;, &quot;needs_human_review&quot;: false}"/>
    <s v="ok"/>
    <n v="5"/>
  </r>
  <r>
    <x v="5"/>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_x000a_```"/>
    <d v="2026-02-25T15:46:05"/>
    <x v="1"/>
    <n v="0"/>
    <n v="91"/>
    <n v="518"/>
    <n v="609"/>
    <n v="354"/>
    <n v="2257"/>
    <n v="2145"/>
    <n v="4"/>
    <n v="5"/>
    <n v="5"/>
    <s v="Clear request for help with specific datasets."/>
    <s v="Could benefit from clearer structure and formatting."/>
    <s v="Comprehensive and correct code addressing the prompt's needs."/>
    <s v="None significant; code is well-structured and clear."/>
    <s v="Saya, Stepanu Sugianto, mahasiswa Teknik Informatika angkatan 2023, membutuhkan bantuan untuk menganalisis dataset housing_dataset.csv dan housing_labels.csv. Bagaimana cara memeriksa nilai null dalam kedua dataset tersebut?"/>
    <s v="Consider adding comments to explain each section of the code for better clarity."/>
    <s v="excellent"/>
    <b v="0"/>
    <s v="gpt-4o-mini"/>
    <s v="{&quot;prompt_score&quot;: 4, &quot;response_score&quot;: 5, &quot;overall_score&quot;: 5, &quot;prompt_strengths&quot;: &quot;Clear request for help with specific datasets.&quot;, &quot;prompt_issues&quot;: &quot;Could benefit from clearer structure and formatting.&quot;, &quot;response_strengths&quot;: &quot;Comprehensive and correct code addressing the prompt's needs.&quot;, &quot;response_issues&quot;: &quot;None significant; code is well-structured and clear.&quot;, &quot;prompt_rewrite&quot;: &quot;Saya, Stepanu Sugianto, mahasiswa Teknik Informatika angkatan 2023, membutuhkan bantuan untuk menganalisis dataset housing_dataset.csv dan housing_labels.csv. Bagaimana cara memeriksa nilai null dalam kedua dataset tersebut?&quot;, &quot;response_improvement_suggestions&quot;: &quot;Consider adding comments to explain each section of the code for better clarity.&quot;, &quot;verdict&quot;: &quot;excellent&quot;, &quot;needs_human_review&quot;: false}"/>
    <s v="ok"/>
    <n v="5"/>
  </r>
  <r>
    <x v="5"/>
    <s v="[LANG:Python]_x000a_[MODE:code]_x000a_Cell In[63], line 19_x000a_X_train X test, y train, y_test, train_test_split(X, y, test size=0.2, random_state=42)_x000a_SyntaxError: invalid syntax_x000a__x000a_bagaimana mengatasinya"/>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    X, y, test_size=0.2, random_state=42_x000a_)_x000a_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_x000a_                              OneHotEncoder(handle_unknown=&quot;ignore&quot;)), cat_cols),_x000a_    ]_x000a_)_x000a__x000a_model = Pipeline([_x000a_    (&quot;preprocess&quot;, preprocess),_x000a_    (&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    X, y, test_size=0.2, random_state=42_x000a_)_x000a_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_x000a_                              OneHotEncoder(handle_unknown=&quot;ignore&quot;)), cat_cols),_x000a_    ]_x000a_)_x000a__x000a_model = Pipeline([_x000a_    (&quot;preprocess&quot;, preprocess),_x000a_    (&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_x000a_```"/>
    <d v="2026-02-25T16:27:49"/>
    <x v="1"/>
    <n v="0"/>
    <n v="61"/>
    <n v="390"/>
    <n v="451"/>
    <n v="186"/>
    <n v="1757"/>
    <n v="3474"/>
    <n v="3"/>
    <n v="4"/>
    <n v="3"/>
    <s v="Identifies a specific syntax error."/>
    <s v="Lacks clarity and context for the error."/>
    <s v="Provides a complete and correct code solution."/>
    <s v="Could improve clarity in explaining the fix."/>
    <s v="How can I fix the SyntaxError in my Python code related to train_test_split?"/>
    <s v="Add comments explaining each step of the code."/>
    <s v="good"/>
    <b v="0"/>
    <s v="gpt-4o-mini"/>
    <s v="{&quot;prompt_score&quot;: 3, &quot;response_score&quot;: 4, &quot;overall_score&quot;: 3, &quot;prompt_strengths&quot;: &quot;Identifies a specific syntax error.&quot;, &quot;prompt_issues&quot;: &quot;Lacks clarity and context for the error.&quot;, &quot;response_strengths&quot;: &quot;Provides a complete and correct code solution.&quot;, &quot;response_issues&quot;: &quot;Could improve clarity in explaining the fix.&quot;, &quot;prompt_rewrite&quot;: &quot;How can I fix the SyntaxError in my Python code related to train_test_split?&quot;, &quot;response_improvement_suggestions&quot;: &quot;Add comments explaining each step of the code.&quot;, &quot;verdict&quot;: &quot;good&quot;, &quot;needs_human_review&quot;: false}"/>
    <s v="ok"/>
    <n v="4"/>
  </r>
  <r>
    <x v="6"/>
    <s v="[MODE:code]_x000a_buatkan kode untuk melatih grid menggunakan .fit, menggunakan bahasa python di jupyternotebook........"/>
    <s v="done"/>
    <s v="grid.fit(X_train, y_train)"/>
    <s v="```python_x000a_grid.fit(X_train, y_train)_x000a_```"/>
    <d v="2026-03-10T12:20:47"/>
    <x v="2"/>
    <n v="0"/>
    <n v="28"/>
    <n v="12"/>
    <n v="40"/>
    <n v="114"/>
    <n v="40"/>
    <n v="946"/>
    <n v="3"/>
    <n v="2"/>
    <n v="2"/>
    <s v="The prompt specifies the use of Python and Jupyter Notebook."/>
    <s v="Lacks clarity and specificity regarding the type of grid and additional context."/>
    <s v="The response is relevant to the prompt."/>
    <s v="Incomplete and lacks explanation or context for the code provided."/>
    <s v="Buatkan kode Python untuk melatih model grid search menggunakan .fit() di Jupyter Notebook, sertakan penjelasan."/>
    <s v="Provide a complete code snippet with context and explanation."/>
    <s v="fair"/>
    <b v="0"/>
    <s v="gpt-4o-mini"/>
    <s v="{&quot;prompt_score&quot;: 3, &quot;response_score&quot;: 2, &quot;overall_score&quot;: 2, &quot;prompt_strengths&quot;: &quot;The prompt specifies the use of Python and Jupyter Notebook.&quot;, &quot;prompt_issues&quot;: &quot;Lacks clarity and specificity regarding the type of grid and additional context.&quot;, &quot;response_strengths&quot;: &quot;The response is relevant to the prompt.&quot;, &quot;response_issues&quot;: &quot;Incomplete and lacks explanation or context for the code provided.&quot;, &quot;prompt_rewrite&quot;: &quot;Buatkan kode Python untuk melatih model grid search menggunakan .fit() di Jupyter Notebook, sertakan penjelasan.&quot;, &quot;response_improvement_suggestions&quot;: &quot;Provide a complete code snippet with context and explanation.&quot;, &quot;verdict&quot;: &quot;fair&quot;, &quot;needs_human_review&quot;: false}"/>
    <s v="ok"/>
    <n v="3"/>
  </r>
  <r>
    <x v="6"/>
    <s v="[MODE:code]_x000a_buatkan kode untuk membuat statistik deskriptif, clue : use describe() dengan menggunakan bahasa python_x000a_untuk menghasilkan_x000a_print(&quot;Jumlah nilai 0 pada tiap kolom:&quot;)_x000a_print((dataframe[['Pregnancies','Glucose','BloodPressure','SkinThickness','Insulin','BMI','DiabetesPedigreeFunction','Age','Outcome']] == 0).sum())"/>
    <s v="done"/>
    <s v="print(&quot;Statistik deskriptif:&quot;)_x000a_print(dataframe.describe())_x000a__x000a_print(&quot;Jumlah nilai 0 pada tiap kolom:&quot;)_x000a_print((dataframe[['Pregnancies','Glucose','BloodPressure','SkinThickness','Insulin','BMI','DiabetesPedigreeFunction','Age','Outcome']] == 0).sum())"/>
    <s v="```python_x000a_print(&quot;Statistik deskriptif:&quot;)_x000a_print(dataframe.describe())_x000a__x000a_print(&quot;Jumlah nilai 0 pada tiap kolom:&quot;)_x000a_print((dataframe[['Pregnancies','Glucose','BloodPressure','SkinThickness','Insulin','BMI','DiabetesPedigreeFunction','Age','Outcome']] == 0).sum())_x000a_```"/>
    <d v="2026-03-10T11:47:32"/>
    <x v="2"/>
    <n v="0"/>
    <n v="87"/>
    <n v="71"/>
    <n v="158"/>
    <n v="323"/>
    <n v="262"/>
    <n v="1159"/>
    <n v="4"/>
    <n v="5"/>
    <n v="4"/>
    <s v="Clear instructions and specific requirements."/>
    <s v="Could provide more context on the dataset."/>
    <s v="Directly addresses the prompt with correct code."/>
    <s v="None, response is complete and clear."/>
    <s v="Buatkan kode Python untuk menghasilkan statistik deskriptif menggunakan describe() dan menghitung jumlah nilai 0 pada kolom tertentu dalam dataframe."/>
    <s v="None needed, response is already complete."/>
    <s v="excellent"/>
    <b v="0"/>
    <s v="gpt-4o-mini"/>
    <s v="{&quot;prompt_score&quot;: 4, &quot;response_score&quot;: 5, &quot;overall_score&quot;: 4, &quot;prompt_strengths&quot;: &quot;Clear instructions and specific requirements.&quot;, &quot;prompt_issues&quot;: &quot;Could provide more context on the dataset.&quot;, &quot;response_strengths&quot;: &quot;Directly addresses the prompt with correct code.&quot;, &quot;response_issues&quot;: &quot;None, response is complete and clear.&quot;, &quot;prompt_rewrite&quot;: &quot;Buatkan kode Python untuk menghasilkan statistik deskriptif menggunakan describe() dan menghitung jumlah nilai 0 pada kolom tertentu dalam dataframe.&quot;, &quot;response_improvement_suggestions&quot;: &quot;None needed, response is already complete.&quot;, &quot;verdict&quot;: &quot;excellent&quot;, &quot;needs_human_review&quot;: false}"/>
    <s v="ok"/>
    <n v="5"/>
  </r>
  <r>
    <x v="6"/>
    <s v="[MODE:code]_x000a_---------------------------------------------------------------------------_x000a_ModuleNotFoundError                       Traceback (most recent call last)_x000a_Cell In[1], line 5_x000a_      3 from sklearn.model_selection import train_test_split_x000a_      4 from sklearn.linear_model import LogisticRegression_x000a_----&gt; 5 import kagglehub_x000a__x000a_ModuleNotFoundError: No module named 'kagglehub'_x000a__x000a__x000a_terjadi error seperti diatas, berikan saya solusinya"/>
    <s v="done"/>
    <s v="# Opsi 1 (disarankan): install kagglehub di Jupyter_x000a_%pip install -q kagglehub_x000a__x000a_import kagglehub_x000a_print(&quot;kagglehub version:&quot;, kagglehub.__version__)"/>
    <s v="```python_x000a_# Opsi 1 (disarankan): install kagglehub di Jupyter_x000a_%pip install -q kagglehub_x000a__x000a_import kagglehub_x000a_print(&quot;kagglehub version:&quot;, kagglehub.__version__)_x000a_```"/>
    <d v="2026-03-17T11:49:32"/>
    <x v="4"/>
    <n v="0"/>
    <n v="85"/>
    <n v="54"/>
    <n v="139"/>
    <n v="433"/>
    <n v="160"/>
    <n v="1287"/>
    <n v="4"/>
    <n v="4"/>
    <n v="4"/>
    <s v="Clear error message and request for a solution."/>
    <s v="Could provide more context about the environment or setup."/>
    <s v="Directly addresses the error with a clear solution."/>
    <s v="Could include additional troubleshooting steps or explanations."/>
    <s v="Saya mengalami error 'ModuleNotFoundError: No module named 'kagglehub' saat menjalankan kode di Jupyter. Apa solusinya?"/>
    <s v="Add more context on what 'kagglehub' is and alternative solutions if installation fails."/>
    <s v="good"/>
    <b v="0"/>
    <s v="gpt-4o-mini"/>
    <s v="{&quot;prompt_score&quot;: 4, &quot;response_score&quot;: 4, &quot;overall_score&quot;: 4, &quot;prompt_strengths&quot;: &quot;Clear error message and request for a solution.&quot;, &quot;prompt_issues&quot;: &quot;Could provide more context about the environment or setup.&quot;, &quot;response_strengths&quot;: &quot;Directly addresses the error with a clear solution.&quot;, &quot;response_issues&quot;: &quot;Could include additional troubleshooting steps or explanations.&quot;, &quot;prompt_rewrite&quot;: &quot;Saya mengalami error 'ModuleNotFoundError: No module named 'kagglehub' saat menjalankan kode di Jupyter. Apa solusinya?&quot;, &quot;response_improvement_suggestions&quot;: &quot;Add more context on what 'kagglehub' is and alternative solutions if installation fails.&quot;, &quot;verdict&quot;: &quot;good&quot;, &quot;needs_human_review&quot;: false}"/>
    <s v="ok"/>
    <n v="4"/>
  </r>
  <r>
    <x v="6"/>
    <s v="[MODE:code]_x000a_buatkan kode untuk membuat variabel loocv dari kelas LeaveOneOut, menggunakan bahasa python di jupyternotebook"/>
    <s v="done"/>
    <s v="from sklearn.model_selection import LeaveOneOut_x000a__x000a_loocv = LeaveOneOut()"/>
    <s v="```python_x000a_from sklearn.model_selection import LeaveOneOut_x000a__x000a_loocv = LeaveOneOut()_x000a_```"/>
    <d v="2026-03-10T12:23:15"/>
    <x v="2"/>
    <n v="0"/>
    <n v="32"/>
    <n v="21"/>
    <n v="53"/>
    <n v="122"/>
    <n v="84"/>
    <n v="1976"/>
    <n v="4"/>
    <n v="4"/>
    <n v="4"/>
    <s v="Clear and specific request for code."/>
    <s v="Could provide more context on usage."/>
    <s v="Correct and relevant code snippet."/>
    <s v="Lacks explanation or context for the code."/>
    <s v="Buatkan kode Python di Jupyter Notebook untuk membuat variabel loocv dari kelas LeaveOneOut, dan jelaskan penggunaannya."/>
    <s v="Add comments or explanations for clarity."/>
    <s v="good"/>
    <b v="0"/>
    <s v="gpt-4o-mini"/>
    <s v="{&quot;prompt_score&quot;: 4, &quot;response_score&quot;: 4, &quot;overall_score&quot;: 4, &quot;prompt_strengths&quot;: &quot;Clear and specific request for code.&quot;, &quot;prompt_issues&quot;: &quot;Could provide more context on usage.&quot;, &quot;response_strengths&quot;: &quot;Correct and relevant code snippet.&quot;, &quot;response_issues&quot;: &quot;Lacks explanation or context for the code.&quot;, &quot;prompt_rewrite&quot;: &quot;Buatkan kode Python di Jupyter Notebook untuk membuat variabel loocv dari kelas LeaveOneOut, dan jelaskan penggunaannya.&quot;, &quot;response_improvement_suggestions&quot;: &quot;Add comments or explanations for clarity.&quot;, &quot;verdict&quot;: &quot;good&quot;, &quot;needs_human_review&quot;: false}"/>
    <s v="ok"/>
    <n v="4"/>
  </r>
  <r>
    <x v="6"/>
    <s v="[MODE:code]_x000a_[ASSESSMENT_ID:1771cf81-0a65-11f1-b762-3e0936ad7efb]_x000a_[FORCE_GPT:true]_x000a_[AUTO_FALLBACK:true]_x000a_Buatkan kode untuk membuat variabel dengan nama &quot;filename&quot; dan isi variabel bertipe string, yaitu pima-indians-diabetes.data.csv. menggunakan bahasa python di jupyternotebook"/>
    <s v="done"/>
    <s v="filename = &quot;pima-indians-diabetes.data.csv&quot;"/>
    <s v="```python_x000a_filename = &quot;pima-indians-diabetes.data.csv&quot;_x000a_```"/>
    <d v="2026-03-17T11:47:20"/>
    <x v="4"/>
    <n v="0"/>
    <n v="91"/>
    <n v="16"/>
    <n v="107"/>
    <n v="277"/>
    <n v="57"/>
    <n v="2347"/>
    <n v="4"/>
    <n v="5"/>
    <n v="4"/>
    <s v="Clear and specific about the task."/>
    <s v="Could provide more context on usage."/>
    <s v="Correct and complete code for the task."/>
    <s v="None."/>
    <s v="Buatkan kode Python di Jupyter Notebook untuk membuat variabel bernama &quot;filename&quot; yang berisi string &quot;pima-indians-diabetes.data.csv&quot;."/>
    <s v="No improvements needed."/>
    <s v="good"/>
    <b v="0"/>
    <s v="gpt-4o-mini"/>
    <s v="{&quot;prompt_score&quot;: 4, &quot;response_score&quot;: 5, &quot;overall_score&quot;: 4, &quot;prompt_strengths&quot;: &quot;Clear and specific about the task.&quot;, &quot;prompt_issues&quot;: &quot;Could provide more context on usage.&quot;, &quot;response_strengths&quot;: &quot;Correct and complete code for the task.&quot;, &quot;response_issues&quot;: &quot;None.&quot;, &quot;prompt_rewrite&quot;: &quot;Buatkan kode Python di Jupyter Notebook untuk membuat variabel bernama \&quot;filename\&quot; yang berisi string \&quot;pima-indians-diabetes.data.csv\&quot;.&quot;, &quot;response_improvement_suggestions&quot;: &quot;No improvements needed.&quot;, &quot;verdict&quot;: &quot;good&quot;, &quot;needs_human_review&quot;: false}"/>
    <s v="ok"/>
    <n v="4"/>
  </r>
  <r>
    <x v="6"/>
    <s v="[MODE:code]_x000a_from pathlib import Path_x000a_import pandas as pd_x000a_import tarfile_x000a_import urllib.request_x000a__x000a_def load_housing_data():_x000a_    tarball_path = Path(&quot;datasets/housing.tgz&quot;)_x000a_    if not tarball_path.is_file():_x000a_        Path(&quot;datasets&quot;).mkdir(parents=True, exist_ok=True)_x000a_        url = &quot;https://github.com/ageron/data/raw/main/housing.tgz&quot;_x000a_        urllib.request.urlretrieve(url, tarball_path)_x000a_    with tarfile.open(tarball_path) as housing_tarball:_x000a_            housing_tarball.extractall(path=&quot;datasets&quot;)_x000a_    return pd.read_csv(Path(&quot;datasets/housing/housing.csv&quot;))_x000a_df = insurance.csv() ## YOUR CODE HERE ##_x000a__x000a_perbaiki kode diatas agar bisa load dataset di insurance.csv_x000a_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ini isi import an yang tidkak boleh diganti"/>
    <s v="done"/>
    <s v="from pathlib import Path_x000a_import pandas as pd_x000a_import tarfile_x000a_import urllib.request_x000a__x000a_def load_insurance_data(csv_path=&quot;datasets/insurance.csv&quot;, url=None):_x000a_    csv_path = Path(csv_path)_x000a_    if not csv_path.is_file():_x000a_        csv_path.parent.mkdir(parents=True, exist_ok=True)_x000a_        if url is not None:_x000a_            urllib.request.urlretrieve(url, csv_path)_x000a_        else:_x000a_            raise FileNotFoundError(_x000a_                f&quot;File tidak ditemukan: {csv_path}. &quot;_x000a_                f&quot;Letakkan insurance.csv di folder tersebut atau berikan parameter url.&quot;_x000a_            )_x000a_    return pd.read_csv(csv_path)_x000a__x000a_df = load_insurance_data()"/>
    <s v="```python_x000a_from pathlib import Path_x000a_import pandas as pd_x000a_import tarfile_x000a_import urllib.request_x000a__x000a_def load_insurance_data(csv_path=&quot;datasets/insurance.csv&quot;, url=None):_x000a_    csv_path = Path(csv_path)_x000a_    if not csv_path.is_file():_x000a_        csv_path.parent.mkdir(parents=True, exist_ok=True)_x000a_        if url is not None:_x000a_            urllib.request.urlretrieve(url, csv_path)_x000a_        else:_x000a_            raise FileNotFoundError(_x000a_                f&quot;File tidak ditemukan: {csv_path}. &quot;_x000a_                f&quot;Letakkan insurance.csv di folder tersebut atau berikan parameter url.&quot;_x000a_            )_x000a_    return pd.read_csv(csv_path)_x000a__x000a_df = load_insurance_data()_x000a_```"/>
    <d v="2026-03-03T11:54:13"/>
    <x v="6"/>
    <n v="0"/>
    <n v="270"/>
    <n v="139"/>
    <n v="409"/>
    <n v="1240"/>
    <n v="637"/>
    <n v="2659"/>
    <n v="3"/>
    <n v="4"/>
    <n v="3"/>
    <s v="Includes specific requirements and context for the code."/>
    <s v="Lacks clarity in instructions and has some formatting issues."/>
    <s v="Correctly addresses the task and provides a functional code snippet."/>
    <s v="Could improve clarity and provide more context on usage."/>
    <s v="Modify the code to load the dataset from 'insurance.csv' instead of 'housing.csv'. Ensure the imports remain unchanged."/>
    <s v="Add comments to explain the code and clarify the parameters."/>
    <s v="good"/>
    <b v="0"/>
    <s v="gpt-4o-mini"/>
    <s v="{&quot;prompt_score&quot;: 3, &quot;response_score&quot;: 4, &quot;overall_score&quot;: 3, &quot;prompt_strengths&quot;: &quot;Includes specific requirements and context for the code.&quot;, &quot;prompt_issues&quot;: &quot;Lacks clarity in instructions and has some formatting issues.&quot;, &quot;response_strengths&quot;: &quot;Correctly addresses the task and provides a functional code snippet.&quot;, &quot;response_issues&quot;: &quot;Could improve clarity and provide more context on usage.&quot;, &quot;prompt_rewrite&quot;: &quot;Modify the code to load the dataset from 'insurance.csv' instead of 'housing.csv'. Ensure the imports remain unchanged.&quot;, &quot;response_improvement_suggestions&quot;: &quot;Add comments to explain the code and clarify the parameters.&quot;, &quot;verdict&quot;: &quot;good&quot;, &quot;needs_human_review&quot;: false}"/>
    <s v="ok"/>
    <n v="4"/>
  </r>
  <r>
    <x v="6"/>
    <s v="[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python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
    <d v="2026-02-24T12:37:18"/>
    <x v="1"/>
    <n v="0"/>
    <n v="86"/>
    <n v="588"/>
    <n v="674"/>
    <n v="328"/>
    <n v="2617"/>
    <n v="2951"/>
    <n v="3"/>
    <n v="5"/>
    <n v="4"/>
    <s v="Identifies a specific error and context."/>
    <s v="Lacks clarity in asking for a solution."/>
    <s v="Provides a comprehensive and correct solution."/>
    <s v="Could be better organized for readability."/>
    <s v="How can I resolve the NameError regarding 'preprocessing' in my pipeline code?"/>
    <s v="Add comments to clarify each section of the code for better understanding."/>
    <s v="good"/>
    <b v="0"/>
    <s v="gpt-4o-mini"/>
    <s v="{&quot;prompt_score&quot;: 3, &quot;response_score&quot;: 5, &quot;overall_score&quot;: 4, &quot;prompt_strengths&quot;: &quot;Identifies a specific error and context.&quot;, &quot;prompt_issues&quot;: &quot;Lacks clarity in asking for a solution.&quot;, &quot;response_strengths&quot;: &quot;Provides a comprehensive and correct solution.&quot;, &quot;response_issues&quot;: &quot;Could be better organized for readability.&quot;, &quot;prompt_rewrite&quot;: &quot;How can I resolve the NameError regarding 'preprocessing' in my pipeline code?&quot;, &quot;response_improvement_suggestions&quot;: &quot;Add comments to clarify each section of the code for better understanding.&quot;, &quot;verdict&quot;: &quot;good&quot;, &quot;needs_human_review&quot;: false}"/>
    <s v="ok"/>
    <n v="4"/>
  </r>
  <r>
    <x v="6"/>
    <s v="[MODE:code]_x000a_buatkan kode untuk membuat statistik deskriptif, clue : use describe() dengan menggunakan bahasa python"/>
    <s v="done"/>
    <s v="stats = dataframe.describe()"/>
    <s v="```python_x000a_stats = dataframe.describe()_x000a_```"/>
    <d v="2026-03-10T11:45:07"/>
    <x v="2"/>
    <n v="0"/>
    <n v="27"/>
    <n v="9"/>
    <n v="36"/>
    <n v="115"/>
    <n v="42"/>
    <n v="4252"/>
    <n v="4"/>
    <n v="3"/>
    <n v="3"/>
    <s v="Clear request for Python code."/>
    <s v="Could specify the type of dataframe or additional statistics needed."/>
    <s v="Directly addresses the prompt with relevant code."/>
    <s v="Lacks explanation and context; does not handle potential errors or dataframe setup."/>
    <s v="Buatkan kode Python untuk menghasilkan statistik deskriptif menggunakan describe() pada dataframe yang berisi data penjualan."/>
    <s v="Include a brief explanation of the code and how to set up the dataframe."/>
    <s v="fair"/>
    <b v="0"/>
    <s v="gpt-4o-mini"/>
    <s v="{&quot;prompt_score&quot;: 4, &quot;response_score&quot;: 3, &quot;overall_score&quot;: 3, &quot;prompt_strengths&quot;: &quot;Clear request for Python code.&quot;, &quot;prompt_issues&quot;: &quot;Could specify the type of dataframe or additional statistics needed.&quot;, &quot;response_strengths&quot;: &quot;Directly addresses the prompt with relevant code.&quot;, &quot;response_issues&quot;: &quot;Lacks explanation and context; does not handle potential errors or dataframe setup.&quot;, &quot;prompt_rewrite&quot;: &quot;Buatkan kode Python untuk menghasilkan statistik deskriptif menggunakan describe() pada dataframe yang berisi data penjualan.&quot;, &quot;response_improvement_suggestions&quot;: &quot;Include a brief explanation of the code and how to set up the dataframe.&quot;, &quot;verdict&quot;: &quot;fair&quot;, &quot;needs_human_review&quot;: false}"/>
    <s v="ok"/>
    <n v="3"/>
  </r>
  <r>
    <x v="7"/>
    <s v="[LANG:Python]_x000a_[MODE:summary_code_explanation]_x000a_selanjutnya saya harus membuat pipeline dengan preprocessing dan SVR(), buatkan codenya dan jelaskan"/>
    <s v="done"/>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    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    remainder=&quot;drop&quot;_x000a_)_x000a__x000a_# Model SVR (umumnya butuh scaling -&gt; sudah dilakukan di numeric_preprocess)_x000a_model = SVR(kernel=&quot;rbf&quot;, C=10.0, epsilon=0.1)_x000a__x000a_# Pipeline full: preprocess -&gt; model_x000a_pipe = Pipeline(steps=[_x000a_    (&quot;preprocess&quot;, preprocess),_x000a_    (&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 **Numerik**: `SimpleImputer(median)` untuk mengisi null + `StandardScaler()` karena SVR sensitif terhadap skala._x000a_  -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 `C`: seberapa kuat penalti error (lebih besar = lebih “ketat” fit)._x000a_  - `epsilon`: lebar margin error yang diabaikan._x000a_- Evaluasi:_x000a_  - **RMSE**: penalti besar untuk error besar._x000a_  - **MAE**: rata-rata error absolut (lebih robust)._x000a_  - **R²**: seberapa baik variasi target dijelaskan model._x000a__x000a_Kalau kamu kasih info kolom mana yang kategorikal/numerik (atau output `housing_dataset.dtypes`), aku bisa bantu set pipeline yang lebih spesifik dan tuning `C/epsilon/gamma` dengan `GridSearchCV`."/>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    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    remainder=&quot;drop&quot;_x000a_)_x000a__x000a_# Model SVR (umumnya butuh scaling -&gt; sudah dilakukan di numeric_preprocess)_x000a_model = SVR(kernel=&quot;rbf&quot;, C=10.0, epsilon=0.1)_x000a__x000a_# Pipeline full: preprocess -&gt; model_x000a_pipe = Pipeline(steps=[_x000a_    (&quot;preprocess&quot;, preprocess),_x000a_    (&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 **Numerik**: `SimpleImputer(median)` untuk mengisi null + `StandardScaler()` karena SVR sensitif terhadap skala._x000a_  -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 `C`: seberapa kuat penalti error (lebih besar = lebih “ketat” fit)._x000a_  - `epsilon`: lebar margin error yang diabaikan._x000a_- Evaluasi:_x000a_  - **RMSE**: penalti besar untuk error besar._x000a_  - **MAE**: rata-rata error absolut (lebih robust)._x000a_  - **R²**: seberapa baik variasi target dijelaskan model._x000a__x000a_Kalau kamu kasih info kolom mana yang kategorikal/numerik (atau output `housing_dataset.dtypes`), aku bisa bantu set pipeline yang lebih spesifik dan tuning `C/epsilon/gamma` dengan `GridSearchCV`."/>
    <d v="2026-02-25T16:06:23"/>
    <x v="1"/>
    <n v="0"/>
    <n v="36"/>
    <n v="856"/>
    <n v="892"/>
    <n v="146"/>
    <n v="3264"/>
    <n v="2552"/>
    <n v="4"/>
    <n v="5"/>
    <n v="5"/>
    <s v="Clear request for code and explanation."/>
    <s v="Could specify the dataset structure for better context."/>
    <s v="Comprehensive code with detailed explanation."/>
    <s v="None significant; very thorough."/>
    <s v="Buatkan pipeline dengan preprocessing dan SVR() untuk dataset housing, sertakan penjelasan tentang setiap langkah."/>
    <s v="Consider adding a brief example of input data structure."/>
    <s v="excellent"/>
    <b v="0"/>
    <s v="gpt-4o-mini"/>
    <s v="{&quot;prompt_score&quot;: 4, &quot;response_score&quot;: 5, &quot;overall_score&quot;: 5, &quot;prompt_strengths&quot;: &quot;Clear request for code and explanation.&quot;, &quot;prompt_issues&quot;: &quot;Could specify the dataset structure for better context.&quot;, &quot;response_strengths&quot;: &quot;Comprehensive code with detailed explanation.&quot;, &quot;response_issues&quot;: &quot;None significant; very thorough.&quot;, &quot;prompt_rewrite&quot;: &quot;Buatkan pipeline dengan preprocessing dan SVR() untuk dataset housing, sertakan penjelasan tentang setiap langkah.&quot;, &quot;response_improvement_suggestions&quot;: &quot;Consider adding a brief example of input data structure.&quot;, &quot;verdict&quot;: &quot;excellent&quot;, &quot;needs_human_review&quot;: false}"/>
    <s v="ok"/>
    <n v="5"/>
  </r>
  <r>
    <x v="7"/>
    <s v="[LANG:Python]_x000a_[MODE:summary_code_explanation]_x000a_untuk pertanyaan lebih lanjut, ini saya cukup menggunakan file data housing_dataset. atau dengan housing_labels?"/>
    <s v="done"/>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    print(f&quot;\n=== {name} ===&quot;)_x000a_    print(&quot;Null per kolom:&quot;)_x000a_    print(df.isna().sum())_x000a_    print(&quot;Total null:&quot;, int(df.isna().sum().sum()))_x000a_    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    print(f&quot;\n=== {name} ===&quot;)_x000a_    print(&quot;Null per kolom:&quot;)_x000a_    print(df.isna().sum())_x000a_    print(&quot;Total null:&quot;, int(df.isna().sum().sum()))_x000a_    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d v="2026-02-25T15:51:12"/>
    <x v="1"/>
    <n v="0"/>
    <n v="38"/>
    <n v="405"/>
    <n v="443"/>
    <n v="158"/>
    <n v="1490"/>
    <n v="3591"/>
    <n v="3"/>
    <n v="4"/>
    <n v="4"/>
    <s v="Addresses a specific coding context and dataset."/>
    <s v="Lacks clarity in the request and specific action needed."/>
    <s v="Provides a clear and relevant explanation with code examples."/>
    <s v="Could be more concise and focused on the main question."/>
    <s v="[LANG:Python] [MODE:summary_code_explanation] Bagaimana cara memeriksa nilai null di housing_dataset dan housing_labels?"/>
    <s v="Summarize key points more succinctly and focus on the most critical aspects of handling null values."/>
    <s v="good"/>
    <b v="0"/>
    <s v="gpt-4o-mini"/>
    <s v="{&quot;prompt_score&quot;: 3, &quot;response_score&quot;: 4, &quot;overall_score&quot;: 4, &quot;prompt_strengths&quot;: &quot;Addresses a specific coding context and dataset.&quot;, &quot;prompt_issues&quot;: &quot;Lacks clarity in the request and specific action needed.&quot;, &quot;response_strengths&quot;: &quot;Provides a clear and relevant explanation with code examples.&quot;, &quot;response_issues&quot;: &quot;Could be more concise and focused on the main question.&quot;, &quot;prompt_rewrite&quot;: &quot;[LANG:Python] [MODE:summary_code_explanation] Bagaimana cara memeriksa nilai null di housing_dataset dan housing_labels?&quot;, &quot;response_improvement_suggestions&quot;: &quot;Summarize key points more succinctly and focus on the most critical aspects of handling null values.&quot;, &quot;verdict&quot;: &quot;good&quot;, &quot;needs_human_review&quot;: false}"/>
    <s v="ok"/>
    <n v="4"/>
  </r>
  <r>
    <x v="7"/>
    <s v="[LANG:Python]_x000a_[MODE:summary_code_explanation]_x000a_lalu selanjutnya, setelah random forest saya telah membuat param_grid dan juga grid_search, sekarang latih grid_search menggunakan X_train dan y_train dan munculkan best parameternya"/>
    <s v="done"/>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    estimator=rf_model,_x000a_    param_grid=param_grid,_x000a_    cv=5,_x000a_    n_jobs=-1,_x000a_    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    estimator=rf_model,_x000a_    param_grid=param_grid,_x000a_    cv=5,_x000a_    n_jobs=-1,_x000a_    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d v="2026-03-04T15:50:37"/>
    <x v="6"/>
    <n v="0"/>
    <n v="56"/>
    <n v="262"/>
    <n v="318"/>
    <n v="228"/>
    <n v="940"/>
    <n v="4440"/>
    <n v="3"/>
    <n v="4"/>
    <n v="3"/>
    <s v="The prompt specifies the context and actions needed."/>
    <s v="Lacks clarity in language and structure, making it somewhat difficult to follow."/>
    <s v="The response is relevant, correct, and provides a clear code example."/>
    <s v="Could include more context or explanation for beginners."/>
    <s v="Setelah membuat param_grid dan grid_search untuk random forest, latih grid_search menggunakan X_train dan y_train, lalu tampilkan parameter terbaiknya."/>
    <s v="Add more detailed explanations for each step in the code for clarity."/>
    <s v="good"/>
    <b v="0"/>
    <s v="gpt-4o-mini"/>
    <s v="{&quot;prompt_score&quot;: 3, &quot;response_score&quot;: 4, &quot;overall_score&quot;: 3, &quot;prompt_strengths&quot;: &quot;The prompt specifies the context and actions needed.&quot;, &quot;prompt_issues&quot;: &quot;Lacks clarity in language and structure, making it somewhat difficult to follow.&quot;, &quot;response_strengths&quot;: &quot;The response is relevant, correct, and provides a clear code example.&quot;, &quot;response_issues&quot;: &quot;Could include more context or explanation for beginners.&quot;, &quot;prompt_rewrite&quot;: &quot;Setelah membuat param_grid dan grid_search untuk random forest, latih grid_search menggunakan X_train dan y_train, lalu tampilkan parameter terbaiknya.&quot;, &quot;response_improvement_suggestions&quot;: &quot;Add more detailed explanations for each step in the code for clarity.&quot;, &quot;verdict&quot;: &quot;good&quot;, &quot;needs_human_review&quot;: false}"/>
    <s v="ok"/>
    <n v="4"/>
  </r>
  <r>
    <x v="8"/>
    <s v="[MODE:summary]_x000a_Overfitting ditandai_x000a_*_x000a_Stabil_x000a_Error train kecil test besar_x000a_Linear_x000a_Error besar semua_x000a_Epoch adalah_x000a_*_x000a_1 loop data_x000a_1 iterasi_x000a_1 gradient_x000a_1 fitur"/>
    <s v="done"/>
    <s v="Overfitting ditandai dengan error train kecil tetapi error test besar (model terlalu “hafal” data latih). Epoch adalah 1 loop penuh melewati seluruh dataset training (satu pass lengkap), bukan satu iterasi/gradien/fitur."/>
    <s v="Overfitting ditandai dengan error train kecil tetapi error test besar (model terlalu “hafal” data latih). Epoch adalah 1 loop penuh melewati seluruh dataset training (satu pass lengkap), bukan satu iterasi/gradien/fitur."/>
    <d v="2026-04-15T13:24:49"/>
    <x v="3"/>
    <n v="0"/>
    <n v="47"/>
    <n v="65"/>
    <n v="112"/>
    <n v="154"/>
    <n v="220"/>
    <n v="456"/>
    <n v="2"/>
    <n v="4"/>
    <n v="3"/>
    <s v="Attempts to summarize key concepts."/>
    <s v="Lacks clarity and coherence; difficult to understand."/>
    <s v="Clear explanation of overfitting and epoch."/>
    <s v="Could provide more detail on implications of overfitting."/>
    <s v="[MODE:summary] Jelaskan tentang overfitting dan epoch dalam konteks pembelajaran mesin."/>
    <s v="Include examples or implications of overfitting."/>
    <s v="fair"/>
    <b v="0"/>
    <s v="gpt-4o-mini"/>
    <s v="{&quot;prompt_score&quot;: 2, &quot;response_score&quot;: 4, &quot;overall_score&quot;: 3, &quot;prompt_strengths&quot;: &quot;Attempts to summarize key concepts.&quot;, &quot;prompt_issues&quot;: &quot;Lacks clarity and coherence; difficult to understand.&quot;, &quot;response_strengths&quot;: &quot;Clear explanation of overfitting and epoch.&quot;, &quot;response_issues&quot;: &quot;Could provide more detail on implications of overfitting.&quot;, &quot;prompt_rewrite&quot;: &quot;[MODE:summary] Jelaskan tentang overfitting dan epoch dalam konteks pembelajaran mesin.&quot;, &quot;response_improvement_suggestions&quot;: &quot;Include examples or implications of overfitting.&quot;, &quot;verdict&quot;: &quot;fair&quot;, &quot;needs_human_review&quot;: false}"/>
    <s v="ok"/>
    <n v="3"/>
  </r>
  <r>
    <x v="8"/>
    <s v="[LANG:Python]_x000a_[MODE:summary_code_explanation]_x000a_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
    <s v="done"/>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d v="2026-02-25T15:38:27"/>
    <x v="1"/>
    <n v="0"/>
    <n v="91"/>
    <n v="375"/>
    <n v="466"/>
    <n v="374"/>
    <n v="1264"/>
    <n v="930"/>
    <n v="4"/>
    <n v="5"/>
    <n v="4"/>
    <s v="Clear context and specific request for help."/>
    <s v="Could provide more detail on the structure of the label file."/>
    <s v="Highly relevant, correct, and complete with clear code examples."/>
    <s v="Could include more explanation on merging datasets."/>
    <s v="Saya mahasiswa teknik informatika yang belajar kecerdasan mesin. Saya menggunakan Jupyter Notebook dan sudah membaca dataset housing_dataset.csv. Saya ingin tahu cara membaca label dari housing_labels.csv, yang hanya memiliki satu kolom. Apakah Anda bisa memberikan contoh kode?"/>
    <s v="Add more details on how to safely merge datasets if they have different structures."/>
    <s v="good"/>
    <b v="0"/>
    <s v="gpt-4o-mini"/>
    <s v="{&quot;prompt_score&quot;: 4, &quot;response_score&quot;: 5, &quot;overall_score&quot;: 4, &quot;prompt_strengths&quot;: &quot;Clear context and specific request for help.&quot;, &quot;prompt_issues&quot;: &quot;Could provide more detail on the structure of the label file.&quot;, &quot;response_strengths&quot;: &quot;Highly relevant, correct, and complete with clear code examples.&quot;, &quot;response_issues&quot;: &quot;Could include more explanation on merging datasets.&quot;, &quot;prompt_rewrite&quot;: &quot;Saya mahasiswa teknik informatika yang belajar kecerdasan mesin. Saya menggunakan Jupyter Notebook dan sudah membaca dataset housing_dataset.csv. Saya ingin tahu cara membaca label dari housing_labels.csv, yang hanya memiliki satu kolom. Apakah Anda bisa memberikan contoh kode?&quot;, &quot;response_improvement_suggestions&quot;: &quot;Add more details on how to safely merge datasets if they have different structures.&quot;, &quot;verdict&quot;: &quot;good&quot;, &quot;needs_human_review&quot;: false}"/>
    <s v="ok"/>
    <n v="4"/>
  </r>
  <r>
    <x v="8"/>
    <s v="[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python_x000a_#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_x000a_```"/>
    <d v="2026-04-15T14:27:34"/>
    <x v="3"/>
    <n v="0"/>
    <n v="410"/>
    <n v="732"/>
    <n v="1142"/>
    <n v="1594"/>
    <n v="2620"/>
    <n v="957"/>
    <n v="4"/>
    <n v="4"/>
    <n v="4"/>
    <s v="Clear structure and specific feature engineering tasks."/>
    <s v="Could provide more context on the dataset and its purpose."/>
    <s v="Relevant and correctly implements the feature engineering steps."/>
    <s v="Some minor inconsistencies in variable naming and comments."/>
    <s v="Provide a detailed feature engineering task for a dataset related to student performance, including specific metrics and expected outcomes."/>
    <s v="Ensure consistent variable naming and clarify comments for better understanding."/>
    <s v="good"/>
    <b v="0"/>
    <s v="gpt-4o-mini"/>
    <s v="{&quot;prompt_score&quot;: 4, &quot;response_score&quot;: 4, &quot;overall_score&quot;: 4, &quot;prompt_strengths&quot;: &quot;Clear structure and specific feature engineering tasks.&quot;, &quot;prompt_issues&quot;: &quot;Could provide more context on the dataset and its purpose.&quot;, &quot;response_strengths&quot;: &quot;Relevant and correctly implements the feature engineering steps.&quot;, &quot;response_issues&quot;: &quot;Some minor inconsistencies in variable naming and comments.&quot;, &quot;prompt_rewrite&quot;: &quot;Provide a detailed feature engineering task for a dataset related to student performance, including specific metrics and expected outcomes.&quot;, &quot;response_improvement_suggestions&quot;: &quot;Ensure consistent variable naming and clarify comments for better understanding.&quot;, &quot;verdict&quot;: &quot;good&quot;, &quot;needs_human_review&quot;: false}"/>
    <s v="ok"/>
    <n v="4"/>
  </r>
  <r>
    <x v="8"/>
    <s v="[MODE:summary]_x000a_Logistic regression untuk_x000a_*_x000a_Regresi kontinu_x000a_Dimensional reduction_x000a_Klasifikasi biner_x000a_Clustering_x000a_Mini-batch kecil_x000a_*_x000a_Optimal_x000a_Tidak update_x000a_Noisy_x000a_Stabil"/>
    <s v="done"/>
    <s v="Logistic regression digunakan untuk klasifikasi biner, bukan regresi kontinu, dimensionality reduction, atau clustering. Mini-batch yang kecil membuat estimasi gradien lebih noisy (varians tinggi), bukan “optimal”, “tidak update”, atau selalu “stabil”."/>
    <s v="Logistic regression digunakan untuk klasifikasi biner, bukan regresi kontinu, dimensionality reduction, atau clustering. Mini-batch yang kecil membuat estimasi gradien lebih noisy (varians tinggi), bukan “optimal”, “tidak update”, atau selalu “stabil”."/>
    <d v="2026-04-15T13:17:08"/>
    <x v="3"/>
    <n v="0"/>
    <n v="50"/>
    <n v="66"/>
    <n v="116"/>
    <n v="162"/>
    <n v="252"/>
    <n v="2511"/>
    <n v="2"/>
    <n v="4"/>
    <n v="3"/>
    <s v="Attempts to cover multiple topics in machine learning."/>
    <s v="Lacks clarity and specificity; topics are not well-defined."/>
    <s v="Accurate in identifying the correct application of logistic regression."/>
    <s v="Could provide more context or examples for clarity."/>
    <s v="[MODE:summary] Jelaskan penggunaan logistic regression dalam klasifikasi biner dan sebutkan alasan mengapa tidak cocok untuk regresi kontinu, dimensionality reduction, atau clustering."/>
    <s v="Include examples or further explanations of logistic regression applications."/>
    <s v="fair"/>
    <b v="0"/>
    <s v="gpt-4o-mini"/>
    <s v="{&quot;prompt_score&quot;: 2, &quot;response_score&quot;: 4, &quot;overall_score&quot;: 3, &quot;prompt_strengths&quot;: &quot;Attempts to cover multiple topics in machine learning.&quot;, &quot;prompt_issues&quot;: &quot;Lacks clarity and specificity; topics are not well-defined.&quot;, &quot;response_strengths&quot;: &quot;Accurate in identifying the correct application of logistic regression.&quot;, &quot;response_issues&quot;: &quot;Could provide more context or examples for clarity.&quot;, &quot;prompt_rewrite&quot;: &quot;[MODE:summary] Jelaskan penggunaan logistic regression dalam klasifikasi biner dan sebutkan alasan mengapa tidak cocok untuk regresi kontinu, dimensionality reduction, atau clustering.&quot;, &quot;response_improvement_suggestions&quot;: &quot;Include examples or further explanations of logistic regression applications.&quot;, &quot;verdict&quot;: &quot;fair&quot;, &quot;needs_human_review&quot;: false}"/>
    <s v="ok"/>
    <n v="3"/>
  </r>
  <r>
    <x v="8"/>
    <s v="[MODE:summary]_x000a_Apa fungsi grid.best_score_? ******* Model terbaik, Dataset terbaik, Skor validasi terbaik, Label terbaik"/>
    <s v="done"/>
    <s v="grid.best_score_ berisi skor validasi terbaik (rata-rata cross-validation) yang dicapai oleh kombinasi hyperparameter terbaik saat GridSearchCV. Jadi jawabannya: Skor validasi terbaik."/>
    <s v="grid.best_score_ berisi skor validasi terbaik (rata-rata cross-validation) yang dicapai oleh kombinasi hyperparameter terbaik saat GridSearchCV. Jadi jawabannya: Skor validasi terbaik."/>
    <d v="2026-03-11T13:11:38"/>
    <x v="2"/>
    <n v="0"/>
    <n v="38"/>
    <n v="53"/>
    <n v="91"/>
    <n v="120"/>
    <n v="184"/>
    <n v="3111"/>
    <n v="4"/>
    <n v="5"/>
    <n v="4"/>
    <s v="Clear and specific about the function of grid.best_score_"/>
    <s v="Could provide more context about GridSearchCV"/>
    <s v="Accurate and directly answers the question"/>
    <s v="Could elaborate on the significance of the score"/>
    <s v="[MODE:summary] Apa fungsi grid.best_score_ dalam konteks GridSearchCV?"/>
    <s v="Include an explanation of why the best score is important."/>
    <s v="good"/>
    <b v="0"/>
    <s v="gpt-4o-mini"/>
    <s v="{&quot;prompt_score&quot;: 4, &quot;response_score&quot;: 5, &quot;overall_score&quot;: 4, &quot;prompt_strengths&quot;: &quot;Clear and specific about the function of grid.best_score_&quot;, &quot;prompt_issues&quot;: &quot;Could provide more context about GridSearchCV&quot;, &quot;response_strengths&quot;: &quot;Accurate and directly answers the question&quot;, &quot;response_issues&quot;: &quot;Could elaborate on the significance of the score&quot;, &quot;prompt_rewrite&quot;: &quot;[MODE:summary] Apa fungsi grid.best_score_ dalam konteks GridSearchCV?&quot;, &quot;response_improvement_suggestions&quot;: &quot;Include an explanation of why the best score is important.&quot;, &quot;verdict&quot;: &quot;good&quot;, &quot;needs_human_review&quot;: false}"/>
    <s v="ok"/>
    <n v="4"/>
  </r>
  <r>
    <x v="9"/>
    <s v="[MODE:code]_x000a_Kita tampilkan best hyperparameter dari hasil grid_search sbb:_x000a__x000a_kalo untuk pengerjaan ini promt ai nya apa ya"/>
    <s v="done"/>
    <s v="# Tampilkan best hyperparameter dari GridSearchCV_x000a_print(&quot;Best hyperparameters:&quot;, grid_search.best_params_)"/>
    <s v="```python_x000a_# Tampilkan best hyperparameter dari GridSearchCV_x000a_print(&quot;Best hyperparameters:&quot;, grid_search.best_params_)_x000a_```"/>
    <d v="2026-02-25T16:52:30"/>
    <x v="1"/>
    <n v="0"/>
    <n v="33"/>
    <n v="26"/>
    <n v="59"/>
    <n v="121"/>
    <n v="120"/>
    <n v="819"/>
    <n v="3"/>
    <n v="4"/>
    <n v="3"/>
    <s v="Identifies a specific task related to hyperparameters."/>
    <s v="Lacks clarity and specificity in asking for AI prompt."/>
    <s v="Provides a relevant and correct code snippet."/>
    <s v="Could include more context or explanation."/>
    <s v="Apa prompt AI yang tepat untuk menampilkan best hyperparameter dari grid_search?"/>
    <s v="Add a brief explanation of the code snippet provided."/>
    <s v="fair"/>
    <b v="0"/>
    <s v="gpt-4o-mini"/>
    <s v="{&quot;prompt_score&quot;: 3, &quot;response_score&quot;: 4, &quot;overall_score&quot;: 3, &quot;prompt_strengths&quot;: &quot;Identifies a specific task related to hyperparameters.&quot;, &quot;prompt_issues&quot;: &quot;Lacks clarity and specificity in asking for AI prompt.&quot;, &quot;response_strengths&quot;: &quot;Provides a relevant and correct code snippet.&quot;, &quot;response_issues&quot;: &quot;Could include more context or explanation.&quot;, &quot;prompt_rewrite&quot;: &quot;Apa prompt AI yang tepat untuk menampilkan best hyperparameter dari grid_search?&quot;, &quot;response_improvement_suggestions&quot;: &quot;Add a brief explanation of the code snippet provided.&quot;, &quot;verdict&quot;: &quot;fair&quot;, &quot;needs_human_review&quot;: false}"/>
    <s v="ok"/>
    <n v="3"/>
  </r>
  <r>
    <x v="9"/>
    <s v="[MODE:code]_x000a_---------------------------------------------------------------------------_x000a_NameError                                 Traceback (most recent call last)_x000a_Cell In[87], line 1_x000a_----&gt; 1 linreg_pipeline.fit(X_train, y_train)_x000a__x000a_NameError: name 'linreg_pipeline' is not defined"/>
    <s v="done"/>
    <s v="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preprocessor = ColumnTransformer(transformers=[_x000a_    (&quot;num&quot;, num_pipeline, num_cols),_x000a_    (&quot;cat&quot;, cat_pipeline, cat_cols)_x000a_])_x000a__x000a_# ----------------------------_x000a_# Linear Regression pipeline_x000a_# ----------------------------_x000a_linreg_pipeline = Pipeline(steps=[_x000a_    (&quot;preprocessor&quot;, preprocessor),_x000a_    (&quot;model&quot;, LinearRegression())_x000a_])_x000a__x000a_# ----------------------------_x000a_# Random Forest pipeline_x000a_# ----------------------------_x000a_rf_pipeline = Pipeline(steps=[_x000a_    (&quot;preprocessor&quot;, preprocessor),_x000a_    (&quot;model&quot;, RandomForestRegressor(random_state=42))_x000a_])_x000a__x000a_# ----------------------------_x000a_# GridSearchCV (Random Forest)_x000a_# ----------------------------_x000a_param_grid = {_x000a_    &quot;model__n_estimators&quot;: [200, 500],_x000a_    &quot;model__max_depth&quot;: [None, 5, 10],_x000a_    &quot;model__min_samples_split&quot;: [2, 5, 10],_x000a_    &quot;model__min_samples_leaf&quot;: [1, 2, 4],_x000a_}_x000a__x000a_grid_search = GridSearchCV(_x000a_    estimator=rf_pipeline,_x000a_    param_grid=param_grid,_x000a_    cv=5,_x000a_    scoring=&quot;r2&quot;,_x000a_    n_jobs=-1_x000a_)_x000a__x000a_# Fit + best params_x000a_grid_search.fit(X_train, y_train)_x000a_print(&quot;Best parameters:&quot;, grid_search.best_params_)"/>
    <s v="```python_x000a_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preprocessor = ColumnTransformer(transformers=[_x000a_    (&quot;num&quot;, num_pipeline, num_cols),_x000a_    (&quot;cat&quot;, cat_pipeline, cat_cols)_x000a_])_x000a__x000a_# ----------------------------_x000a_# Linear Regression pipeline_x000a_# ----------------------------_x000a_linreg_pipeline = Pipeline(steps=[_x000a_    (&quot;preprocessor&quot;, preprocessor),_x000a_    (&quot;model&quot;, LinearRegression())_x000a_])_x000a__x000a_# ----------------------------_x000a_# Random Forest pipeline_x000a_# ----------------------------_x000a_rf_pipeline = Pipeline(steps=[_x000a_    (&quot;preprocessor&quot;, preprocessor),_x000a_    (&quot;model&quot;, RandomForestRegressor(random_state=42))_x000a_])_x000a__x000a_# ----------------------------_x000a_# GridSearchCV (Random Forest)_x000a_# ----------------------------_x000a_param_grid = {_x000a_    &quot;model__n_estimators&quot;: [200, 500],_x000a_    &quot;model__max_depth&quot;: [None, 5, 10],_x000a_    &quot;model__min_samples_split&quot;: [2, 5, 10],_x000a_    &quot;model__min_samples_leaf&quot;: [1, 2, 4],_x000a_}_x000a__x000a_grid_search = GridSearchCV(_x000a_    estimator=rf_pipeline,_x000a_    param_grid=param_grid,_x000a_    cv=5,_x000a_    scoring=&quot;r2&quot;,_x000a_    n_jobs=-1_x000a_)_x000a__x000a_# Fit + best params_x000a_grid_search.fit(X_train, y_train)_x000a_print(&quot;Best parameters:&quot;, grid_search.best_params_)_x000a_```"/>
    <d v="2026-03-04T15:23:19"/>
    <x v="6"/>
    <n v="0"/>
    <n v="53"/>
    <n v="409"/>
    <n v="462"/>
    <n v="279"/>
    <n v="1867"/>
    <n v="3931"/>
    <n v="3"/>
    <n v="5"/>
    <n v="4"/>
    <s v="Identifies a specific error in code execution."/>
    <s v="Lacks context about the data and expected outcome."/>
    <s v="Provides a complete and correct implementation of the required pipelines."/>
    <s v="Could include comments explaining each step for clarity."/>
    <s v="What is causing the NameError in the following code snippet, and how can I fix it?"/>
    <s v="Add comments to explain the purpose of each pipeline step."/>
    <s v="good"/>
    <b v="0"/>
    <s v="gpt-4o-mini"/>
    <s v="{&quot;prompt_score&quot;: 3, &quot;response_score&quot;: 5, &quot;overall_score&quot;: 4, &quot;prompt_strengths&quot;: &quot;Identifies a specific error in code execution.&quot;, &quot;prompt_issues&quot;: &quot;Lacks context about the data and expected outcome.&quot;, &quot;response_strengths&quot;: &quot;Provides a complete and correct implementation of the required pipelines.&quot;, &quot;response_issues&quot;: &quot;Could include comments explaining each step for clarity.&quot;, &quot;prompt_rewrite&quot;: &quot;What is causing the NameError in the following code snippet, and how can I fix it?&quot;, &quot;response_improvement_suggestions&quot;: &quot;Add comments to explain the purpose of each pipeline step.&quot;, &quot;verdict&quot;: &quot;good&quot;, &quot;needs_human_review&quot;: false}"/>
    <s v="ok"/>
    <n v="4"/>
  </r>
  <r>
    <x v="10"/>
    <s v="[MODE:code]_x000a_[ASSESSMENT_ID:1771cf8e-0a65-11f1-b762-3e0936ad7efb]_x000a_[FORCE_GPT:true]_x000a_[AUTO_FALLBACK:true]_x000a_Bagian 1 - Load Dataset Lakukan langkah berikut: Load dataset student_exam_performance_dataset (1).csv. Tampilkan 5 baris pertama. Tampilkan ukuran dataset. Tampilkan tipe data setiap kolom. Tampilkan distribusi awal kolom pass_fail dan grade_category. Buatkan saya codenya."/>
    <s v="done"/>
    <s v="import pandas as pd_x000a__x000a_# Load dataset_x000a_file_path = &quot;student_exam_performance_dataset (1).csv&quot;_x000a_df = pd.read_csv(file_path)_x000a__x000a_# Tampilkan 5 baris pertama_x000a_print(&quot;=== 5 Baris Pertama ===&quot;)_x000a_print(df.head(5))_x000a__x000a_# Tampilkan ukuran dataset_x000a_print(&quot;\n=== Ukuran Dataset (baris, kolom) ===&quot;)_x000a_print(df.shape)_x000a__x000a_# Tampilkan tipe data setiap kolom_x000a_print(&quot;\n=== Tipe Data Setiap Kolom ===&quot;)_x000a_print(df.dtypes)_x000a__x000a_# Tampilkan distribusi awal kolom pass_fail dan grade_category_x000a_for col in [&quot;pass_fail&quot;, &quot;grade_category&quot;]:_x000a_    print(f&quot;\n=== Distribusi Kolom '{col}' ===&quot;)_x000a_    if col in df.columns:_x000a_        print(df[col].value_counts(dropna=False))_x000a_    else:_x000a_        print(f&quot;Kolom '{col}' tidak ditemukan dalam dataset.&quot;)"/>
    <s v="```python_x000a_import pandas as pd_x000a__x000a_# Load dataset_x000a_file_path = &quot;student_exam_performance_dataset (1).csv&quot;_x000a_df = pd.read_csv(file_path)_x000a__x000a_# Tampilkan 5 baris pertama_x000a_print(&quot;=== 5 Baris Pertama ===&quot;)_x000a_print(df.head(5))_x000a__x000a_# Tampilkan ukuran dataset_x000a_print(&quot;\n=== Ukuran Dataset (baris, kolom) ===&quot;)_x000a_print(df.shape)_x000a__x000a_# Tampilkan tipe data setiap kolom_x000a_print(&quot;\n=== Tipe Data Setiap Kolom ===&quot;)_x000a_print(df.dtypes)_x000a__x000a_# Tampilkan distribusi awal kolom pass_fail dan grade_category_x000a_for col in [&quot;pass_fail&quot;, &quot;grade_category&quot;]:_x000a_    print(f&quot;\n=== Distribusi Kolom '{col}' ===&quot;)_x000a_    if col in df.columns:_x000a_        print(df[col].value_counts(dropna=False))_x000a_    else:_x000a_        print(f&quot;Kolom '{col}' tidak ditemukan dalam dataset.&quot;)_x000a_```"/>
    <d v="2026-04-15T14:05:19"/>
    <x v="3"/>
    <n v="0"/>
    <n v="121"/>
    <n v="196"/>
    <n v="317"/>
    <n v="377"/>
    <n v="706"/>
    <n v="234"/>
    <n v="4"/>
    <n v="5"/>
    <n v="4"/>
    <s v="Clear instructions with specific tasks."/>
    <s v="Could benefit from more context about the dataset."/>
    <s v="Correct and complete code that addresses all prompt requirements."/>
    <s v="Minor improvements in comments for clarity could be made."/>
    <s v="Bagian 1 - Load Dataset: Load the dataset 'student_exam_performance_dataset (1).csv'. Display the first 5 rows, the size of the dataset, the data types of each column, and the initial distribution of 'pass_fail' and 'grade_category'. Provide the code for these tasks."/>
    <s v="Add comments explaining each step of the code for better clarity."/>
    <s v="good"/>
    <b v="0"/>
    <s v="gpt-4o-mini"/>
    <s v="{&quot;prompt_score&quot;: 4, &quot;response_score&quot;: 5, &quot;overall_score&quot;: 4, &quot;prompt_strengths&quot;: &quot;Clear instructions with specific tasks.&quot;, &quot;prompt_issues&quot;: &quot;Could benefit from more context about the dataset.&quot;, &quot;response_strengths&quot;: &quot;Correct and complete code that addresses all prompt requirements.&quot;, &quot;response_issues&quot;: &quot;Minor improvements in comments for clarity could be made.&quot;, &quot;prompt_rewrite&quot;: &quot;Bagian 1 - Load Dataset: Load the dataset 'student_exam_performance_dataset (1).csv'. Display the first 5 rows, the size of the dataset, the data types of each column, and the initial distribution of 'pass_fail' and 'grade_category'. Provide the code for these tasks.&quot;, &quot;response_improvement_suggestions&quot;: &quot;Add comments explaining each step of the code for better clarity.&quot;, &quot;verdict&quot;: &quot;good&quot;, &quot;needs_human_review&quot;: false}"/>
    <s v="ok"/>
    <n v="4"/>
  </r>
  <r>
    <x v="10"/>
    <s v="[MODE:code]_x000a_Tidak ada 'class' dalam csv hanya ada ini Pregnancies_x0009_Glucose_x0009_BloodPressure_x0009_SkinThickness_x0009_Insulin_x0009_BMI_x0009_DiabetesPedigreeFunction_x0009_Age_x0009_Outcome_x000a_. Tetapi di soal didefinisikan class apa maksdunya?"/>
    <s v="done"/>
    <s v="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
    <s v="```python_x000a_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_x000a_```"/>
    <d v="2026-03-18T15:04:35"/>
    <x v="4"/>
    <n v="0"/>
    <n v="61"/>
    <n v="210"/>
    <n v="271"/>
    <n v="202"/>
    <n v="805"/>
    <n v="776"/>
    <n v="3"/>
    <n v="4"/>
    <n v="3"/>
    <s v="Identifies a specific issue regarding class definition."/>
    <s v="Lacks clarity and context about the dataset and the question."/>
    <s v="Provides a clear and relevant code solution with explanations."/>
    <s v="Could include more context about the dataset and its usage."/>
    <s v="Apa yang dimaksud dengan 'class' dalam konteks dataset ini yang memiliki kolom Pregnancies, Glucose, BloodPressure, SkinThickness, Insulin, BMI, DiabetesPedigreeFunction, Age, dan Outcome?"/>
    <s v="Add a brief explanation of the dataset and its purpose to enhance understanding."/>
    <s v="good"/>
    <b v="0"/>
    <s v="gpt-4o-mini"/>
    <s v="{&quot;prompt_score&quot;: 3, &quot;response_score&quot;: 4, &quot;overall_score&quot;: 3, &quot;prompt_strengths&quot;: &quot;Identifies a specific issue regarding class definition.&quot;, &quot;prompt_issues&quot;: &quot;Lacks clarity and context about the dataset and the question.&quot;, &quot;response_strengths&quot;: &quot;Provides a clear and relevant code solution with explanations.&quot;, &quot;response_issues&quot;: &quot;Could include more context about the dataset and its usage.&quot;, &quot;prompt_rewrite&quot;: &quot;Apa yang dimaksud dengan 'class' dalam konteks dataset ini yang memiliki kolom Pregnancies, Glucose, BloodPressure, SkinThickness, Insulin, BMI, DiabetesPedigreeFunction, Age, dan Outcome?&quot;, &quot;response_improvement_suggestions&quot;: &quot;Add a brief explanation of the dataset and its purpose to enhance understanding.&quot;, &quot;verdict&quot;: &quot;good&quot;, &quot;needs_human_review&quot;: false}"/>
    <s v="ok"/>
    <n v="4"/>
  </r>
  <r>
    <x v="10"/>
    <s v="[MODE:code]_x000a_Sekarang kita akan membuat pairplot Untuk melihat hubungan antar fitur sekaligus. gunakan librasi `sns` dengan atribut `pairplot` dan `hue='class'`"/>
    <s v="done"/>
    <s v="import seaborn as sns_x000a_import matplotlib.pyplot as plt_x000a__x000a_sns.pairplot(dataframe, hue='class')_x000a_plt.show()"/>
    <s v="```python_x000a_import seaborn as sns_x000a_import matplotlib.pyplot as plt_x000a__x000a_sns.pairplot(dataframe, hue='class')_x000a_plt.show()_x000a_```"/>
    <d v="2026-03-18T14:59:51"/>
    <x v="4"/>
    <n v="0"/>
    <n v="50"/>
    <n v="28"/>
    <n v="78"/>
    <n v="159"/>
    <n v="116"/>
    <n v="2052"/>
    <n v="4"/>
    <n v="5"/>
    <n v="5"/>
    <s v="Clear instructions with specific requirements."/>
    <s v="Could provide more context about the dataset."/>
    <s v="Correct and complete code for the task."/>
    <s v="None."/>
    <s v="Buatlah pairplot menggunakan librari `sns` dengan atribut `pairplot` dan `hue='class'` untuk dataset yang telah disediakan."/>
    <s v="None needed; response is already complete."/>
    <s v="excellent"/>
    <b v="0"/>
    <s v="gpt-4o-mini"/>
    <s v="{&quot;prompt_score&quot;: 4, &quot;response_score&quot;: 5, &quot;overall_score&quot;: 5, &quot;prompt_strengths&quot;: &quot;Clear instructions with specific requirements.&quot;, &quot;prompt_issues&quot;: &quot;Could provide more context about the dataset.&quot;, &quot;response_strengths&quot;: &quot;Correct and complete code for the task.&quot;, &quot;response_issues&quot;: &quot;None.&quot;, &quot;prompt_rewrite&quot;: &quot;Buatlah pairplot menggunakan librari `sns` dengan atribut `pairplot` dan `hue='class'` untuk dataset yang telah disediakan.&quot;, &quot;response_improvement_suggestions&quot;: &quot;None needed; response is already complete.&quot;, &quot;verdict&quot;: &quot;excellent&quot;, &quot;needs_human_review&quot;: false}"/>
    <s v="ok"/>
    <n v="5"/>
  </r>
  <r>
    <x v="10"/>
    <s v="[MODE:code]_x000a_Bukan seperti itu melain kan &quot;Pregnancies&quot;,_x0009_&quot;Glucose&quot;,_x0009_&quot;BloodPressure&quot;,_x0009_&quot;SkinThickness&quot;,_x0009_&quot;Insulin&quot;,_x0009_&quot;BMI&quot;,_x0009_&quot;DiabetesPedigreeFunction&quot;,_x0009_&quot;Age&quot;,_x0009_&quot;Outcome&quot; adalah merupakan class classnya"/>
    <s v="done"/>
    <s v="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
    <s v="```python_x000a_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_x000a_```"/>
    <d v="2026-03-18T15:08:57"/>
    <x v="4"/>
    <n v="0"/>
    <n v="63"/>
    <n v="261"/>
    <n v="324"/>
    <n v="195"/>
    <n v="963"/>
    <n v="2857"/>
    <n v="3"/>
    <n v="4"/>
    <n v="3"/>
    <s v="Identifies specific classes in the dataset."/>
    <s v="Lacks clarity and context for the intended action."/>
    <s v="Provides relevant code and explanations for the dataset."/>
    <s v="Could be clearer in explaining the relationship between features and the target variable."/>
    <s v="Jelaskan bahwa &quot;Pregnancies&quot;, &quot;Glucose&quot;, &quot;BloodPressure&quot;, &quot;SkinThickness&quot;, &quot;Insulin&quot;, &quot;BMI&quot;, &quot;DiabetesPedigreeFunction&quot;, &quot;Age&quot; adalah fitur, dan &quot;Outcome&quot; adalah kelas target."/>
    <s v="Clarify the explanation of how features relate to the target variable and simplify the code comments."/>
    <s v="good"/>
    <b v="0"/>
    <s v="gpt-4o-mini"/>
    <s v="{&quot;prompt_score&quot;: 3, &quot;response_score&quot;: 4, &quot;overall_score&quot;: 3, &quot;prompt_strengths&quot;: &quot;Identifies specific classes in the dataset.&quot;, &quot;prompt_issues&quot;: &quot;Lacks clarity and context for the intended action.&quot;, &quot;response_strengths&quot;: &quot;Provides relevant code and explanations for the dataset.&quot;, &quot;response_issues&quot;: &quot;Could be clearer in explaining the relationship between features and the target variable.&quot;, &quot;prompt_rewrite&quot;: &quot;Jelaskan bahwa \&quot;Pregnancies\&quot;, \&quot;Glucose\&quot;, \&quot;BloodPressure\&quot;, \&quot;SkinThickness\&quot;, \&quot;Insulin\&quot;, \&quot;BMI\&quot;, \&quot;DiabetesPedigreeFunction\&quot;, \&quot;Age\&quot; adalah fitur, dan \&quot;Outcome\&quot; adalah kelas target.&quot;, &quot;response_improvement_suggestions&quot;: &quot;Clarify the explanation of how features relate to the target variable and simplify the code comments.&quot;, &quot;verdict&quot;: &quot;good&quot;, &quot;needs_human_review&quot;: false}"/>
    <s v="ok"/>
    <n v="4"/>
  </r>
  <r>
    <x v="10"/>
    <s v="[MODE:code]_x000a_lin_reg is not defined. code apa yang biasanya di taruh di variabel tersebut? Dan tuliskan tempelatenya."/>
    <s v="done"/>
    <s v="from sklearn.linear_model import LinearRegression_x000a__x000a_lin_reg = LinearRegression()_x000a_lin_reg.fit(X_train, y_train)_x000a__x000a_pred = lin_reg.predict(X_test)"/>
    <s v="```python_x000a_from sklearn.linear_model import LinearRegression_x000a__x000a_lin_reg = LinearRegression()_x000a_lin_reg.fit(X_train, y_train)_x000a__x000a_pred = lin_reg.predict(X_test)_x000a_```"/>
    <d v="2026-03-04T15:22:40"/>
    <x v="6"/>
    <n v="0"/>
    <n v="33"/>
    <n v="35"/>
    <n v="68"/>
    <n v="116"/>
    <n v="155"/>
    <n v="4053"/>
    <n v="3"/>
    <n v="4"/>
    <n v="3"/>
    <s v="Directly asks for code related to linear regression."/>
    <s v="Lacks clarity in specifying what 'tempelatenya' means."/>
    <s v="Provides relevant and correct code for linear regression."/>
    <s v="Could include more context or explanation for clarity."/>
    <s v="Apa kode yang biasanya digunakan untuk mendefinisikan variabel 'lin_reg' dalam regresi linier? Sertakan template lengkapnya."/>
    <s v="Add comments to explain each line of code for better understanding."/>
    <s v="good"/>
    <b v="0"/>
    <s v="gpt-4o-mini"/>
    <s v="{&quot;prompt_score&quot;: 3, &quot;response_score&quot;: 4, &quot;overall_score&quot;: 3, &quot;prompt_strengths&quot;: &quot;Directly asks for code related to linear regression.&quot;, &quot;prompt_issues&quot;: &quot;Lacks clarity in specifying what 'tempelatenya' means.&quot;, &quot;response_strengths&quot;: &quot;Provides relevant and correct code for linear regression.&quot;, &quot;response_issues&quot;: &quot;Could include more context or explanation for clarity.&quot;, &quot;prompt_rewrite&quot;: &quot;Apa kode yang biasanya digunakan untuk mendefinisikan variabel 'lin_reg' dalam regresi linier? Sertakan template lengkapnya.&quot;, &quot;response_improvement_suggestions&quot;: &quot;Add comments to explain each line of code for better understanding.&quot;, &quot;verdict&quot;: &quot;good&quot;, &quot;needs_human_review&quot;: false}"/>
    <s v="ok"/>
    <n v="4"/>
  </r>
  <r>
    <x v="10"/>
    <s v="[MODE:code]_x000a_Kembali kita gunakan cross_val_predict sama seperti ketika kita menggunakan LogisticRegression tetapi kali ini method-nya adalah predict_proba."/>
    <s v="done"/>
    <s v="from sklearn.model_selection import cross_val_predict_x000a__x000a_y_probas = cross_val_predict(model, X, y, cv=kfold, method=&quot;predict_proba&quot;)"/>
    <s v="```python_x000a_from sklearn.model_selection import cross_val_predict_x000a__x000a_y_probas = cross_val_predict(model, X, y, cv=kfold, method=&quot;predict_proba&quot;)_x000a_```"/>
    <d v="2026-03-18T15:53:46"/>
    <x v="4"/>
    <n v="0"/>
    <n v="32"/>
    <n v="35"/>
    <n v="67"/>
    <n v="155"/>
    <n v="144"/>
    <n v="4376"/>
    <n v="4"/>
    <n v="4"/>
    <n v="4"/>
    <s v="Clear and specific about using cross_val_predict with predict_proba."/>
    <s v="Could provide more context on the model and data."/>
    <s v="Correct implementation of cross_val_predict with predict_proba."/>
    <s v="Lacks explanation or comments for clarity."/>
    <s v="Explain how to use cross_val_predict with predict_proba in a specific model context."/>
    <s v="Add comments to explain the code and its components."/>
    <s v="good"/>
    <b v="0"/>
    <s v="gpt-4o-mini"/>
    <s v="{&quot;prompt_score&quot;: 4, &quot;response_score&quot;: 4, &quot;overall_score&quot;: 4, &quot;prompt_strengths&quot;: &quot;Clear and specific about using cross_val_predict with predict_proba.&quot;, &quot;prompt_issues&quot;: &quot;Could provide more context on the model and data.&quot;, &quot;response_strengths&quot;: &quot;Correct implementation of cross_val_predict with predict_proba.&quot;, &quot;response_issues&quot;: &quot;Lacks explanation or comments for clarity.&quot;, &quot;prompt_rewrite&quot;: &quot;Explain how to use cross_val_predict with predict_proba in a specific model context.&quot;, &quot;response_improvement_suggestions&quot;: &quot;Add comments to explain the code and its components.&quot;, &quot;verdict&quot;: &quot;good&quot;, &quot;needs_human_review&quot;: false}"/>
    <s v="ok"/>
    <n v="4"/>
  </r>
  <r>
    <x v="11"/>
    <s v="[MODE:summary_code_explanation]_x000a_kenapa error : ValueError: matmul: Input operand 1 has a mismatch in its core dimension 0, with gufunc signature (n?,k),(k,m?)-&gt;(n?,m?) (size 2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d v="2026-04-08T15:41:37"/>
    <x v="0"/>
    <n v="0"/>
    <n v="59"/>
    <n v="464"/>
    <n v="523"/>
    <n v="196"/>
    <n v="1453"/>
    <n v="384"/>
    <n v="4"/>
    <n v="5"/>
    <n v="5"/>
    <s v="Clear and specific about the error context."/>
    <s v="Could provide more context on the expected input shapes."/>
    <s v="Thorough explanation with actionable code examples."/>
    <s v="None significant; very comprehensive."/>
    <s v="Jelaskan penyebab error ValueError: matmul dan cara memperbaikinya dengan contoh kode."/>
    <s v="Consider adding a brief summary of the expected shapes for clarity."/>
    <s v="excellent"/>
    <b v="0"/>
    <s v="gpt-4o-mini"/>
    <s v="{&quot;prompt_score&quot;: 4, &quot;response_score&quot;: 5, &quot;overall_score&quot;: 5, &quot;prompt_strengths&quot;: &quot;Clear and specific about the error context.&quot;, &quot;prompt_issues&quot;: &quot;Could provide more context on the expected input shapes.&quot;, &quot;response_strengths&quot;: &quot;Thorough explanation with actionable code examples.&quot;, &quot;response_issues&quot;: &quot;None significant; very comprehensive.&quot;, &quot;prompt_rewrite&quot;: &quot;Jelaskan penyebab error ValueError: matmul dan cara memperbaikinya dengan contoh kode.&quot;, &quot;response_improvement_suggestions&quot;: &quot;Consider adding a brief summary of the expected shapes for clarity.&quot;, &quot;verdict&quot;: &quot;excellent&quot;, &quot;needs_human_review&quot;: false}"/>
    <s v="ok"/>
    <n v="5"/>
  </r>
  <r>
    <x v="11"/>
    <s v="[MODE:summary_code_explanation]_x000a_please help me to correct the error code to re edit code for me and try again to me again please okay"/>
    <s v="done"/>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    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    X = X.drop(columns=leakage_cols)_x000a__x000a_# =========================_x000a_# 2) Split_x000a_# =========================_x000a_X_train, X_test, y_train, y_test = train_test_split(_x000a_    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    numeric_pipe = Pipeline(steps=[_x000a_        (&quot;imputer&quot;, SimpleImputer(strategy=&quot;median&quot;)),_x000a_        (&quot;scaler&quot;, StandardScaler())_x000a_    ])_x000a_    transformers.append((&quot;num&quot;, numeric_pipe, num_cols))_x000a__x000a_if len(cat_cols) &gt; 0:_x000a_    categorical_pipe = Pipeline(steps=[_x000a_        (&quot;imputer&quot;, SimpleImputer(strategy=&quot;most_frequent&quot;)),_x000a_        (&quot;onehot&quot;, OneHotEncoder(handle_unknown=&quot;ignore&quot;))_x000a_    ])_x000a_    transformers.append((&quot;cat&quot;, categorical_pipe, cat_cols))_x000a__x000a_if len(transformers) == 0:_x000a_    raise ValueError(&quot;Tidak ada fitur yang bisa dipakai (numerik/kategorikal kosong). Cek dataset Anda.&quot;)_x000a__x000a_preprocess = ColumnTransformer(transformers=transformers, remainder=&quot;drop&quot;)_x000a__x000a_# =========================_x000a_# 4) Train + evaluate models_x000a_# =========================_x000a_models = {_x000a_    &quot;LinearRegression&quot;: LinearRegression(),_x000a_    &quot;Ridge(alpha=1.0)&quot;: Ridge(alpha=1.0)_x000a_}_x000a__x000a_def metrics(y_true, y_pred):_x000a_    rmse = np.sqrt(mean_squared_error(y_true, y_pred))_x000a_    mae = mean_absolute_error(y_true, y_pred)_x000a_    r2 = r2_score(y_true, y_pred)_x000a_    return rmse, mae, r2_x000a__x000a_rows = []_x000a_pipes = {}_x000a__x000a_for name, model in models.items():_x000a_    pipe = Pipeline(steps=[_x000a_        (&quot;preprocess&quot;, preprocess),_x000a_        (&quot;model&quot;, model)_x000a_    ])_x000a_    pipe.fit(X_train, y_train)_x000a__x000a_    pred_train = pipe.predict(X_train)_x000a_    pred_test = pipe.predict(X_test)_x000a__x000a_    rmse, mae, r2 = metrics(y_test, pred_test)_x000a_    rows.append({&quot;model&quot;: name, &quot;RMSE&quot;: rmse, &quot;MAE&quot;: mae, &quot;R2&quot;: r2})_x000a_    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    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    X = X.drop(columns=leakage_cols)_x000a__x000a_# =========================_x000a_# 2) Split_x000a_# =========================_x000a_X_train, X_test, y_train, y_test = train_test_split(_x000a_    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    numeric_pipe = Pipeline(steps=[_x000a_        (&quot;imputer&quot;, SimpleImputer(strategy=&quot;median&quot;)),_x000a_        (&quot;scaler&quot;, StandardScaler())_x000a_    ])_x000a_    transformers.append((&quot;num&quot;, numeric_pipe, num_cols))_x000a__x000a_if len(cat_cols) &gt; 0:_x000a_    categorical_pipe = Pipeline(steps=[_x000a_        (&quot;imputer&quot;, SimpleImputer(strategy=&quot;most_frequent&quot;)),_x000a_        (&quot;onehot&quot;, OneHotEncoder(handle_unknown=&quot;ignore&quot;))_x000a_    ])_x000a_    transformers.append((&quot;cat&quot;, categorical_pipe, cat_cols))_x000a__x000a_if len(transformers) == 0:_x000a_    raise ValueError(&quot;Tidak ada fitur yang bisa dipakai (numerik/kategorikal kosong). Cek dataset Anda.&quot;)_x000a__x000a_preprocess = ColumnTransformer(transformers=transformers, remainder=&quot;drop&quot;)_x000a__x000a_# =========================_x000a_# 4) Train + evaluate models_x000a_# =========================_x000a_models = {_x000a_    &quot;LinearRegression&quot;: LinearRegression(),_x000a_    &quot;Ridge(alpha=1.0)&quot;: Ridge(alpha=1.0)_x000a_}_x000a__x000a_def metrics(y_true, y_pred):_x000a_    rmse = np.sqrt(mean_squared_error(y_true, y_pred))_x000a_    mae = mean_absolute_error(y_true, y_pred)_x000a_    r2 = r2_score(y_true, y_pred)_x000a_    return rmse, mae, r2_x000a__x000a_rows = []_x000a_pipes = {}_x000a__x000a_for name, model in models.items():_x000a_    pipe = Pipeline(steps=[_x000a_        (&quot;preprocess&quot;, preprocess),_x000a_        (&quot;model&quot;, model)_x000a_    ])_x000a_    pipe.fit(X_train, y_train)_x000a__x000a_    pred_train = pipe.predict(X_train)_x000a_    pred_test = pipe.predict(X_test)_x000a__x000a_    rmse, mae, r2 = metrics(y_test, pred_test)_x000a_    rows.append({&quot;model&quot;: name, &quot;RMSE&quot;: rmse, &quot;MAE&quot;: mae, &quot;R2&quot;: r2})_x000a_    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d v="2026-04-15T14:56:46"/>
    <x v="3"/>
    <n v="0"/>
    <n v="30"/>
    <n v="1020"/>
    <n v="1050"/>
    <n v="133"/>
    <n v="4091"/>
    <n v="1721"/>
    <n v="2"/>
    <n v="4"/>
    <n v="3"/>
    <s v="Attempts to request help with code errors."/>
    <s v="Lacks clarity and specificity; unclear about the error and what needs correction."/>
    <s v="Provides a detailed code example and relevant suggestions for error handling."/>
    <s v="Assumes knowledge of the error without asking for specifics; could be more concise."/>
    <s v="Please help me correct my code error. I need specific guidance on what the error is."/>
    <s v="Ask for the specific error message to provide more targeted assistance."/>
    <s v="fair"/>
    <b v="0"/>
    <s v="gpt-4o-mini"/>
    <s v="{&quot;prompt_score&quot;: 2, &quot;response_score&quot;: 4, &quot;overall_score&quot;: 3, &quot;prompt_strengths&quot;: &quot;Attempts to request help with code errors.&quot;, &quot;prompt_issues&quot;: &quot;Lacks clarity and specificity; unclear about the error and what needs correction.&quot;, &quot;response_strengths&quot;: &quot;Provides a detailed code example and relevant suggestions for error handling.&quot;, &quot;response_issues&quot;: &quot;Assumes knowledge of the error without asking for specifics; could be more concise.&quot;, &quot;prompt_rewrite&quot;: &quot;Please help me correct my code error. I need specific guidance on what the error is.&quot;, &quot;response_improvement_suggestions&quot;: &quot;Ask for the specific error message to provide more targeted assistance.&quot;, &quot;verdict&quot;: &quot;fair&quot;, &quot;needs_human_review&quot;: false}"/>
    <s v="ok"/>
    <n v="3"/>
  </r>
  <r>
    <x v="11"/>
    <s v="[LANG:Python]_x000a_[MODE:summary_code_explanation]_x000a_[ASSESSMENT_ID:1771cf7a-0a65-11f1-b762-3e0936ad7efb]_x000a_[FORCE_GPT:true]_x000a_[AUTO_FALLBACK:true]_x000a_setelah itu Sekarang, kita akan lihat hasil dari model yang di train menggunakan linear regression. pred = ## YOUR CODE HERE ##"/>
    <s v="done"/>
    <s v="**SUMMARY**  _x000a_Untuk melihat hasil model Linear Regression, lakukan `fit` pada data train lalu buat prediksi pada data test dengan `.predict()`._x000a__x000a_```python_x000a_linreg.fit(X_train, y_train)_x000a_pred = linreg.predict(X_test)_x000a_```_x000a__x000a_**EXPLANATION**  _x000a_- `fit(X_train, y_train)` melatih model (atau pipeline) Linear Regression.  _x000a_- `predict(X_test)` menghasilkan prediksi target (charges) untuk data uji dan disimpan ke variabel `pred`."/>
    <s v="**SUMMARY**  _x000a_Untuk melihat hasil model Linear Regression, lakukan `fit` pada data train lalu buat prediksi pada data test dengan `.predict()`._x000a__x000a_```python_x000a_linreg.fit(X_train, y_train)_x000a_pred = linreg.predict(X_test)_x000a_```_x000a__x000a_**EXPLANATION**  _x000a_- `fit(X_train, y_train)` melatih model (atau pipeline) Linear Regression.  _x000a_- `predict(X_test)` menghasilkan prediksi target (charges) untuk data uji dan disimpan ke variabel `pred`."/>
    <d v="2026-03-04T15:18:35"/>
    <x v="6"/>
    <n v="0"/>
    <n v="85"/>
    <n v="116"/>
    <n v="201"/>
    <n v="264"/>
    <n v="420"/>
    <n v="1744"/>
    <n v="3"/>
    <n v="4"/>
    <n v="4"/>
    <s v="The prompt specifies the programming language and mode clearly."/>
    <s v="Lacks clarity in the task and specific instructions for the code."/>
    <s v="The response is relevant, correct, and provides a clear explanation."/>
    <s v="Could include more detail on the context of the model's application."/>
    <s v="Provide a clear task for implementing and evaluating a linear regression model in Python."/>
    <s v="Add examples of interpreting the predictions or evaluating model performance."/>
    <s v="good"/>
    <b v="0"/>
    <s v="gpt-4o-mini"/>
    <s v="{&quot;prompt_score&quot;: 3, &quot;response_score&quot;: 4, &quot;overall_score&quot;: 4, &quot;prompt_strengths&quot;: &quot;The prompt specifies the programming language and mode clearly.&quot;, &quot;prompt_issues&quot;: &quot;Lacks clarity in the task and specific instructions for the code.&quot;, &quot;response_strengths&quot;: &quot;The response is relevant, correct, and provides a clear explanation.&quot;, &quot;response_issues&quot;: &quot;Could include more detail on the context of the model's application.&quot;, &quot;prompt_rewrite&quot;: &quot;Provide a clear task for implementing and evaluating a linear regression model in Python.&quot;, &quot;response_improvement_suggestions&quot;: &quot;Add examples of interpreting the predictions or evaluating model performance.&quot;, &quot;verdict&quot;: &quot;good&quot;, &quot;needs_human_review&quot;: false}"/>
    <s v="ok"/>
    <n v="4"/>
  </r>
  <r>
    <x v="11"/>
    <s v="[MODE:code]_x000a_saya merupakan seoarang mahasiswa teknik informatika saat ini saya mengerjakan tugas machine learning :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sampel (baris) yang sama.&quot;)_x000a__x000a_    n_samples = X.shape[0]_x000a_    rng = np.random.default_rng(seed)_x000a__x000a_    indices = np.arange(n_samples)_x000a_    rng.shuffle(indices)_x000a__x000a_    n_test = int(round(n_samples * test_ratio))_x000a_    n_test = max(0, min(n_samples, n_test))_x000a__x000a_    test_idx = indices[:n_test]_x000a_    train_idx = indices[n_test:]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quot;X dan y harus memiliki jumlah sampel (baris) yang sama.&quot;)_x000a__x000a_    n_samples = X.shape[0]_x000a_    rng = np.random.default_rng(seed)_x000a__x000a_    indices = np.arange(n_samples)_x000a_    rng.shuffle(indices)_x000a__x000a_    n_test = int(round(n_samples * test_ratio))_x000a_    n_test = max(0, min(n_samples, n_test))_x000a__x000a_    test_idx = indices[:n_test]_x000a_    train_idx = indices[n_test:]_x000a__x000a_    X_train = X[train_idx]_x000a_    X_test = X[test_idx]_x000a_    y_train = y[train_idx]_x000a_    y_test = y[test_idx]_x000a__x000a_    return X_train, X_test, y_train, y_test_x000a_```"/>
    <d v="2026-04-01T14:58:01"/>
    <x v="5"/>
    <n v="0"/>
    <n v="122"/>
    <n v="196"/>
    <n v="318"/>
    <n v="442"/>
    <n v="691"/>
    <n v="1944"/>
    <n v="4"/>
    <n v="5"/>
    <n v="5"/>
    <s v="Clear instructions and context for the task."/>
    <s v="Minor language errors (e.g., 'seoarang' should be 'seorang')."/>
    <s v="Correct implementation of the function with clear logic and error handling."/>
    <s v="None."/>
    <s v="[MODE:code] Saya seorang mahasiswa teknik informatika. Saat ini, saya mengerjakan tugas machine learning: def train_test_split_manual(X, y, test_ratio=0.2, seed=42): # ===================== Write Your Code Here ===================== # Instruksi: # 1. Acak indeks data secara reproducible dengan seed # 2. Bagi data menjadi train dan test sesuai test_ratio # 3. Kembalikan X_train, X_test, y_train, y_test #"/>
    <s v="Consider adding comments to explain each step of the code for better clarity."/>
    <s v="excellent"/>
    <b v="0"/>
    <s v="gpt-4o-mini"/>
    <s v="{&quot;prompt_score&quot;: 4, &quot;response_score&quot;: 5, &quot;overall_score&quot;: 5, &quot;prompt_strengths&quot;: &quot;Clear instructions and context for the task.&quot;, &quot;prompt_issues&quot;: &quot;Minor language errors (e.g., 'seoarang' should be 'seorang').&quot;, &quot;response_strengths&quot;: &quot;Correct implementation of the function with clear logic and error handling.&quot;, &quot;response_issues&quot;: &quot;None.&quot;, &quot;prompt_rewrite&quot;: &quot;[MODE:code] Saya seorang mahasiswa teknik informatika. Saat ini, saya mengerjakan tugas machine learning: def train_test_split_manual(X, y, test_ratio=0.2, seed=42): # ===================== Write Your Code Here ===================== # Instruksi: # 1. Acak indeks data secara reproducible dengan seed # 2. Bagi data menjadi train dan test sesuai test_ratio # 3. Kembalikan X_train, X_test, y_train, y_test #&quot;, &quot;response_improvement_suggestions&quot;: &quot;Consider adding comments to explain each step of the code for better clarity.&quot;, &quot;verdict&quot;: &quot;excellent&quot;, &quot;needs_human_review&quot;: false}"/>
    <s v="ok"/>
    <n v="5"/>
  </r>
  <r>
    <x v="11"/>
    <s v="[MODE:summary_code_explanation]_x000a_apa yang salah dari ini : error_train, error_val = learning_curve(X_poly, y, X_poly_val, yval, alpha)"/>
    <s v="done"/>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    if X_poly.shape[1] == 8:  # contoh kalau p=8 dan belum ada bias_x000a_        X_poly = np.c_[np.ones((X_poly.shape[0], 1)), X_poly]_x000a_        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    if X_poly.shape[1] == 8:  # contoh kalau p=8 dan belum ada bias_x000a_        X_poly = np.c_[np.ones((X_poly.shape[0], 1)), X_poly]_x000a_        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d v="2026-04-08T16:02:48"/>
    <x v="0"/>
    <n v="0"/>
    <n v="36"/>
    <n v="586"/>
    <n v="622"/>
    <n v="133"/>
    <n v="1960"/>
    <n v="2418"/>
    <n v="4"/>
    <n v="5"/>
    <n v="5"/>
    <s v="Clear and specific about the error context."/>
    <s v="Could provide more context on the expected input shapes."/>
    <s v="Thorough explanation with actionable code examples."/>
    <s v="None significant; very comprehensive."/>
    <s v="Apa yang mungkin menyebabkan error 'size 9 is different from 1' dalam kode ini: error_train, error_val = learning_curve(X_poly, y, X_poly_val, yval, alpha?"/>
    <s v="Consider summarizing key points at the end for quick reference."/>
    <s v="excellent"/>
    <b v="0"/>
    <s v="gpt-4o-mini"/>
    <s v="{&quot;prompt_score&quot;: 4, &quot;response_score&quot;: 5, &quot;overall_score&quot;: 5, &quot;prompt_strengths&quot;: &quot;Clear and specific about the error context.&quot;, &quot;prompt_issues&quot;: &quot;Could provide more context on the expected input shapes.&quot;, &quot;response_strengths&quot;: &quot;Thorough explanation with actionable code examples.&quot;, &quot;response_issues&quot;: &quot;None significant; very comprehensive.&quot;, &quot;prompt_rewrite&quot;: &quot;Apa yang mungkin menyebabkan error 'size 9 is different from 1' dalam kode ini: error_train, error_val = learning_curve(X_poly, y, X_poly_val, yval, alpha?&quot;, &quot;response_improvement_suggestions&quot;: &quot;Consider summarizing key points at the end for quick reference.&quot;, &quot;verdict&quot;: &quot;excellent&quot;, &quot;needs_human_review&quot;: false}"/>
    <s v="ok"/>
    <n v="5"/>
  </r>
  <r>
    <x v="11"/>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di bawah melengkapi EDA berorientasi risiko akademik: missing value, statistik numerik, distribusi fitur relevan, perbandingan Pass vs Fail untuk ≥2 fitur, heatmap korelasi, serta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_theme(style=&quot;whitegrid&quot;)_x000a__x000a_# =========================_x000a_# 1) Missing value_x000a_#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if (missing_cnt &gt; 0).any():_x000a_    top = missing_pct[missing_pct &gt; 0].head(5).round(2)_x000a_    print(&quot;\nINSIGHT (Missing): Kolom missing terbesar (%):&quot;)_x000a_    print(top.to_string())_x000a_    print(&quot;INSIGHT (Missing): Missing pada fitur risiko (mis. score/attendance/study_hours) perlu ditangani (imputasi) agar analisis/model tidak bias.&quot;)_x000a_else:_x000a_    print(&quot;\nINSIGHT (Missing): Tidak ada missing value, sehingga analisis distribusi dan korelasi lebih dapat dipercaya.&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 Insight sederhana: kolom dengan variasi terbesar (std)_x000a_    top_std = desc[&quot;std&quot;].sort_values(ascending=False).head(5)_x000a_    print(&quot;\nINSIGHT (Statistik): Fitur dengan variasi (std) terbesar (potensi pembeda risiko):&quot;)_x000a_    print(top_std.to_string())_x000a_    print(&quot;INSIGHT (Statistik): Variasi besar bisa membantu membedakan siswa berisiko, tapi juga perlu cek outlier/skalanya.&quot;)_x000a__x000a_# =========================_x000a_# 3) Distribusi fitur numerik relevan untuk risiko akademik_x000a_# =========================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 (risiko):&quot;, risk_cols)_x000a__x000a_if len(risk_cols) &gt; 0: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 + 1, len(axes)):_x000a_        axes[j].axis(&quot;off&quot;)_x000a__x000a_    plt.tight_layout()_x000a_    plt.show()_x000a__x000a_    # Insight distribusi: skewness (kemencengan)_x000a_    skew = num_df[risk_cols].skew(numeric_only=True).sort_values(key=lambda s: s.abs(), ascending=False)_x000a_    print(&quot;\nINSIGHT (Distribusi): Skewness absolut terbesar (indikasi distribusi tidak simetris):&quot;)_x000a_    print(skew.head(5).round(3).to_string())_x000a_    print(&quot;INSIGHT (Distribusi): Distribusi yang sangat skew bisa menandakan banyak siswa di nilai rendah/tinggi; pertimbangkan transformasi (log) untuk model tertentu.&quot;)_x000a_else:_x000a_    print(&quot;\nINSIGHT (Distribusi): Tidak ada fitur numerik untuk divisualisasikan.&quot;)_x000a__x000a_# =========================_x000a_# 4) Bandingkan minimal dua fitur antara kelompok Pass dan Fail_x000a_# =========================_x000a_# Cari kolom target pass/fail_x000a_target_candidates = [&quot;pass_fail&quot;, &quot;"/>
    <s v="**SUMMARY**  _x000a_Kode di bawah melengkapi EDA berorientasi risiko akademik: missing value, statistik numerik, distribusi fitur relevan, perbandingan Pass vs Fail untuk ≥2 fitur, heatmap korelasi, serta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_theme(style=&quot;whitegrid&quot;)_x000a__x000a_# =========================_x000a_# 1) Missing value_x000a_#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if (missing_cnt &gt; 0).any():_x000a_    top = missing_pct[missing_pct &gt; 0].head(5).round(2)_x000a_    print(&quot;\nINSIGHT (Missing): Kolom missing terbesar (%):&quot;)_x000a_    print(top.to_string())_x000a_    print(&quot;INSIGHT (Missing): Missing pada fitur risiko (mis. score/attendance/study_hours) perlu ditangani (imputasi) agar analisis/model tidak bias.&quot;)_x000a_else:_x000a_    print(&quot;\nINSIGHT (Missing): Tidak ada missing value, sehingga analisis distribusi dan korelasi lebih dapat dipercaya.&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 Insight sederhana: kolom dengan variasi terbesar (std)_x000a_    top_std = desc[&quot;std&quot;].sort_values(ascending=False).head(5)_x000a_    print(&quot;\nINSIGHT (Statistik): Fitur dengan variasi (std) terbesar (potensi pembeda risiko):&quot;)_x000a_    print(top_std.to_string())_x000a_    print(&quot;INSIGHT (Statistik): Variasi besar bisa membantu membedakan siswa berisiko, tapi juga perlu cek outlier/skalanya.&quot;)_x000a__x000a_# =========================_x000a_# 3) Distribusi fitur numerik relevan untuk risiko akademik_x000a_# =========================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 (risiko):&quot;, risk_cols)_x000a__x000a_if len(risk_cols) &gt; 0: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 + 1, len(axes)):_x000a_        axes[j].axis(&quot;off&quot;)_x000a__x000a_    plt.tight_layout()_x000a_    plt.show()_x000a__x000a_    # Insight distribusi: skewness (kemencengan)_x000a_    skew = num_df[risk_cols].skew(numeric_only=True).sort_values(key=lambda s: s.abs(), ascending=False)_x000a_    print(&quot;\nINSIGHT (Distribusi): Skewness absolut terbesar (indikasi distribusi tidak simetris):&quot;)_x000a_    print(skew.head(5).round(3).to_string())_x000a_    print(&quot;INSIGHT (Distribusi): Distribusi yang sangat skew bisa menandakan banyak siswa di nilai rendah/tinggi; pertimbangkan transformasi (log) untuk model tertentu.&quot;)_x000a_else:_x000a_    print(&quot;\nINSIGHT (Distribusi): Tidak ada fitur numerik untuk divisualisasikan.&quot;)_x000a__x000a_# =========================_x000a_# 4) Bandingkan minimal dua fitur antara kelompok Pass dan Fail_x000a_# =========================_x000a_# Cari kolom target pass/fail_x000a_target_candidates = [&quot;pass_fail&quot;, &quot;"/>
    <d v="2026-04-15T14:18:10"/>
    <x v="3"/>
    <n v="0"/>
    <n v="155"/>
    <n v="1069"/>
    <n v="1224"/>
    <n v="486"/>
    <n v="3858"/>
    <n v="2876"/>
    <n v="4"/>
    <n v="4"/>
    <n v="4"/>
    <s v="Clear and detailed instructions for EDA tasks."/>
    <s v="Could benefit from more context on the dataset."/>
    <s v="Comprehensive code with insights for each EDA step."/>
    <s v="Response is cut off and lacks completion."/>
    <s v="[MODE:summary_code_explanation] Bagian 2 - EDA Berorientasi Risiko: Lakukan analisis EDA pada dataset akademik, termasuk cek missing value, statistik deskriptif fitur numerik, visualisasi distribusi fitur relevan, perbandingan fitur antara kelompok Pass dan Fail, serta heatmap korelasi. Berikan insight untuk setiap hasil yang diamati."/>
    <s v="Complete the response by finishing the code and insights for comparing features between Pass and Fail groups."/>
    <s v="good"/>
    <b v="0"/>
    <s v="gpt-4o-mini"/>
    <s v="{&quot;prompt_score&quot;: 4, &quot;response_score&quot;: 4, &quot;overall_score&quot;: 4, &quot;prompt_strengths&quot;: &quot;Clear and detailed instructions for EDA tasks.&quot;, &quot;prompt_issues&quot;: &quot;Could benefit from more context on the dataset.&quot;, &quot;response_strengths&quot;: &quot;Comprehensive code with insights for each EDA step.&quot;, &quot;response_issues&quot;: &quot;Response is cut off and lacks completion.&quot;, &quot;prompt_rewrite&quot;: &quot;[MODE:summary_code_explanation] Bagian 2 - EDA Berorientasi Risiko: Lakukan analisis EDA pada dataset akademik, termasuk cek missing value, statistik deskriptif fitur numerik, visualisasi distribusi fitur relevan, perbandingan fitur antara kelompok Pass dan Fail, serta heatmap korelasi. Berikan insight untuk setiap hasil yang diamati.&quot;, &quot;response_improvement_suggestions&quot;: &quot;Complete the response by finishing the code and insights for comparing features between Pass and Fail groups.&quot;, &quot;verdict&quot;: &quot;good&quot;, &quot;needs_human_review&quot;: false}"/>
    <s v="ok"/>
    <n v="4"/>
  </r>
  <r>
    <x v="11"/>
    <s v="[MODE:code]_x000a_sekarang ini :_x000a__x000a_def mse(y_true, y_pred):_x000a_    # ===================== Write Your Code Here ====================_x000a__x000a__x000a_def rmse(y_true, y_pred):_x000a_    # ===================== Write Your Code Here ====================_x000a__x000a__x000a_def r2_score(y_true, y_pred):_x000a_    # ===================== Write Your Code Here ===================="/>
    <s v="done"/>
    <s v="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
    <s v="```python_x000a_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_x000a_```"/>
    <d v="2026-04-01T15:03:24"/>
    <x v="5"/>
    <n v="0"/>
    <n v="69"/>
    <n v="176"/>
    <n v="245"/>
    <n v="322"/>
    <n v="530"/>
    <n v="3400"/>
    <n v="3"/>
    <n v="5"/>
    <n v="4"/>
    <s v="Clearly outlines the functions to be implemented."/>
    <s v="Lacks context on the purpose of the functions."/>
    <s v="Correctly implements the required functions with clarity."/>
    <s v="Could include comments for better understanding."/>
    <s v="Implement the following statistical functions: mean squared error (mse), root mean squared error (rmse), and R-squared (r2_score) for evaluating model performance."/>
    <s v="Add comments explaining each function's purpose and logic."/>
    <s v="good"/>
    <b v="0"/>
    <s v="gpt-4o-mini"/>
    <s v="{&quot;prompt_score&quot;: 3, &quot;response_score&quot;: 5, &quot;overall_score&quot;: 4, &quot;prompt_strengths&quot;: &quot;Clearly outlines the functions to be implemented.&quot;, &quot;prompt_issues&quot;: &quot;Lacks context on the purpose of the functions.&quot;, &quot;response_strengths&quot;: &quot;Correctly implements the required functions with clarity.&quot;, &quot;response_issues&quot;: &quot;Could include comments for better understanding.&quot;, &quot;prompt_rewrite&quot;: &quot;Implement the following statistical functions: mean squared error (mse), root mean squared error (rmse), and R-squared (r2_score) for evaluating model performance.&quot;, &quot;response_improvement_suggestions&quot;: &quot;Add comments explaining each function's purpose and logic.&quot;, &quot;verdict&quot;: &quot;good&quot;, &quot;needs_human_review&quot;: false}"/>
    <s v="ok"/>
    <n v="4"/>
  </r>
  <r>
    <x v="11"/>
    <s v="[LANG:Python]_x000a_[MODE:summary_code_explanation]_x000a_saya diminta untuk membuat insight mengenai data yang ada, menurut kamu apa insight mengenai data tersebut"/>
    <s v="done"/>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           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           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d v="2026-03-04T15:37:41"/>
    <x v="6"/>
    <n v="0"/>
    <n v="38"/>
    <n v="564"/>
    <n v="602"/>
    <n v="152"/>
    <n v="1841"/>
    <n v="3912"/>
    <n v="4"/>
    <n v="5"/>
    <n v="5"/>
    <s v="Clear request for insights on data analysis."/>
    <s v="Could specify the type of data for better context."/>
    <s v="Thorough, relevant insights with supporting code and clear explanations."/>
    <s v="None significant; very comprehensive."/>
    <s v="[LANG:Python] [MODE:summary_code_explanation] Berikan insight mengenai dataset asuransi yang berisi informasi tentang charges, smoker status, age, dan bmi."/>
    <s v="Consider adding a brief summary of the dataset characteristics."/>
    <s v="excellent"/>
    <b v="0"/>
    <s v="gpt-4o-mini"/>
    <s v="{&quot;prompt_score&quot;: 4, &quot;response_score&quot;: 5, &quot;overall_score&quot;: 5, &quot;prompt_strengths&quot;: &quot;Clear request for insights on data analysis.&quot;, &quot;prompt_issues&quot;: &quot;Could specify the type of data for better context.&quot;, &quot;response_strengths&quot;: &quot;Thorough, relevant insights with supporting code and clear explanations.&quot;, &quot;response_issues&quot;: &quot;None significant; very comprehensive.&quot;, &quot;prompt_rewrite&quot;: &quot;[LANG:Python] [MODE:summary_code_explanation] Berikan insight mengenai dataset asuransi yang berisi informasi tentang charges, smoker status, age, dan bmi.&quot;, &quot;response_improvement_suggestions&quot;: &quot;Consider adding a brief summary of the dataset characteristics.&quot;, &quot;verdict&quot;: &quot;excellent&quot;, &quot;needs_human_review&quot;: false}"/>
    <s v="ok"/>
    <n v="5"/>
  </r>
  <r>
    <x v="11"/>
    <s v="[LANG:Python]_x000a_[MODE:summary_code_explanation]_x000a_setelah itu saya sudah turun ke bawah dan sekarang  diminta, buat scatter plot untuk melihat pengaruh bmi terhadap charges"/>
    <s v="done"/>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d v="2026-03-04T15:12:47"/>
    <x v="6"/>
    <n v="0"/>
    <n v="46"/>
    <n v="276"/>
    <n v="322"/>
    <n v="168"/>
    <n v="921"/>
    <n v="3940"/>
    <n v="4"/>
    <n v="5"/>
    <n v="4"/>
    <s v="Clear request for a scatter plot and its purpose."/>
    <s v="Could provide more context about the dataset."/>
    <s v="Correctly provides code and clear explanations."/>
    <s v="Could include a brief note on data preparation."/>
    <s v="Buat scatter plot untuk melihat pengaruh BMI terhadap charges dari dataset yang diberikan."/>
    <s v="Add a note on ensuring the dataset is clean and ready for plotting."/>
    <s v="good"/>
    <b v="0"/>
    <s v="gpt-4o-mini"/>
    <s v="{&quot;prompt_score&quot;: 4, &quot;response_score&quot;: 5, &quot;overall_score&quot;: 4, &quot;prompt_strengths&quot;: &quot;Clear request for a scatter plot and its purpose.&quot;, &quot;prompt_issues&quot;: &quot;Could provide more context about the dataset.&quot;, &quot;response_strengths&quot;: &quot;Correctly provides code and clear explanations.&quot;, &quot;response_issues&quot;: &quot;Could include a brief note on data preparation.&quot;, &quot;prompt_rewrite&quot;: &quot;Buat scatter plot untuk melihat pengaruh BMI terhadap charges dari dataset yang diberikan.&quot;, &quot;response_improvement_suggestions&quot;: &quot;Add a note on ensuring the dataset is clean and ready for plotting.&quot;, &quot;verdict&quot;: &quot;good&quot;, &quot;needs_human_review&quot;: false}"/>
    <s v="ok"/>
    <n v="4"/>
  </r>
  <r>
    <x v="12"/>
    <s v="[MODE:summary_code_explanation]_x000a_kalau ada pertanyaan Question : ada berapa Sampel dan Fitur di dataset?_x000a_apa jawaban dari pertanyaan tersebut"/>
    <s v="done"/>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d v="2026-03-11T15:54:48"/>
    <x v="2"/>
    <n v="0"/>
    <n v="35"/>
    <n v="194"/>
    <n v="229"/>
    <n v="140"/>
    <n v="623"/>
    <n v="274"/>
    <n v="4"/>
    <n v="5"/>
    <n v="4"/>
    <s v="Clear and specific question about dataset characteristics."/>
    <s v="Could provide more context about the dataset."/>
    <s v="Accurate, complete, and clear explanation with code examples."/>
    <s v="None significant; could be slightly more concise."/>
    <s v="Berapa jumlah sampel dan fitur dalam dataset yang diberikan?"/>
    <s v="Consider summarizing the explanation to enhance conciseness."/>
    <s v="good"/>
    <b v="0"/>
    <s v="gpt-4o-mini"/>
    <s v="{&quot;prompt_score&quot;: 4, &quot;response_score&quot;: 5, &quot;overall_score&quot;: 4, &quot;prompt_strengths&quot;: &quot;Clear and specific question about dataset characteristics.&quot;, &quot;prompt_issues&quot;: &quot;Could provide more context about the dataset.&quot;, &quot;response_strengths&quot;: &quot;Accurate, complete, and clear explanation with code examples.&quot;, &quot;response_issues&quot;: &quot;None significant; could be slightly more concise.&quot;, &quot;prompt_rewrite&quot;: &quot;Berapa jumlah sampel dan fitur dalam dataset yang diberikan?&quot;, &quot;response_improvement_suggestions&quot;: &quot;Consider summarizing the explanation to enhance conciseness.&quot;, &quot;verdict&quot;: &quot;good&quot;, &quot;needs_human_review&quot;: false}"/>
    <s v="ok"/>
    <n v="4"/>
  </r>
  <r>
    <x v="12"/>
    <s v="[MODE:summary_code_explanation]_x000a_disuruhnya berbentuk teks gituu, apa ya kira kira yang harus aku tulisin, apa aja yah isinya yang harus aku tulis"/>
    <s v="done"/>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d v="2026-03-04T15:29:30"/>
    <x v="6"/>
    <n v="0"/>
    <n v="45"/>
    <n v="869"/>
    <n v="914"/>
    <n v="145"/>
    <n v="2931"/>
    <n v="825"/>
    <n v="3"/>
    <n v="5"/>
    <n v="4"/>
    <s v="The prompt indicates a need for a text summary and outlines the expected content."/>
    <s v="Lacks clarity and specificity in what is being asked; could be more structured."/>
    <s v="The response is comprehensive, relevant, and provides a clear structure for the summary."/>
    <s v="Could be slightly more concise; some points may be overwhelming for a beginner."/>
    <s v="Apa yang harus saya tulis dalam teks ringkasan tentang analisis data? Mohon berikan poin-poin penting yang harus dicakup."/>
    <s v="Consider summarizing key points more concisely and providing clearer examples for beginners."/>
    <s v="good"/>
    <b v="0"/>
    <s v="gpt-4o-mini"/>
    <s v="{&quot;prompt_score&quot;: 3, &quot;response_score&quot;: 5, &quot;overall_score&quot;: 4, &quot;prompt_strengths&quot;: &quot;The prompt indicates a need for a text summary and outlines the expected content.&quot;, &quot;prompt_issues&quot;: &quot;Lacks clarity and specificity in what is being asked; could be more structured.&quot;, &quot;response_strengths&quot;: &quot;The response is comprehensive, relevant, and provides a clear structure for the summary.&quot;, &quot;response_issues&quot;: &quot;Could be slightly more concise; some points may be overwhelming for a beginner.&quot;, &quot;prompt_rewrite&quot;: &quot;Apa yang harus saya tulis dalam teks ringkasan tentang analisis data? Mohon berikan poin-poin penting yang harus dicakup.&quot;, &quot;response_improvement_suggestions&quot;: &quot;Consider summarizing key points more concisely and providing clearer examples for beginners.&quot;, &quot;verdict&quot;: &quot;good&quot;, &quot;needs_human_review&quot;: false}"/>
    <s v="ok"/>
    <n v="4"/>
  </r>
  <r>
    <x v="12"/>
    <s v="[MODE:summary_code_explanation]_x000a_x dan y nya tuh ini tadi perintahnya Extract semua baris dan kolom ke-1 s.d. ke-7 ke dalam variabel `X`.Simpan semua baris dari kolom ke-7 ke dalam variabel `y`."/>
    <s v="done"/>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d v="2026-03-11T15:49:39"/>
    <x v="2"/>
    <n v="0"/>
    <n v="62"/>
    <n v="366"/>
    <n v="428"/>
    <n v="193"/>
    <n v="1015"/>
    <n v="864"/>
    <n v="4"/>
    <n v="5"/>
    <n v="4"/>
    <s v="Clear instructions with specific variable assignments."/>
    <s v="Could provide more context about the dataset."/>
    <s v="Accurate, detailed explanation with code example."/>
    <s v="Could briefly mention potential errors in dataset assumptions."/>
    <s v="Extract all rows and columns 1 to 7 into variable `X` and save all rows from column 8 into variable `y` for the Pima Indians Diabetes dataset."/>
    <s v="Include a note on common dataset structures to avoid confusion."/>
    <s v="good"/>
    <b v="0"/>
    <s v="gpt-4o-mini"/>
    <s v="{&quot;prompt_score&quot;: 4, &quot;response_score&quot;: 5, &quot;overall_score&quot;: 4, &quot;prompt_strengths&quot;: &quot;Clear instructions with specific variable assignments.&quot;, &quot;prompt_issues&quot;: &quot;Could provide more context about the dataset.&quot;, &quot;response_strengths&quot;: &quot;Accurate, detailed explanation with code example.&quot;, &quot;response_issues&quot;: &quot;Could briefly mention potential errors in dataset assumptions.&quot;, &quot;prompt_rewrite&quot;: &quot;Extract all rows and columns 1 to 7 into variable `X` and save all rows from column 8 into variable `y` for the Pima Indians Diabetes dataset.&quot;, &quot;response_improvement_suggestions&quot;: &quot;Include a note on common dataset structures to avoid confusion.&quot;, &quot;verdict&quot;: &quot;good&quot;, &quot;needs_human_review&quot;: false}"/>
    <s v="ok"/>
    <n v="4"/>
  </r>
  <r>
    <x v="12"/>
    <s v="[LANG:Python]_x000a_[MODE:summary_code_explanation]_x000a_saya sudah memasukan semuanya yaitu_x000a_housing = pd.read_csv('housing_dataset.csv')_x000a_housing_labels = pd.read_csv('housing_labels.csv')&quot;_x000a_housing.shape_x000a_housing.info()_x000a_housing.describe()_x000a_housing_labels.describe()_x000a_nah sekarang saya disuruh mencari tahu tentang nilai null, gimana caranya"/>
    <s v="done"/>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d v="2026-02-25T15:34:18"/>
    <x v="1"/>
    <n v="0"/>
    <n v="80"/>
    <n v="345"/>
    <n v="425"/>
    <n v="326"/>
    <n v="1134"/>
    <n v="1381"/>
    <n v="4"/>
    <n v="5"/>
    <n v="4"/>
    <s v="Clear request for help with null values in a dataset."/>
    <s v="Could provide more context on what specific analysis is needed."/>
    <s v="Comprehensive and clear explanation with relevant code examples."/>
    <s v="None significant; all aspects of the question are addressed."/>
    <s v="Saya sudah memasukkan data ke dalam variabel housing dan housing_labels. Sekarang, saya perlu mencari tahu tentang nilai null dalam dataset housing. Bagaimana cara melakukannya?"/>
    <s v="Consider adding a brief explanation of why checking for null values is important."/>
    <s v="good"/>
    <b v="0"/>
    <s v="gpt-4o-mini"/>
    <s v="{&quot;prompt_score&quot;: 4, &quot;response_score&quot;: 5, &quot;overall_score&quot;: 4, &quot;prompt_strengths&quot;: &quot;Clear request for help with null values in a dataset.&quot;, &quot;prompt_issues&quot;: &quot;Could provide more context on what specific analysis is needed.&quot;, &quot;response_strengths&quot;: &quot;Comprehensive and clear explanation with relevant code examples.&quot;, &quot;response_issues&quot;: &quot;None significant; all aspects of the question are addressed.&quot;, &quot;prompt_rewrite&quot;: &quot;Saya sudah memasukkan data ke dalam variabel housing dan housing_labels. Sekarang, saya perlu mencari tahu tentang nilai null dalam dataset housing. Bagaimana cara melakukannya?&quot;, &quot;response_improvement_suggestions&quot;: &quot;Consider adding a brief explanation of why checking for null values is important.&quot;, &quot;verdict&quot;: &quot;good&quot;, &quot;needs_human_review&quot;: false}"/>
    <s v="ok"/>
    <n v="4"/>
  </r>
  <r>
    <x v="12"/>
    <s v="[MODE:summary_code_explanation]_x000a_[ASSESSMENT_ID:1771cf8b-0a65-11f1-b762-3e0936ad7efb]_x000a_[FORCE_GPT:true]_x000a_[AUTO_FALLBACK:tru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Ringkasnya, untuk setiap ukuran data latih ke‑i kamu melatih parameter `theta` pada `X[:i]`, lalu menghitung **training error** pada subset itu dan **validation error** pada seluruh `Xval`, keduanya deng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_x000a_```_x000a__x000a_Penjelasan singkat:_x000a_- Loop `i` dari `0..m-1`, jadi subset berukuran `i+1` memakai `X[:i+1]` dan `y[:i+1]`._x000a_- `theta` dilatih dengan regularisasi `alpha` (sesuai instruksi)._x000a_- Saat **menghitung error untuk kurva belajar**, regularisasi **tidak ikut dihitung**, maka `alpha=0` pada `linear_reg_cost_function` untuk train dan val."/>
    <s v="Ringkasnya, untuk setiap ukuran data latih ke‑i kamu melatih parameter `theta` pada `X[:i]`, lalu menghitung **training error** pada subset itu dan **validation error** pada seluruh `Xval`, keduanya deng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_x000a_```_x000a__x000a_Penjelasan singkat:_x000a_- Loop `i` dari `0..m-1`, jadi subset berukuran `i+1` memakai `X[:i+1]` dan `y[:i+1]`._x000a_- `theta` dilatih dengan regularisasi `alpha` (sesuai instruksi)._x000a_- Saat **menghitung error untuk kurva belajar**, regularisasi **tidak ikut dihitung**, maka `alpha=0` pada `linear_reg_cost_function` untuk train dan val."/>
    <d v="2026-04-08T15:29:09"/>
    <x v="0"/>
    <n v="0"/>
    <n v="316"/>
    <n v="344"/>
    <n v="660"/>
    <n v="1081"/>
    <n v="1100"/>
    <n v="1727"/>
    <n v="4"/>
    <n v="5"/>
    <n v="5"/>
    <s v="Clear instructions and specific requirements."/>
    <s v="Could provide more context on the purpose of the function."/>
    <s v="Accurate, complete, and clearly explains the implementation."/>
    <s v="None identified."/>
    <s v="Lengkapi fungsi learning_curve untuk menghitung training dan validation error berdasarkan ukuran data latih. Gunakan alpha = 0 saat menghitung error."/>
    <s v="None needed; response is already comprehensive."/>
    <s v="excellent"/>
    <b v="0"/>
    <s v="gpt-4o-mini"/>
    <s v="{&quot;prompt_score&quot;: 4, &quot;response_score&quot;: 5, &quot;overall_score&quot;: 5, &quot;prompt_strengths&quot;: &quot;Clear instructions and specific requirements.&quot;, &quot;prompt_issues&quot;: &quot;Could provide more context on the purpose of the function.&quot;, &quot;response_strengths&quot;: &quot;Accurate, complete, and clearly explains the implementation.&quot;, &quot;response_issues&quot;: &quot;None identified.&quot;, &quot;prompt_rewrite&quot;: &quot;Lengkapi fungsi learning_curve untuk menghitung training dan validation error berdasarkan ukuran data latih. Gunakan alpha = 0 saat menghitung error.&quot;, &quot;response_improvement_suggestions&quot;: &quot;None needed; response is already comprehensive.&quot;, &quot;verdict&quot;: &quot;excellent&quot;, &quot;needs_human_review&quot;: false}"/>
    <s v="ok"/>
    <n v="5"/>
  </r>
  <r>
    <x v="12"/>
    <s v="[MODE:summary_code_explanation]_x000a_gimana cara bangun model regresi untuk memprediksi `final_exam_score` menggunakan:_x000a__x000a_1. `LinearRegression`_x000a_2. `Ridge` dengan `alpha=1.0`"/>
    <s v="done"/>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    &quot;attendance_rate&quot;,_x000a_    &quot;assignment_completion_rate&quot;,_x000a_    &quot;participation_score&quot;,_x000a_    &quot;study_hours_per_day&quot;,_x000a_    &quot;social_media_hours&quot;,_x000a_    &quot;online_courses_completed&quot;,_x000a_    &quot;tutoring_bin&quot;,  # jika Anda sudah buat_x000a_    &quot;engagement_index&quot;,_x000a_    &quot;digital_distraction_ratio&quot;,_x000a_    &quot;support_score&quot;,_x000a_]_x000a__x000a_# Ambil fitur yang benar-benar ada di df_x000a_FEATURES = [c for c in candidate_features if c in df.columns]_x000a__x000a_missing = [TARGET] if TARGET not in df.columns else []_x000a_if missing:_x000a_    raise KeyError(f&quot;Kolom target tidak ditemukan: {missing}. Pastikan df punya '{TARGET}'.&quot;)_x000a__x000a_if len(FEATURES) == 0:_x000a_    raise ValueError(&quot;Tidak ada fitur yang cocok ditemukan di df. Sesuaikan daftar FEATURES dengan kolom data Anda.&quot;)_x000a__x000a_X = df[FEATURES]_x000a_y = df[TARGET]_x000a__x000a_# Split_x000a_X_train, X_test, y_train, y_test = train_test_split(_x000a_    X, y, test_size=0.2, random_state=42_x000a_)_x000a__x000a_# =========================_x000a_# 1) Pipeline model_x000a_# =========================_x000a_def make_reg_pipeline(regressor):_x000a_    return Pipeline(steps=[_x000a_        (&quot;imputer&quot;, SimpleImputer(strategy=&quot;median&quot;)),_x000a_        (&quot;scaler&quot;, StandardScaler()),_x000a_        (&quot;reg&quot;, regressor),_x000a_    ])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    y_pred = model.predict(X_test)_x000a_    mae = mean_absolute_error(y_test, y_pred)_x000a_    rmse = mean_squared_error(y_test, y_pred, squared=False)_x000a_    r2 = r2_score(y_test, y_pred)_x000a_    return {&quot;model&quot;: name, &quot;MAE&quot;: mae, &quot;RMSE&quot;: rmse, &quot;R2&quot;: r2}_x000a__x000a_results = pd.DataFrame([_x000a_    eval_reg(&quot;LinearRegression&quot;, model_lr, X_test, y_test),_x000a_    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    &quot;attendance_rate&quot;,_x000a_    &quot;assignment_completion_rate&quot;,_x000a_    &quot;participation_score&quot;,_x000a_    &quot;study_hours_per_day&quot;,_x000a_    &quot;social_media_hours&quot;,_x000a_    &quot;online_courses_completed&quot;,_x000a_    &quot;tutoring_bin&quot;,  # jika Anda sudah buat_x000a_    &quot;engagement_index&quot;,_x000a_    &quot;digital_distraction_ratio&quot;,_x000a_    &quot;support_score&quot;,_x000a_]_x000a__x000a_# Ambil fitur yang benar-benar ada di df_x000a_FEATURES = [c for c in candidate_features if c in df.columns]_x000a__x000a_missing = [TARGET] if TARGET not in df.columns else []_x000a_if missing:_x000a_    raise KeyError(f&quot;Kolom target tidak ditemukan: {missing}. Pastikan df punya '{TARGET}'.&quot;)_x000a__x000a_if len(FEATURES) == 0:_x000a_    raise ValueError(&quot;Tidak ada fitur yang cocok ditemukan di df. Sesuaikan daftar FEATURES dengan kolom data Anda.&quot;)_x000a__x000a_X = df[FEATURES]_x000a_y = df[TARGET]_x000a__x000a_# Split_x000a_X_train, X_test, y_train, y_test = train_test_split(_x000a_    X, y, test_size=0.2, random_state=42_x000a_)_x000a__x000a_# =========================_x000a_# 1) Pipeline model_x000a_# =========================_x000a_def make_reg_pipeline(regressor):_x000a_    return Pipeline(steps=[_x000a_        (&quot;imputer&quot;, SimpleImputer(strategy=&quot;median&quot;)),_x000a_        (&quot;scaler&quot;, StandardScaler()),_x000a_        (&quot;reg&quot;, regressor),_x000a_    ])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    y_pred = model.predict(X_test)_x000a_    mae = mean_absolute_error(y_test, y_pred)_x000a_    rmse = mean_squared_error(y_test, y_pred, squared=False)_x000a_    r2 = r2_score(y_test, y_pred)_x000a_    return {&quot;model&quot;: name, &quot;MAE&quot;: mae, &quot;RMSE&quot;: rmse, &quot;R2&quot;: r2}_x000a__x000a_results = pd.DataFrame([_x000a_    eval_reg(&quot;LinearRegression&quot;, model_lr, X_test, y_test),_x000a_    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d v="2026-04-15T14:35:34"/>
    <x v="3"/>
    <n v="0"/>
    <n v="50"/>
    <n v="906"/>
    <n v="956"/>
    <n v="167"/>
    <n v="3428"/>
    <n v="1745"/>
    <n v="4"/>
    <n v="5"/>
    <n v="5"/>
    <s v="Clear and specific about the task."/>
    <s v="Could provide more context on the dataset."/>
    <s v="Comprehensive, correct, and well-structured code with explanations."/>
    <s v="None significant; all aspects of the prompt are addressed."/>
    <s v="Bagaimana cara membangun model regresi untuk memprediksi `final_exam_score` menggunakan `LinearRegression` dan `Ridge` dengan `alpha=1.0`, serta menjelaskan langkah-langkahnya?"/>
    <s v="Consider adding comments on potential pitfalls in model evaluation."/>
    <s v="excellent"/>
    <b v="0"/>
    <s v="gpt-4o-mini"/>
    <s v="{&quot;prompt_score&quot;: 4, &quot;response_score&quot;: 5, &quot;overall_score&quot;: 5, &quot;prompt_strengths&quot;: &quot;Clear and specific about the task.&quot;, &quot;prompt_issues&quot;: &quot;Could provide more context on the dataset.&quot;, &quot;response_strengths&quot;: &quot;Comprehensive, correct, and well-structured code with explanations.&quot;, &quot;response_issues&quot;: &quot;None significant; all aspects of the prompt are addressed.&quot;, &quot;prompt_rewrite&quot;: &quot;Bagaimana cara membangun model regresi untuk memprediksi `final_exam_score` menggunakan `LinearRegression` dan `Ridge` dengan `alpha=1.0`, serta menjelaskan langkah-langkahnya?&quot;, &quot;response_improvement_suggestions&quot;: &quot;Consider adding comments on potential pitfalls in model evaluation.&quot;, &quot;verdict&quot;: &quot;excellent&quot;, &quot;needs_human_review&quot;: false}"/>
    <s v="ok"/>
    <n v="5"/>
  </r>
  <r>
    <x v="12"/>
    <s v="[MODE:summary_code_explanation]_x000a_kalau cara bangun dua skenario model `LogisticRegression` untuk memprediksi `at_risk`:_x000a__x000a_1. **Skenario A**: hanya menggunakan `predicted_final_exam_score`._x000a_2. **Skenario B**: menggunakan `predicted_final_exam_score` ditambah fitur engineering yang Anda buat."/>
    <s v="done"/>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    confusion_matrix, ConfusionMatrixDisplay,_x000a_    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    raise KeyError(f&quot;Kolom untuk Skenario A tidak lengkap: {missing_A}&quot;)_x000a_if missing_B:_x000a_    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    X_A, y, test_size=0.2, random_state=42, stratify=y_x000a_)_x000a_X_B_train = X_B.loc[X_A_train.index]_x000a_X_B_test  = X_B.loc[X_A_test.index]_x000a__x000a_# =========================_x000a_# 1) PIPELINE MODEL_x000a_# =========================_x000a_def make_logreg_pipeline():_x000a_    return Pipeline(steps=[_x000a_        (&quot;imputer&quot;, SimpleImputer(strategy=&quot;median&quot;)),_x000a_        (&quot;scaler&quot;, StandardScaler()),_x000a_        (&quot;clf&quot;, LogisticRegression(max_iter=2000, random_state=42))_x000a_    ])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 LogisticRegression punya predict_proba_x000a_    proba = model.predict_proba(X_test)[:, 1]_x000a_    y_pred = (proba &gt;= threshold).astype(int)_x000a__x000a_    cm = confusion_matrix(y_test, y_pred, labels=[0, 1])_x000a_    ConfusionMatrixDisplay(cm, display_labels=[0, 1]).plot(values_format=&quot;d&quot;, cmap=&quot;Blues&quot;)_x000a_    plt.title(f&quot;Confusion Matrix - {name}&quot;)_x000a_    plt.tight_layout()_x000a_    plt.show()_x000a__x000a_    metrics = {_x000a_        &quot;scenario&quot;: name,_x000a_        &quot;accuracy&quot;: accuracy_score(y_test, y_pred),_x000a_        &quot;precision&quot;: precision_score(y_test, y_pred, zero_division=0),_x000a_        &quot;recall&quot;: recall_score(y_test, y_pred, zero_division=0),_x000a_        &quot;f1_score&quot;: f1_score(y_test, y_pred, zero_division=0),_x000a_    }_x000a_    return metrics_x000a__x000a_results = pd.DataFrame([_x000a_    eval_model(&quot;Scenario A (predicted_final_exam_score only)&quot;, model_A, X_A_test, y_test),_x000a_    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    confusion_matrix, ConfusionMatrixDisplay,_x000a_    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    raise KeyError(f&quot;Kolom untuk Skenario A tidak lengkap: {missing_A}&quot;)_x000a_if missing_B:_x000a_    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    X_A, y, test_size=0.2, random_state=42, stratify=y_x000a_)_x000a_X_B_train = X_B.loc[X_A_train.index]_x000a_X_B_test  = X_B.loc[X_A_test.index]_x000a__x000a_# =========================_x000a_# 1) PIPELINE MODEL_x000a_# =========================_x000a_def make_logreg_pipeline():_x000a_    return Pipeline(steps=[_x000a_        (&quot;imputer&quot;, SimpleImputer(strategy=&quot;median&quot;)),_x000a_        (&quot;scaler&quot;, StandardScaler()),_x000a_        (&quot;clf&quot;, LogisticRegression(max_iter=2000, random_state=42))_x000a_    ])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 LogisticRegression punya predict_proba_x000a_    proba = model.predict_proba(X_test)[:, 1]_x000a_    y_pred = (proba &gt;= threshold).astype(int)_x000a__x000a_    cm = confusion_matrix(y_test, y_pred, labels=[0, 1])_x000a_    ConfusionMatrixDisplay(cm, display_labels=[0, 1]).plot(values_format=&quot;d&quot;, cmap=&quot;Blues&quot;)_x000a_    plt.title(f&quot;Confusion Matrix - {name}&quot;)_x000a_    plt.tight_layout()_x000a_    plt.show()_x000a__x000a_    metrics = {_x000a_        &quot;scenario&quot;: name,_x000a_        &quot;accuracy&quot;: accuracy_score(y_test, y_pred),_x000a_        &quot;precision&quot;: precision_score(y_test, y_pred, zero_division=0),_x000a_        &quot;recall&quot;: recall_score(y_test, y_pred, zero_division=0),_x000a_        &quot;f1_score&quot;: f1_score(y_test, y_pred, zero_division=0),_x000a_    }_x000a_    return metrics_x000a__x000a_results = pd.DataFrame([_x000a_    eval_model(&quot;Scenario A (predicted_final_exam_score only)&quot;, model_A, X_A_test, y_test),_x000a_    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d v="2026-04-15T14:33:34"/>
    <x v="3"/>
    <n v="0"/>
    <n v="74"/>
    <n v="1040"/>
    <n v="1114"/>
    <n v="289"/>
    <n v="3969"/>
    <n v="4091"/>
    <n v="4"/>
    <n v="5"/>
    <n v="5"/>
    <s v="Clear and specific about the scenarios and requirements."/>
    <s v="Could provide more context on the dataset or features used."/>
    <s v="Thorough explanation with complete code and evaluation metrics."/>
    <s v="None significant; well-structured and informative."/>
    <s v="Jelaskan cara membangun dua skenario model `LogisticRegression` untuk memprediksi `at_risk`: 1. **Skenario A**: hanya menggunakan `predicted_final_exam_score`. 2. **Skenario B**: menggunakan `predicted_final_exam_score` ditambah fitur engineering yang Anda buat, dengan penjelasan tentang dataset yang digunakan."/>
    <s v="Include a brief summary of the dataset and its features for better context."/>
    <s v="excellent"/>
    <b v="0"/>
    <s v="gpt-4o-mini"/>
    <s v="{&quot;prompt_score&quot;: 4, &quot;response_score&quot;: 5, &quot;overall_score&quot;: 5, &quot;prompt_strengths&quot;: &quot;Clear and specific about the scenarios and requirements.&quot;, &quot;prompt_issues&quot;: &quot;Could provide more context on the dataset or features used.&quot;, &quot;response_strengths&quot;: &quot;Thorough explanation with complete code and evaluation metrics.&quot;, &quot;response_issues&quot;: &quot;None significant; well-structured and informative.&quot;, &quot;prompt_rewrite&quot;: &quot;Jelaskan cara membangun dua skenario model `LogisticRegression` untuk memprediksi `at_risk`: 1. **Skenario A**: hanya menggunakan `predicted_final_exam_score`. 2. **Skenario B**: menggunakan `predicted_final_exam_score` ditambah fitur engineering yang Anda buat, dengan penjelasan tentang dataset yang digunakan.&quot;, &quot;response_improvement_suggestions&quot;: &quot;Include a brief summary of the dataset and its features for better context.&quot;, &quot;verdict&quot;: &quot;excellent&quot;, &quot;needs_human_review&quot;: false}"/>
    <s v="ok"/>
    <n v="5"/>
  </r>
  <r>
    <x v="12"/>
    <s v="[MODE:summary_code_explanation]_x000a_[ASSESSMENT_ID:1771cf7d-0a65-11f1-b762-3e0936ad7efb]_x000a_[FORCE_GPT:true]_x000a_[AUTO_FALLBACK:true]_x000a_--------------------------------------------------------------------------- NameError Traceback (most recent call last) Cell In[13], line 2 1 ##### Your Code Here ##### ----&gt; 2 dataframe = read_csv(filename, names=names) NameError: name 'names' is not defined ini kenapa"/>
    <s v="done"/>
    <s v="**SUMMARY**  _x000a_Error itu muncul karena variabel `names` belum pernah dibuat (belum didefinisikan), jadi Python tidak tahu isi kolom apa yang harus dipakai. Solusinya: definisikan dulu `names` (list nama kolom) dan pastikan memanggil `pd.read_csv` (atau import `read_csv`)._x000a__x000a_```python_x000a_import pandas as pd_x000a__x000a_filename = &quot;pima-indians-diabetes.data.csv&quot;_x000a__x000a_# definisikan nama-nama kolom (contoh umum untuk dataset Pima Indians Diabetes)_x000a_names = [_x000a_    &quot;preg&quot;, &quot;plas&quot;, &quot;pres&quot;, &quot;skin&quot;, &quot;test&quot;, &quot;mass&quot;, &quot;pedi&quot;, &quot;age&quot;, &quot;class&quot;_x000a_]_x000a__x000a_dataframe = pd.read_csv(filename, names=names)_x000a_print(dataframe.head())_x000a_```_x000a__x000a_**EXPLANATION**  _x000a_- `NameError: name 'names' is not defined` artinya variabel `names` belum ada saat dipakai.  _x000a_- `names` harus berupa list string nama kolom, lalu dipassing ke `read_csv(..., names=names)`.  _x000a_- Jika instruksi Anda harus persis `read_csv(filename, names=names)`, Anda bisa juga `from pandas import read_csv` lalu pakai `read_csv(...)`; tapi yang penting `names` sudah didefinisikan dulu."/>
    <s v="**SUMMARY**  _x000a_Error itu muncul karena variabel `names` belum pernah dibuat (belum didefinisikan), jadi Python tidak tahu isi kolom apa yang harus dipakai. Solusinya: definisikan dulu `names` (list nama kolom) dan pastikan memanggil `pd.read_csv` (atau import `read_csv`)._x000a__x000a_```python_x000a_import pandas as pd_x000a__x000a_filename = &quot;pima-indians-diabetes.data.csv&quot;_x000a__x000a_# definisikan nama-nama kolom (contoh umum untuk dataset Pima Indians Diabetes)_x000a_names = [_x000a_    &quot;preg&quot;, &quot;plas&quot;, &quot;pres&quot;, &quot;skin&quot;, &quot;test&quot;, &quot;mass&quot;, &quot;pedi&quot;, &quot;age&quot;, &quot;class&quot;_x000a_]_x000a__x000a_dataframe = pd.read_csv(filename, names=names)_x000a_print(dataframe.head())_x000a_```_x000a__x000a_**EXPLANATION**  _x000a_- `NameError: name 'names' is not defined` artinya variabel `names` belum ada saat dipakai.  _x000a_- `names` harus berupa list string nama kolom, lalu dipassing ke `read_csv(..., names=names)`.  _x000a_- Jika instruksi Anda harus persis `read_csv(filename, names=names)`, Anda bisa juga `from pandas import read_csv` lalu pakai `read_csv(...)`; tapi yang penting `names` sudah didefinisikan dulu."/>
    <d v="2026-03-11T15:26:15"/>
    <x v="2"/>
    <n v="0"/>
    <n v="106"/>
    <n v="296"/>
    <n v="402"/>
    <n v="393"/>
    <n v="996"/>
    <n v="4143"/>
    <n v="3"/>
    <n v="5"/>
    <n v="4"/>
    <s v="Identifies a specific error in code."/>
    <s v="Lacks clarity and context for broader understanding."/>
    <s v="Provides a clear and complete explanation with code example."/>
    <s v="Could be more concise."/>
    <s v="Explain the error 'NameError: name 'names' is not defined' in Python and how to fix it."/>
    <s v="Consider summarizing the explanation to enhance conciseness."/>
    <s v="good"/>
    <b v="0"/>
    <s v="gpt-4o-mini"/>
    <s v="{&quot;prompt_score&quot;: 3, &quot;response_score&quot;: 5, &quot;overall_score&quot;: 4, &quot;prompt_strengths&quot;: &quot;Identifies a specific error in code.&quot;, &quot;prompt_issues&quot;: &quot;Lacks clarity and context for broader understanding.&quot;, &quot;response_strengths&quot;: &quot;Provides a clear and complete explanation with code example.&quot;, &quot;response_issues&quot;: &quot;Could be more concise.&quot;, &quot;prompt_rewrite&quot;: &quot;Explain the error 'NameError: name 'names' is not defined' in Python and how to fix it.&quot;, &quot;response_improvement_suggestions&quot;: &quot;Consider summarizing the explanation to enhance conciseness.&quot;, &quot;verdict&quot;: &quot;good&quot;, &quot;needs_human_review&quot;: false}"/>
    <s v="ok"/>
    <n v="4"/>
  </r>
  <r>
    <x v="12"/>
    <s v="[LANG:Python]_x000a_[MODE:summary_code_explanation]_x000a_# svr_pipeline = model  # jika pipeline Anda bernama &quot;model&quot;, pakai ini; atau ganti sesuai nama variabel Anda_x000a__x000a_kode yg kamu berikan ini maksudnya apa, kenapa gabisa malah error"/>
    <s v="done"/>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    (&quot;preprocessing&quot;, preprocessing),_x000a_    (&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    (&quot;preprocessing&quot;, preprocessing),_x000a_    (&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d v="2026-02-25T15:58:19"/>
    <x v="1"/>
    <n v="0"/>
    <n v="61"/>
    <n v="350"/>
    <n v="411"/>
    <n v="222"/>
    <n v="1198"/>
    <n v="4681"/>
    <n v="3"/>
    <n v="4"/>
    <n v="4"/>
    <s v="Addresses a specific coding issue."/>
    <s v="Lacks clarity and structure; mixed languages may confuse."/>
    <s v="Provides a clear explanation and examples."/>
    <s v="Could be more concise; some repetition."/>
    <s v="[LANG:Python] [MODE:summary_code_explanation] # Explain the line `# svr_pipeline = model` and why it might cause an error if `model` is not defined."/>
    <s v="Remove redundant explanations and focus on key points for clarity."/>
    <s v="good"/>
    <b v="0"/>
    <s v="gpt-4o-mini"/>
    <s v="{&quot;prompt_score&quot;: 3, &quot;response_score&quot;: 4, &quot;overall_score&quot;: 4, &quot;prompt_strengths&quot;: &quot;Addresses a specific coding issue.&quot;, &quot;prompt_issues&quot;: &quot;Lacks clarity and structure; mixed languages may confuse.&quot;, &quot;response_strengths&quot;: &quot;Provides a clear explanation and examples.&quot;, &quot;response_issues&quot;: &quot;Could be more concise; some repetition.&quot;, &quot;prompt_rewrite&quot;: &quot;[LANG:Python] [MODE:summary_code_explanation] # Explain the line `# svr_pipeline = model` and why it might cause an error if `model` is not defined.&quot;, &quot;response_improvement_suggestions&quot;: &quot;Remove redundant explanations and focus on key points for clarity.&quot;, &quot;verdict&quot;: &quot;good&quot;, &quot;needs_human_review&quot;: false}"/>
    <s v="ok"/>
    <n v="4"/>
  </r>
  <r>
    <x v="13"/>
    <s v="[MODE:summary_code_explanation]_x000a_apa itu Hyperparameter berikan saya penjelasan nya untuk jawaban nya apakah, Output model?_x000a_Parameter yang dipelajari model?_x000a_Dataset?_x000a_Parameter sebelum training?_x000a__x000a_berikan saya jawaban nya"/>
    <s v="done"/>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d v="2026-03-11T13:09:31"/>
    <x v="2"/>
    <n v="0"/>
    <n v="51"/>
    <n v="204"/>
    <n v="255"/>
    <n v="218"/>
    <n v="783"/>
    <n v="897"/>
    <n v="3"/>
    <n v="4"/>
    <n v="4"/>
    <s v="The prompt is clear in asking for an explanation of hyperparameters."/>
    <s v="Lacks specificity in the request for examples or context."/>
    <s v="The response is relevant, correct, and provides a clear explanation with examples."/>
    <s v="Could be more concise and structured for better readability."/>
    <s v="Jelaskan apa itu hyperparameter dan berikan contoh serta perbedaan dengan parameter lain seperti output model dan dataset."/>
    <s v="Consider breaking down the explanation into bullet points for easier reading."/>
    <s v="good"/>
    <b v="0"/>
    <s v="gpt-4o-mini"/>
    <s v="{&quot;prompt_score&quot;: 3, &quot;response_score&quot;: 4, &quot;overall_score&quot;: 4, &quot;prompt_strengths&quot;: &quot;The prompt is clear in asking for an explanation of hyperparameters.&quot;, &quot;prompt_issues&quot;: &quot;Lacks specificity in the request for examples or context.&quot;, &quot;response_strengths&quot;: &quot;The response is relevant, correct, and provides a clear explanation with examples.&quot;, &quot;response_issues&quot;: &quot;Could be more concise and structured for better readability.&quot;, &quot;prompt_rewrite&quot;: &quot;Jelaskan apa itu hyperparameter dan berikan contoh serta perbedaan dengan parameter lain seperti output model dan dataset.&quot;, &quot;response_improvement_suggestions&quot;: &quot;Consider breaking down the explanation into bullet points for easier reading.&quot;, &quot;verdict&quot;: &quot;good&quot;, &quot;needs_human_review&quot;: false}"/>
    <s v="ok"/>
    <n v="4"/>
  </r>
  <r>
    <x v="13"/>
    <s v="[MODE:summary_code_explanation]_x000a_6. Bonus_x000a_Buat ranking 10 mahasiswa paling berisiko berdasarkan probabilitas model terbaik. Berikan saya jawabannya"/>
    <s v="done"/>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    return Pipeline(steps=[_x000a_        (&quot;imputer&quot;, SimpleImputer(strategy=&quot;median&quot;)),_x000a_        (&quot;scaler&quot;, StandardScaler()),_x000a_        (&quot;clf&quot;, LogisticRegression(max_iter=2000, class_weight=&quot;balanced&quot;, random_state=42))_x000a_    ])_x000a__x000a_# Train + pilih model terbaik berdasarkan F1_x000a_models = {_x000a_    &quot;A_only_pred&quot;: (make_logreg(), X_train_A, X_test_A),_x000a_    &quot;B_pred_plus_FE&quot;: (make_logreg(), X_train_B, X_test_B),_x000a_}_x000a__x000a_scores = {}_x000a_for name, (pipe, Xtr, Xte) in models.items():_x000a_    pipe.fit(Xtr, y_train_cls)_x000a_    pred = pipe.predict(Xte)_x000a_    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    return Pipeline(steps=[_x000a_        (&quot;imputer&quot;, SimpleImputer(strategy=&quot;median&quot;)),_x000a_        (&quot;scaler&quot;, StandardScaler()),_x000a_        (&quot;clf&quot;, LogisticRegression(max_iter=2000, class_weight=&quot;balanced&quot;, random_state=42))_x000a_    ])_x000a__x000a_# Train + pilih model terbaik berdasarkan F1_x000a_models = {_x000a_    &quot;A_only_pred&quot;: (make_logreg(), X_train_A, X_test_A),_x000a_    &quot;B_pred_plus_FE&quot;: (make_logreg(), X_train_B, X_test_B),_x000a_}_x000a__x000a_scores = {}_x000a_for name, (pipe, Xtr, Xte) in models.items():_x000a_    pipe.fit(Xtr, y_train_cls)_x000a_    pred = pipe.predict(Xte)_x000a_    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d v="2026-04-15T14:19:28"/>
    <x v="3"/>
    <n v="0"/>
    <n v="41"/>
    <n v="862"/>
    <n v="903"/>
    <n v="146"/>
    <n v="3074"/>
    <n v="1710"/>
    <n v="4"/>
    <n v="5"/>
    <n v="5"/>
    <s v="Clear and specific request for ranking students based on risk probability."/>
    <s v="Could provide more context on the data or model specifics."/>
    <s v="Thorough explanation with complete code and clear steps for implementation."/>
    <s v="Could include a brief summary of the output or interpretation of results."/>
    <s v="[MODE:summary_code_explanation] 6. Buat ranking 10 mahasiswa paling berisiko berdasarkan probabilitas model Logistic Regression terbaik. Sertakan konteks data dan model yang digunakan."/>
    <s v="Add a brief summary of the output and its implications for intervention."/>
    <s v="excellent"/>
    <b v="0"/>
    <s v="gpt-4o-mini"/>
    <s v="{&quot;prompt_score&quot;: 4, &quot;response_score&quot;: 5, &quot;overall_score&quot;: 5, &quot;prompt_strengths&quot;: &quot;Clear and specific request for ranking students based on risk probability.&quot;, &quot;prompt_issues&quot;: &quot;Could provide more context on the data or model specifics.&quot;, &quot;response_strengths&quot;: &quot;Thorough explanation with complete code and clear steps for implementation.&quot;, &quot;response_issues&quot;: &quot;Could include a brief summary of the output or interpretation of results.&quot;, &quot;prompt_rewrite&quot;: &quot;[MODE:summary_code_explanation] 6. Buat ranking 10 mahasiswa paling berisiko berdasarkan probabilitas model Logistic Regression terbaik. Sertakan konteks data dan model yang digunakan.&quot;, &quot;response_improvement_suggestions&quot;: &quot;Add a brief summary of the output and its implications for intervention.&quot;, &quot;verdict&quot;: &quot;excellent&quot;, &quot;needs_human_review&quot;: false}"/>
    <s v="ok"/>
    <n v="5"/>
  </r>
  <r>
    <x v="13"/>
    <s v="[LANG:Python]_x000a_[MODE:summary_code_explanation]_x000a_buatkan saya Pipeline dengan preprocessing dan SVR()berikan saya codingan nya untuk di masukkan ke dalam jupyter notebook juga tolong kalau bisa codingan nya yang singkat saja"/>
    <s v="done"/>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    (&quot;num&quot;, Pipeline([(&quot;imp&quot;, SimpleImputer(strategy=&quot;median&quot;)),_x000a_                      (&quot;sc&quot;, StandardScaler())]),_x000a_     make_column_selector(dtype_include=np.number)),_x000a_    (&quot;cat&quot;, Pipeline([(&quot;imp&quot;, SimpleImputer(strategy=&quot;most_frequent&quot;)),_x000a_                      (&quot;oh&quot;, OneHotEncoder(handle_unknown=&quot;ignore&quot;))]),_x000a_     make_column_selector(dtype_exclude=np.number)),_x000a_])_x000a__x000a_svr_pipe = Pipeline([_x000a_    (&quot;prep&quot;, preprocess),_x000a_    (&quot;svr&quot;, SVR())  # default: kernel='rbf'_x000a_])_x000a__x000a_svr_pipe.fit(X, y)_x000a_```_x000a__x000a_Penjelasan singkat: `ColumnTransformer` otomatis memilih kolom numerik vs non-numerik, menangani nilai null, mengubah kategori jadi one-hot, men-scale numerik, lalu `SVR()` dilatih lewat `svr_pipe.fit(X, y)`."/>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    (&quot;num&quot;, Pipeline([(&quot;imp&quot;, SimpleImputer(strategy=&quot;median&quot;)),_x000a_                      (&quot;sc&quot;, StandardScaler())]),_x000a_     make_column_selector(dtype_include=np.number)),_x000a_    (&quot;cat&quot;, Pipeline([(&quot;imp&quot;, SimpleImputer(strategy=&quot;most_frequent&quot;)),_x000a_                      (&quot;oh&quot;, OneHotEncoder(handle_unknown=&quot;ignore&quot;))]),_x000a_     make_column_selector(dtype_exclude=np.number)),_x000a_])_x000a__x000a_svr_pipe = Pipeline([_x000a_    (&quot;prep&quot;, preprocess),_x000a_    (&quot;svr&quot;, SVR())  # default: kernel='rbf'_x000a_])_x000a__x000a_svr_pipe.fit(X, y)_x000a_```_x000a__x000a_Penjelasan singkat: `ColumnTransformer` otomatis memilih kolom numerik vs non-numerik, menangani nilai null, mengubah kategori jadi one-hot, men-scale numerik, lalu `SVR()` dilatih lewat `svr_pipe.fit(X, y)`."/>
    <d v="2026-02-25T16:09:16"/>
    <x v="1"/>
    <n v="0"/>
    <n v="51"/>
    <n v="306"/>
    <n v="357"/>
    <n v="221"/>
    <n v="1235"/>
    <n v="3226"/>
    <n v="4"/>
    <n v="5"/>
    <n v="5"/>
    <s v="Clear request for a specific coding task."/>
    <s v="Could be more specific about the dataset and features."/>
    <s v="Provides a complete and correct implementation with explanation."/>
    <s v="None significant; clear and concise."/>
    <s v="Buatkan saya Pipeline dengan preprocessing dan SVR() untuk dataset housing, sertakan codingan singkat untuk Jupyter Notebook."/>
    <s v="Consider adding comments in the code for better understanding."/>
    <s v="excellent"/>
    <b v="0"/>
    <s v="gpt-4o-mini"/>
    <s v="{&quot;prompt_score&quot;: 4, &quot;response_score&quot;: 5, &quot;overall_score&quot;: 5, &quot;prompt_strengths&quot;: &quot;Clear request for a specific coding task.&quot;, &quot;prompt_issues&quot;: &quot;Could be more specific about the dataset and features.&quot;, &quot;response_strengths&quot;: &quot;Provides a complete and correct implementation with explanation.&quot;, &quot;response_issues&quot;: &quot;None significant; clear and concise.&quot;, &quot;prompt_rewrite&quot;: &quot;Buatkan saya Pipeline dengan preprocessing dan SVR() untuk dataset housing, sertakan codingan singkat untuk Jupyter Notebook.&quot;, &quot;response_improvement_suggestions&quot;: &quot;Consider adding comments in the code for better understanding.&quot;, &quot;verdict&quot;: &quot;excellent&quot;, &quot;needs_human_review&quot;: false}"/>
    <s v="ok"/>
    <n v="5"/>
  </r>
  <r>
    <x v="13"/>
    <s v="[MODE:summary_code_explanation]_x000a_bagaimana jika dari soal nya tidak bisa di kecilkan harus segini yaitu 0.001 apakah masih bisa dijalankan tanpa error?"/>
    <s v="done"/>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    X = np.asarray(X, dtype=np.float64)_x000a_    y = np.asarray(y, dtype=np.float64)_x000a__x000a_    # Standardisasi fitur (jangan standardisasi kolom bias jika ada)_x000a_    Xn = X.copy()_x000a_    has_bias = np.allclose(Xn[:, 0], 1.0)_x000a_    j0 = 1 if has_bias else 0_x000a__x000a_    mu = Xn[:, j0:].mean(axis=0)_x000a_    sigma = Xn[:, j0:].std(axis=0) + 1e-12_x000a_    Xn[:, j0:] = (Xn[:, j0:] - mu) / sigma_x000a__x000a_    # (Opsional tapi sering membantu) skala target juga_x000a_    y_mu = y.mean()_x000a_    y_sigma = y.std() + 1e-12_x000a_    yn = (y - y_mu) / y_sigma_x000a__x000a_    return Xn, yn, (mu, sigma, y_mu, y_sigma, has_bias)_x000a__x000a_def gradient_descent(X, y, num_iters, eta=0.001, clip=5.0):_x000a_    X = np.asarray(X, dtype=np.float64)_x000a_    y = np.asarray(y, dtype=np.float64)_x000a__x000a_    m, n = X.shape_x000a_    theta = np.zeros(n, dtype=np.float64)_x000a_    history = np.zeros(num_iters, dtype=np.float64)_x000a__x000a_    for i in range(num_iters):_x000a_        y_pred = X @ theta_x000a_        errors = y_pred - y_x000a__x000a_        grad = (1.0 / m) * (X.T @ errors)_x000a__x000a_        # Gradient clipping untuk mencegah update meledak (tetap eta=0.001)_x000a_        grad = np.clip(grad, -clip, clip)_x000a__x000a_        theta -= eta * grad_x000a_        history[i] = np.mean(errors**2)_x000a__x000a_        # Early stop jika sudah tidak numerik_x000a_        if not np.isfinite(history[i]) or not np.all(np.isfinite(theta)):_x000a_            raise FloatingPointError(&quot;Divergen (inf/nan). Coba perketat normalisasi atau kecilkan clip.&quot;)_x000a__x000a_    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  1) **Standardisasi fitur** (wajib): membuat tiap fitur punya mean≈0 dan std≈1, sehingga gradient lebih stabil.  _x000a_  2) **(Opsional) Standardisasi target `y`**: membantu jika nilai `y` sangat besar. Setelah training, prediksi bisa dikembalikan ke skala asli dengan `y = y_pred* y_sigma + y_mu`.  _x000a_  3) **Gradient clipping**: tetap memakai `eta=0.001`, tapi membatasi besar gradien agar update tidak meledak.  _x000a_  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    X = np.asarray(X, dtype=np.float64)_x000a_    y = np.asarray(y, dtype=np.float64)_x000a__x000a_    # Standardisasi fitur (jangan standardisasi kolom bias jika ada)_x000a_    Xn = X.copy()_x000a_    has_bias = np.allclose(Xn[:, 0], 1.0)_x000a_    j0 = 1 if has_bias else 0_x000a__x000a_    mu = Xn[:, j0:].mean(axis=0)_x000a_    sigma = Xn[:, j0:].std(axis=0) + 1e-12_x000a_    Xn[:, j0:] = (Xn[:, j0:] - mu) / sigma_x000a__x000a_    # (Opsional tapi sering membantu) skala target juga_x000a_    y_mu = y.mean()_x000a_    y_sigma = y.std() + 1e-12_x000a_    yn = (y - y_mu) / y_sigma_x000a__x000a_    return Xn, yn, (mu, sigma, y_mu, y_sigma, has_bias)_x000a__x000a_def gradient_descent(X, y, num_iters, eta=0.001, clip=5.0):_x000a_    X = np.asarray(X, dtype=np.float64)_x000a_    y = np.asarray(y, dtype=np.float64)_x000a__x000a_    m, n = X.shape_x000a_    theta = np.zeros(n, dtype=np.float64)_x000a_    history = np.zeros(num_iters, dtype=np.float64)_x000a__x000a_    for i in range(num_iters):_x000a_        y_pred = X @ theta_x000a_        errors = y_pred - y_x000a__x000a_        grad = (1.0 / m) * (X.T @ errors)_x000a__x000a_        # Gradient clipping untuk mencegah update meledak (tetap eta=0.001)_x000a_        grad = np.clip(grad, -clip, clip)_x000a__x000a_        theta -= eta * grad_x000a_        history[i] = np.mean(errors**2)_x000a__x000a_        # Early stop jika sudah tidak numerik_x000a_        if not np.isfinite(history[i]) or not np.all(np.isfinite(theta)):_x000a_            raise FloatingPointError(&quot;Divergen (inf/nan). Coba perketat normalisasi atau kecilkan clip.&quot;)_x000a__x000a_    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  1) **Standardisasi fitur** (wajib): membuat tiap fitur punya mean≈0 dan std≈1, sehingga gradient lebih stabil.  _x000a_  2) **(Opsional) Standardisasi target `y`**: membantu jika nilai `y` sangat besar. Setelah training, prediksi bisa dikembalikan ke skala asli dengan `y = y_pred* y_sigma + y_mu`.  _x000a_  3) **Gradient clipping**: tetap memakai `eta=0.001`, tapi membatasi besar gradien agar update tidak meledak.  _x000a_  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d v="2026-04-01T14:53:31"/>
    <x v="5"/>
    <n v="0"/>
    <n v="43"/>
    <n v="924"/>
    <n v="967"/>
    <n v="150"/>
    <n v="2916"/>
    <n v="3379"/>
    <n v="4"/>
    <n v="5"/>
    <n v="5"/>
    <s v="Clear and specific question about handling a fixed learning rate."/>
    <s v="Could provide more context on the problem being addressed."/>
    <s v="Thorough explanation with relevant code examples and practical advice."/>
    <s v="None significant; response is comprehensive."/>
    <s v="Bagaimana cara menangani situasi di mana learning rate harus tetap 0.001 tanpa menyebabkan error dalam gradient descent?"/>
    <s v="Consider adding more examples or edge cases for clarity."/>
    <s v="excellent"/>
    <b v="0"/>
    <s v="gpt-4o-mini"/>
    <s v="{&quot;prompt_score&quot;: 4, &quot;response_score&quot;: 5, &quot;overall_score&quot;: 5, &quot;prompt_strengths&quot;: &quot;Clear and specific question about handling a fixed learning rate.&quot;, &quot;prompt_issues&quot;: &quot;Could provide more context on the problem being addressed.&quot;, &quot;response_strengths&quot;: &quot;Thorough explanation with relevant code examples and practical advice.&quot;, &quot;response_issues&quot;: &quot;None significant; response is comprehensive.&quot;, &quot;prompt_rewrite&quot;: &quot;Bagaimana cara menangani situasi di mana learning rate harus tetap 0.001 tanpa menyebabkan error dalam gradient descent?&quot;, &quot;response_improvement_suggestions&quot;: &quot;Consider adding more examples or edge cases for clarity.&quot;, &quot;verdict&quot;: &quot;excellent&quot;, &quot;needs_human_review&quot;: false}"/>
    <s v="ok"/>
    <n v="5"/>
  </r>
  <r>
    <x v="13"/>
    <s v="[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d v="2026-04-01T13:26:34"/>
    <x v="5"/>
    <n v="0"/>
    <n v="276"/>
    <n v="299"/>
    <n v="575"/>
    <n v="888"/>
    <n v="911"/>
    <n v="3788"/>
    <n v="5"/>
    <n v="5"/>
    <n v="5"/>
    <s v="Clear instructions with specific requirements."/>
    <s v="None."/>
    <s v="Correct implementation with clear explanations."/>
    <s v="None."/>
    <s v="N/A"/>
    <s v="N/A"/>
    <s v="excellent"/>
    <b v="0"/>
    <s v="gpt-4o-mini"/>
    <s v="{&quot;prompt_score&quot;: 5, &quot;response_score&quot;: 5, &quot;overall_score&quot;: 5, &quot;prompt_strengths&quot;: &quot;Clear instructions with specific requirements.&quot;, &quot;prompt_issues&quot;: &quot;None.&quot;, &quot;response_strengths&quot;: &quot;Correct implementation with clear explanations.&quot;, &quot;response_issues&quot;: &quot;None.&quot;, &quot;prompt_rewrite&quot;: &quot;N/A&quot;, &quot;response_improvement_suggestions&quot;: &quot;N/A&quot;, &quot;verdict&quot;: &quot;excellent&quot;, &quot;needs_human_review&quot;: false}"/>
    <s v="ok"/>
    <n v="5"/>
  </r>
  <r>
    <x v="13"/>
    <s v="[LANG:Python]_x000a_[MODE:code]_x000a_cara tau informasi mengenai nilai null pada dataset, berikan saya codingan nya untuk pengetahuan saya"/>
    <s v="done"/>
    <s v="#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
    <s v="```python_x000a_#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_x000a_```"/>
    <d v="2026-02-25T15:35:07"/>
    <x v="1"/>
    <n v="0"/>
    <n v="35"/>
    <n v="390"/>
    <n v="425"/>
    <n v="127"/>
    <n v="1301"/>
    <n v="4216"/>
    <n v="4"/>
    <n v="5"/>
    <n v="5"/>
    <s v="Clear and specific request for Python code related to null values in a dataset."/>
    <s v="Could provide more context about the dataset type or size."/>
    <s v="Comprehensive and correct code that addresses all aspects of handling null values in a dataset."/>
    <s v="None; the response is complete and clear."/>
    <s v="[LANG:Python] [MODE:code] Berikan saya contoh kode Python untuk menganalisis nilai null dalam dataset pandas, termasuk informasi yang relevan."/>
    <s v="None; the response is already thorough and well-structured."/>
    <s v="excellent"/>
    <b v="0"/>
    <s v="gpt-4o-mini"/>
    <s v="{&quot;prompt_score&quot;: 4, &quot;response_score&quot;: 5, &quot;overall_score&quot;: 5, &quot;prompt_strengths&quot;: &quot;Clear and specific request for Python code related to null values in a dataset.&quot;, &quot;prompt_issues&quot;: &quot;Could provide more context about the dataset type or size.&quot;, &quot;response_strengths&quot;: &quot;Comprehensive and correct code that addresses all aspects of handling null values in a dataset.&quot;, &quot;response_issues&quot;: &quot;None; the response is complete and clear.&quot;, &quot;prompt_rewrite&quot;: &quot;[LANG:Python] [MODE:code] Berikan saya contoh kode Python untuk menganalisis nilai null dalam dataset pandas, termasuk informasi yang relevan.&quot;, &quot;response_improvement_suggestions&quot;: &quot;None; the response is already thorough and well-structured.&quot;, &quot;verdict&quot;: &quot;excellent&quot;, &quot;needs_human_review&quot;: false}"/>
    <s v="ok"/>
    <n v="5"/>
  </r>
  <r>
    <x v="13"/>
    <s v="[MODE:summary_code_explanation]_x000a_Baik kamu sudah membuatnya dari bagian satu sampai empat tinggal atau sisa dua bagian lagi yaitu bagian lima dan enam nya"/>
    <s v="done"/>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    raise ValueError(&quot;Kolom 'pass_fail' tidak ditemukan. Cek nama kolom pada dataset Anda.&quot;)_x000a__x000a_# Ambil kolom numerik_x000a_num_cols = df.select_dtypes(include=&quot;number&quot;).columns.tolist()_x000a_if len(num_cols) &lt; 2:_x000a_    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    insights.append(&quot;Missing Value: Tidak ada missing value, data siap untuk analisis/modeling tanpa imputasi.&quot;)_x000a_else:_x000a_    top_missing = missing[missing &gt; 0].sort_values(ascending=False)_x000a_    insights.append(_x000a_        f&quot;Missing Value: Terdapat total {total_missing} missing value. &quot;_x000a_        f&quot;Kolom dengan missing terbanyak: {top_missing.head(5).to_dict()} &quot;_x000a_        f&quot;(pertimbangkan imputasi atau drop tergantung proporsi).&quot;_x000a_    )_x000a__x000a_# Insight statistik deskriptif numerik (deteksi outlier kasar via IQR untuk 2 fitur yang dibandingkan)_x000a_def iqr_outlier_count(s: pd.Series):_x000a_    q1, q3 = s.quantile(0.25), s.quantile(0.75)_x000a_    iqr = q3 - q1_x000a_    lo, hi = q1 - 1.5 * iqr, q3 + 1.5 * iqr_x000a_    return int(((s &lt; lo) | (s &gt; hi)).sum())_x000a__x000a_out1 = iqr_outlier_count(df[feat1].dropna())_x000a_out2 = iqr_outlier_count(df[feat2].dropna())_x000a_insights.append(_x000a_    f&quot;Statistik/Outlier: Perkiraan outlier (metode IQR) pada {feat1} = {out1} dan {feat2} = {out2}. &quot;_x000a_    &quot;Jika outlier besar, pertimbangkan robust scaling atau winsorizing.&quot;_x000a_)_x000a__x000a_# Insight perbandingan Pass vs Fail (selisih mean)_x000a_means = df.groupby(&quot;pass_fail&quot;)[[feat1, feat2]].mean(numeric_only=True)_x000a_if means.shape[0] &gt;= 2"/>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    raise ValueError(&quot;Kolom 'pass_fail' tidak ditemukan. Cek nama kolom pada dataset Anda.&quot;)_x000a__x000a_# Ambil kolom numerik_x000a_num_cols = df.select_dtypes(include=&quot;number&quot;).columns.tolist()_x000a_if len(num_cols) &lt; 2:_x000a_    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    insights.append(&quot;Missing Value: Tidak ada missing value, data siap untuk analisis/modeling tanpa imputasi.&quot;)_x000a_else:_x000a_    top_missing = missing[missing &gt; 0].sort_values(ascending=False)_x000a_    insights.append(_x000a_        f&quot;Missing Value: Terdapat total {total_missing} missing value. &quot;_x000a_        f&quot;Kolom dengan missing terbanyak: {top_missing.head(5).to_dict()} &quot;_x000a_        f&quot;(pertimbangkan imputasi atau drop tergantung proporsi).&quot;_x000a_    )_x000a__x000a_# Insight statistik deskriptif numerik (deteksi outlier kasar via IQR untuk 2 fitur yang dibandingkan)_x000a_def iqr_outlier_count(s: pd.Series):_x000a_    q1, q3 = s.quantile(0.25), s.quantile(0.75)_x000a_    iqr = q3 - q1_x000a_    lo, hi = q1 - 1.5 * iqr, q3 + 1.5 * iqr_x000a_    return int(((s &lt; lo) | (s &gt; hi)).sum())_x000a__x000a_out1 = iqr_outlier_count(df[feat1].dropna())_x000a_out2 = iqr_outlier_count(df[feat2].dropna())_x000a_insights.append(_x000a_    f&quot;Statistik/Outlier: Perkiraan outlier (metode IQR) pada {feat1} = {out1} dan {feat2} = {out2}. &quot;_x000a_    &quot;Jika outlier besar, pertimbangkan robust scaling atau winsorizing.&quot;_x000a_)_x000a__x000a_# Insight perbandingan Pass vs Fail (selisih mean)_x000a_means = df.groupby(&quot;pass_fail&quot;)[[feat1, feat2]].mean(numeric_only=True)_x000a_if means.shape[0] &gt;= 2"/>
    <d v="2026-04-15T14:08:54"/>
    <x v="3"/>
    <n v="0"/>
    <n v="41"/>
    <n v="1079"/>
    <n v="1120"/>
    <n v="153"/>
    <n v="3496"/>
    <n v="4294"/>
    <n v="3"/>
    <n v="4"/>
    <n v="4"/>
    <s v="The prompt is clear and specifies the remaining sections to be completed."/>
    <s v="Lacks specific instructions on what details to include in sections five and six."/>
    <s v="The response is relevant, detailed, and provides a comprehensive explanation with code examples."/>
    <s v="Could be more concise; some parts are overly detailed for a summary."/>
    <s v="Please summarize the remaining sections five and six, focusing on key insights and comparisons."/>
    <s v="Consider summarizing the code and insights more succinctly to enhance clarity."/>
    <s v="good"/>
    <b v="0"/>
    <s v="gpt-4o-mini"/>
    <s v="{&quot;prompt_score&quot;: 3, &quot;response_score&quot;: 4, &quot;overall_score&quot;: 4, &quot;prompt_strengths&quot;: &quot;The prompt is clear and specifies the remaining sections to be completed.&quot;, &quot;prompt_issues&quot;: &quot;Lacks specific instructions on what details to include in sections five and six.&quot;, &quot;response_strengths&quot;: &quot;The response is relevant, detailed, and provides a comprehensive explanation with code examples.&quot;, &quot;response_issues&quot;: &quot;Could be more concise; some parts are overly detailed for a summary.&quot;, &quot;prompt_rewrite&quot;: &quot;Please summarize the remaining sections five and six, focusing on key insights and comparisons.&quot;, &quot;response_improvement_suggestions&quot;: &quot;Consider summarizing the code and insights more succinctly to enhance clarity.&quot;, &quot;verdict&quot;: &quot;good&quot;, &quot;needs_human_review&quot;: false}"/>
    <s v="ok"/>
    <n v="4"/>
  </r>
  <r>
    <x v="13"/>
    <s v="[MODE:summary_code_explanation]_x000a_Pipeline([(‘scaler' StandardScaler()), (‘model’, SVR())]) berarti apa? apakah, Scaling lalu training model?_x000a_Clustering?_x000a_Menghapus dataset?_x000a_Classification?_x000a__x000a_berikan saya jawaban nya"/>
    <s v="done"/>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    (&quot;scaler&quot;, StandardScaler()),_x000a_    (&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    (&quot;scaler&quot;, StandardScaler()),_x000a_    (&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d v="2026-03-11T13:11:13"/>
    <x v="2"/>
    <n v="0"/>
    <n v="54"/>
    <n v="184"/>
    <n v="238"/>
    <n v="212"/>
    <n v="688"/>
    <n v="4318"/>
    <n v="4"/>
    <n v="5"/>
    <n v="4"/>
    <s v="Clear and specific about the pipeline components."/>
    <s v="Could provide more context on the purpose of the pipeline."/>
    <s v="Accurate, complete explanation with code example."/>
    <s v="None significant."/>
    <s v="Apa arti dari Pipeline([(‘scaler' StandardScaler()), (‘model’, SVR())]) dalam konteks machine learning?"/>
    <s v="None needed; response is already strong."/>
    <s v="good"/>
    <b v="0"/>
    <s v="gpt-4o-mini"/>
    <s v="{&quot;prompt_score&quot;: 4, &quot;response_score&quot;: 5, &quot;overall_score&quot;: 4, &quot;prompt_strengths&quot;: &quot;Clear and specific about the pipeline components.&quot;, &quot;prompt_issues&quot;: &quot;Could provide more context on the purpose of the pipeline.&quot;, &quot;response_strengths&quot;: &quot;Accurate, complete explanation with code example.&quot;, &quot;response_issues&quot;: &quot;None significant.&quot;, &quot;prompt_rewrite&quot;: &quot;Apa arti dari Pipeline([(‘scaler' StandardScaler()), (‘model’, SVR())]) dalam konteks machine learning?&quot;, &quot;response_improvement_suggestions&quot;: &quot;None needed; response is already strong.&quot;, &quot;verdict&quot;: &quot;good&quot;, &quot;needs_human_review&quot;: false}"/>
    <s v="ok"/>
    <n v="4"/>
  </r>
  <r>
    <x v="14"/>
    <s v="[LANG:Python]_x000a_[MODE:code]_x000a_[ASSESSMENT_ID:1771cf7a-0a65-11f1-b762-3e0936ad7efb]_x000a_[FORCE_GPT:true]_x000a_[AUTO_FALLBACK:true]_x000a_say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python_x000a_pred = lin_reg.predict(X_test)_x000a_```"/>
    <d v="2026-03-04T15:17:07"/>
    <x v="6"/>
    <n v="0"/>
    <n v="138"/>
    <n v="12"/>
    <n v="150"/>
    <n v="402"/>
    <n v="44"/>
    <n v="726"/>
    <n v="4"/>
    <n v="5"/>
    <n v="4"/>
    <s v="Clear instructions and context for linear regression evaluation."/>
    <s v="Could specify the model training part for completeness."/>
    <s v="Directly addresses the prompt with a correct prediction code."/>
    <s v="Lacks explanation or context for the prediction line."/>
    <s v="Implement the prediction using a trained linear regression model and evaluate it with MAE, RMSE, and R2."/>
    <s v="Add a brief explanation of the prediction step and ensure the model is trained before predicting."/>
    <s v="good"/>
    <b v="0"/>
    <s v="gpt-4o-mini"/>
    <s v="{&quot;prompt_score&quot;: 4, &quot;response_score&quot;: 5, &quot;overall_score&quot;: 4, &quot;prompt_strengths&quot;: &quot;Clear instructions and context for linear regression evaluation.&quot;, &quot;prompt_issues&quot;: &quot;Could specify the model training part for completeness.&quot;, &quot;response_strengths&quot;: &quot;Directly addresses the prompt with a correct prediction code.&quot;, &quot;response_issues&quot;: &quot;Lacks explanation or context for the prediction line.&quot;, &quot;prompt_rewrite&quot;: &quot;Implement the prediction using a trained linear regression model and evaluate it with MAE, RMSE, and R2.&quot;, &quot;response_improvement_suggestions&quot;: &quot;Add a brief explanation of the prediction step and ensure the model is trained before predicting.&quot;, &quot;verdict&quot;: &quot;good&quot;, &quot;needs_human_review&quot;: false}"/>
    <s v="ok"/>
    <n v="4"/>
  </r>
  <r>
    <x v="14"/>
    <s v="[LANG:Python]_x000a_[MODE:code]_x000a_[ASSESSMENT_ID:1771cf7a-0a65-11f1-b762-3e0936ad7efb]_x000a_[FORCE_GPT:true]_x000a_[AUTO_FALLBACK:true]_x000a_## DO NOT CHANGE THE CODE ##_x000a_param_grid = {_x000a_    &quot;model__n_estimators&quot;: [100, 200],_x000a_    &quot;model__max_depth&quot;: [None, 5, 10],_x000a_    &quot;model__min_samples_split&quot;: [2, 5]_x000a_}_x000a_## DO NOT CHANGE THE CODE ##_x000a_grid_search = GridSearchCV(_x000a_    rf_pipeline,_x000a_    param_grid,_x000a_    cv=3,_x000a_    scoring=&quot;neg_root_mean_squared_error&quot;,_x000a_    n_jobs=-1_x000a_)_x000a_Sekarang, latih grid_search menggunakan `X_train` dan `y_train` dan munculkan best parameter nya"/>
    <s v="done"/>
    <s v="grid_search.fit(X_train, y_train)_x000a_print(grid_search.best_params_)"/>
    <s v="```python_x000a_grid_search.fit(X_train, y_train)_x000a_print(grid_search.best_params_)_x000a_```"/>
    <d v="2026-03-04T15:26:29"/>
    <x v="6"/>
    <n v="0"/>
    <n v="178"/>
    <n v="19"/>
    <n v="197"/>
    <n v="535"/>
    <n v="79"/>
    <n v="942"/>
    <n v="4"/>
    <n v="5"/>
    <n v="4"/>
    <s v="Clear instructions and context provided."/>
    <s v="Could be more specific about the expected output format."/>
    <s v="Directly addresses the prompt with correct code."/>
    <s v="Lacks explanation or comments for clarity."/>
    <s v="Latih grid_search menggunakan `X_train` dan `y_train`, lalu munculkan best parameter dalam format dictionary."/>
    <s v="Add comments to explain each step of the code."/>
    <s v="good"/>
    <b v="0"/>
    <s v="gpt-4o-mini"/>
    <s v="{&quot;prompt_score&quot;: 4, &quot;response_score&quot;: 5, &quot;overall_score&quot;: 4, &quot;prompt_strengths&quot;: &quot;Clear instructions and context provided.&quot;, &quot;prompt_issues&quot;: &quot;Could be more specific about the expected output format.&quot;, &quot;response_strengths&quot;: &quot;Directly addresses the prompt with correct code.&quot;, &quot;response_issues&quot;: &quot;Lacks explanation or comments for clarity.&quot;, &quot;prompt_rewrite&quot;: &quot;Latih grid_search menggunakan `X_train` dan `y_train`, lalu munculkan best parameter dalam format dictionary.&quot;, &quot;response_improvement_suggestions&quot;: &quot;Add comments to explain each step of the code.&quot;, &quot;verdict&quot;: &quot;good&quot;, &quot;needs_human_review&quot;: false}"/>
    <s v="ok"/>
    <n v="4"/>
  </r>
  <r>
    <x v="14"/>
    <s v="[LANG:Python]_x000a_[MODE:code]_x000a_saya ingin melatih`grid_search` tersebut pada 6000 data pertama. coba anda tuliskan kodenya dan jangan lupa validasi agar tidak error"/>
    <s v="done"/>
    <s v="#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
    <s v="```python_x000a_#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_x000a_```"/>
    <d v="2026-02-25T16:19:44"/>
    <x v="1"/>
    <n v="0"/>
    <n v="48"/>
    <n v="106"/>
    <n v="154"/>
    <n v="159"/>
    <n v="352"/>
    <n v="1222"/>
    <n v="4"/>
    <n v="4"/>
    <n v="4"/>
    <s v="Clear request for code with specific data size and validation."/>
    <s v="Could provide more context about the data and grid_search."/>
    <s v="Correctly implements the request with relevant code."/>
    <s v="Lacks comments or explanations for clarity."/>
    <s v="Tolong berikan kode Python untuk melatih `grid_search` pada 6000 data pertama dari dataset yang diberikan, dan sertakan validasi untuk mencegah error."/>
    <s v="Add comments to explain each step of the code for better understanding."/>
    <s v="good"/>
    <b v="0"/>
    <s v="gpt-4o-mini"/>
    <s v="{&quot;prompt_score&quot;: 4, &quot;response_score&quot;: 4, &quot;overall_score&quot;: 4, &quot;prompt_strengths&quot;: &quot;Clear request for code with specific data size and validation.&quot;, &quot;prompt_issues&quot;: &quot;Could provide more context about the data and grid_search.&quot;, &quot;response_strengths&quot;: &quot;Correctly implements the request with relevant code.&quot;, &quot;response_issues&quot;: &quot;Lacks comments or explanations for clarity.&quot;, &quot;prompt_rewrite&quot;: &quot;Tolong berikan kode Python untuk melatih `grid_search` pada 6000 data pertama dari dataset yang diberikan, dan sertakan validasi untuk mencegah error.&quot;, &quot;response_improvement_suggestions&quot;: &quot;Add comments to explain each step of the code for better understanding.&quot;, &quot;verdict&quot;: &quot;good&quot;, &quot;needs_human_review&quot;: false}"/>
    <s v="ok"/>
    <n v="4"/>
  </r>
  <r>
    <x v="14"/>
    <s v="[LANG:Python]_x000a_[MODE:code]_x000a_Pregnancies_x0009_Glucose_x0009_BloodPressure_x0009_SkinThickness_x0009_Insulin_x0009_BMI_x0009_DiabetesPedigreeFunction_x0009_Age_x0009_Outcome_x000a__x000a__x000a_berikut adalah kolom di dataset 'pima-indians-diabetes.data.csv"/>
    <s v="done"/>
    <s v="names = [_x000a_    &quot;Pregnancies&quot;,_x000a_    &quot;Glucose&quot;,_x000a_    &quot;BloodPressure&quot;,_x000a_    &quot;SkinThickness&quot;,_x000a_    &quot;Insulin&quot;,_x000a_    &quot;BMI&quot;,_x000a_    &quot;DiabetesPedigreeFunction&quot;,_x000a_    &quot;Age&quot;,_x000a_    &quot;Outcome&quot;,_x000a_]"/>
    <s v="```python_x000a_names = [_x000a_    &quot;Pregnancies&quot;,_x000a_    &quot;Glucose&quot;,_x000a_    &quot;BloodPressure&quot;,_x000a_    &quot;SkinThickness&quot;,_x000a_    &quot;Insulin&quot;,_x000a_    &quot;BMI&quot;,_x000a_    &quot;DiabetesPedigreeFunction&quot;,_x000a_    &quot;Age&quot;,_x000a_    &quot;Outcome&quot;,_x000a_]_x000a_```"/>
    <d v="2026-03-11T15:26:11"/>
    <x v="2"/>
    <n v="0"/>
    <n v="55"/>
    <n v="55"/>
    <n v="110"/>
    <n v="188"/>
    <n v="185"/>
    <n v="1480"/>
    <n v="3"/>
    <n v="4"/>
    <n v="3"/>
    <s v="Identifies dataset columns clearly."/>
    <s v="Lacks specific instructions on what to do with the columns."/>
    <s v="Correctly lists the column names in a Python list format."/>
    <s v="Does not provide context or further explanation."/>
    <s v="List the columns in the dataset 'pima-indians-diabetes.data.csv' and explain their significance."/>
    <s v="Add a brief explanation of each column's purpose in the dataset."/>
    <s v="fair"/>
    <b v="0"/>
    <s v="gpt-4o-mini"/>
    <s v="{&quot;prompt_score&quot;: 3, &quot;response_score&quot;: 4, &quot;overall_score&quot;: 3, &quot;prompt_strengths&quot;: &quot;Identifies dataset columns clearly.&quot;, &quot;prompt_issues&quot;: &quot;Lacks specific instructions on what to do with the columns.&quot;, &quot;response_strengths&quot;: &quot;Correctly lists the column names in a Python list format.&quot;, &quot;response_issues&quot;: &quot;Does not provide context or further explanation.&quot;, &quot;prompt_rewrite&quot;: &quot;List the columns in the dataset 'pima-indians-diabetes.data.csv' and explain their significance.&quot;, &quot;response_improvement_suggestions&quot;: &quot;Add a brief explanation of each column's purpose in the dataset.&quot;, &quot;verdict&quot;: &quot;fair&quot;, &quot;needs_human_review&quot;: false}"/>
    <s v="ok"/>
    <n v="3"/>
  </r>
  <r>
    <x v="14"/>
    <s v="[LANG:Python]_x000a_[MODE:code]_x000a_from sklearn.model_selection import GridSearchCV_x000a__x000a_grid_search = GridSearchCV(_x000a_    estimator=svr_pipeline,   # atau svr_pipeline jika nama variabelmu itu_x000a_    param_grid=param_grid,_x000a_    cv=3,_x000a_    scoring=&quot;neg_root_mean_squared_error&quot;,_x000a_    n_jobs=-1,_x000a_    verbose=2_x000a_)_x000a__x000a_ini  GridSearchCV dengan svr_pipeline, param_grid, 3-fold cross-validation, dan scoring adalah neg_root_mean_squared_error_x000a__x000a_nah saya ingin latih `grid_search` tersebut pada 6000 data pertama, coba anda tuliskan kodenya"/>
    <s v="done"/>
    <s v="#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
    <s v="```python_x000a_#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_x000a_```"/>
    <d v="2026-02-25T16:26:41"/>
    <x v="1"/>
    <n v="0"/>
    <n v="134"/>
    <n v="101"/>
    <n v="235"/>
    <n v="509"/>
    <n v="329"/>
    <n v="1631"/>
    <n v="4"/>
    <n v="5"/>
    <n v="4"/>
    <s v="Clear and specific about the task."/>
    <s v="Could provide more context about the data."/>
    <s v="Correct and complete code for the task."/>
    <s v="None."/>
    <s v="Tolong tuliskan kode untuk melatih grid_search pada 6000 data pertama dari dataset housing dan housing_labels."/>
    <s v="None needed; the response is already complete."/>
    <s v="good"/>
    <b v="0"/>
    <s v="gpt-4o-mini"/>
    <s v="{&quot;prompt_score&quot;: 4, &quot;response_score&quot;: 5, &quot;overall_score&quot;: 4, &quot;prompt_strengths&quot;: &quot;Clear and specific about the task.&quot;, &quot;prompt_issues&quot;: &quot;Could provide more context about the data.&quot;, &quot;response_strengths&quot;: &quot;Correct and complete code for the task.&quot;, &quot;response_issues&quot;: &quot;None.&quot;, &quot;prompt_rewrite&quot;: &quot;Tolong tuliskan kode untuk melatih grid_search pada 6000 data pertama dari dataset housing dan housing_labels.&quot;, &quot;response_improvement_suggestions&quot;: &quot;None needed; the response is already complete.&quot;, &quot;verdict&quot;: &quot;good&quot;, &quot;needs_human_review&quot;: false}"/>
    <s v="ok"/>
    <n v="4"/>
  </r>
  <r>
    <x v="14"/>
    <s v="[LANG:Python]_x000a_[MODE:code]_x000a_selanjutnya Buatlah `model` yang merupakan model `LogisticRegression` dengan parameter `solver` adalah `liblinear`. model ="/>
    <s v="done"/>
    <s v="from sklearn.linear_model import LogisticRegression_x000a__x000a_model = LogisticRegression(solver=&quot;liblinear&quot;)"/>
    <s v="```python_x000a_from sklearn.linear_model import LogisticRegression_x000a__x000a_model = LogisticRegression(solver=&quot;liblinear&quot;)_x000a_```"/>
    <d v="2026-03-11T16:14:39"/>
    <x v="2"/>
    <n v="0"/>
    <n v="40"/>
    <n v="22"/>
    <n v="62"/>
    <n v="149"/>
    <n v="113"/>
    <n v="1924"/>
    <n v="4"/>
    <n v="5"/>
    <n v="4"/>
    <s v="Clear and specific about the model and parameters."/>
    <s v="Could provide more context on the purpose of the model."/>
    <s v="Correct implementation and clear syntax."/>
    <s v="None."/>
    <s v="Buatlah model LogisticRegression dengan solver liblinear untuk klasifikasi data."/>
    <s v="None needed; response is complete."/>
    <s v="good"/>
    <b v="0"/>
    <s v="gpt-4o-mini"/>
    <s v="{&quot;prompt_score&quot;: 4, &quot;response_score&quot;: 5, &quot;overall_score&quot;: 4, &quot;prompt_strengths&quot;: &quot;Clear and specific about the model and parameters.&quot;, &quot;prompt_issues&quot;: &quot;Could provide more context on the purpose of the model.&quot;, &quot;response_strengths&quot;: &quot;Correct implementation and clear syntax.&quot;, &quot;response_issues&quot;: &quot;None.&quot;, &quot;prompt_rewrite&quot;: &quot;Buatlah model LogisticRegression dengan solver liblinear untuk klasifikasi data.&quot;, &quot;response_improvement_suggestions&quot;: &quot;None needed; response is complete.&quot;, &quot;verdict&quot;: &quot;good&quot;, &quot;needs_human_review&quot;: false}"/>
    <s v="ok"/>
    <n v="4"/>
  </r>
  <r>
    <x v="14"/>
    <s v="[LANG:Python]_x000a_[MODE:code]_x000a_---------------------------------------------------------------------------_x000a_TypeError                                 Traceback (most recent call last)_x000a_Cell In[76], line 5_x000a_      1 from sklearn.base import clone_x000a_      3 # 1) Pastikan estimator di dalam grid_search adalah INSTANCE, bukan CLASS_x000a_      4 #    (error ini sering muncul kalau Anda menulis estimator=SVR atau estimator=Pipeline, bukan SVR() / Pipeline([...]))_x000a_----&gt; 5 grid_searc.Pipeline = clone(svr_pipeline)  # svr_pipeline harus sudah berupa Pipeline(...)_x000a_      7 # 2) Pastikan param_grid adalah list/dict yang valid (bukan class/objek aneh)_x000a_      8 #    (opsional, tapi membantu memastikan tidak error saat fit)_x000a_      9 _ = grid_search.get_params(deep=True)_x000a__x000a_File C:\Software\anaconda3\Lib\site-packages\sklearn\base.py:95, in clone(estimator, safe)_x000a_     93 if hasattr(estimator, &quot;__sklearn_clone__&quot;) and not inspect.isclass(estimator):_x000a_     94     return estimator.__sklearn_clone__()_x000a_---&gt; 95 return _clone_parametrized(estimator, safe=safe)_x000a__x000a_File C:\Software\anaconda3\Lib\site-packages\sklearn\base.py:111, in _clone_parametrized(estimator, safe)_x000a_    109 else:_x000a_    110     if isinstance(estimator, type):_x000a_--&gt; 111         raise TypeError(_x000a_    112             &quot;Cannot clone object. &quot;_x000a_    113             + &quot;You should provide an instance of &quot;_x000a_    114             + &quot;scikit-learn estimator instead of a class.&quot;_x000a_    115         )_x000a_    116     else:_x000a_    117         raise TypeError(_x000a_    118             &quot;Cannot clone object '%s' (type %s): &quot;_x000a_    119             &quot;it does not seem to be a scikit-learn &quot;_x000a_    120             &quot;estimator as it does not implement a &quot;_x000a_    121             &quot;'get_params' method.&quot; % (repr(estimator), type(estimator))_x000a_    122         )_x000a__x000a_TypeError: Cannot clone object. You should provide an instance of scikit-learn estimator instead of a class._x000a__x000a_masih errorrrrr"/>
    <s v="done"/>
    <s v="from sklearn.pipeline import Pipeline_x000a_from sklearn.svm import SVR_x000a__x000a_# Pastikan svr_pipeline adalah INSTANCE (bukan class)_x000a_# Jika Anda sudah punya `preprocessing`, ini akan membuat instance yang benar.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
    <s v="```python_x000a_from sklearn.pipeline import Pipeline_x000a_from sklearn.svm import SVR_x000a__x000a_# Pastikan svr_pipeline adalah INSTANCE (bukan class)_x000a_# Jika Anda sudah punya `preprocessing`, ini akan membuat instance yang benar.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
    <d v="2026-02-25T16:31:45"/>
    <x v="1"/>
    <n v="0"/>
    <n v="471"/>
    <n v="227"/>
    <n v="698"/>
    <n v="1874"/>
    <n v="822"/>
    <n v="2168"/>
    <n v="3"/>
    <n v="4"/>
    <n v="4"/>
    <s v="Identifies a specific error in code."/>
    <s v="Lacks clarity and structure; too verbose."/>
    <s v="Provides a clear and relevant solution to the error."/>
    <s v="Could include more context or explanation for clarity."/>
    <s v="Explain the TypeError encountered in scikit-learn and provide a clear example of how to fix it."/>
    <s v="Add comments explaining each step of the solution for better understanding."/>
    <s v="good"/>
    <b v="0"/>
    <s v="gpt-4o-mini"/>
    <s v="{&quot;prompt_score&quot;: 3, &quot;response_score&quot;: 4, &quot;overall_score&quot;: 4, &quot;prompt_strengths&quot;: &quot;Identifies a specific error in code.&quot;, &quot;prompt_issues&quot;: &quot;Lacks clarity and structure; too verbose.&quot;, &quot;response_strengths&quot;: &quot;Provides a clear and relevant solution to the error.&quot;, &quot;response_issues&quot;: &quot;Could include more context or explanation for clarity.&quot;, &quot;prompt_rewrite&quot;: &quot;Explain the TypeError encountered in scikit-learn and provide a clear example of how to fix it.&quot;, &quot;response_improvement_suggestions&quot;: &quot;Add comments explaining each step of the solution for better understanding.&quot;, &quot;verdict&quot;: &quot;good&quot;, &quot;needs_human_review&quot;: false}"/>
    <s v="ok"/>
    <n v="4"/>
  </r>
  <r>
    <x v="14"/>
    <s v="[LANG:Python]_x000a_[MODE:code]_x000a_jika saya ingin cari tau informasi mengenai nilai null pada dataset menggunakan pandas bagaimana ya?"/>
    <s v="done"/>
    <s v="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    pd.DataFrame({&quot;null_count&quot;: null_count, &quot;null_pct&quot;: null_pct})_x000a_      .query(&quot;null_count &gt; 0&quot;)_x000a_      .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
    <s v="```python_x000a_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    pd.DataFrame({&quot;null_count&quot;: null_count, &quot;null_pct&quot;: null_pct})_x000a_      .query(&quot;null_count &gt; 0&quot;)_x000a_      .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_x000a_```"/>
    <d v="2026-02-25T15:43:18"/>
    <x v="1"/>
    <n v="0"/>
    <n v="33"/>
    <n v="447"/>
    <n v="480"/>
    <n v="126"/>
    <n v="1416"/>
    <n v="2804"/>
    <n v="4"/>
    <n v="5"/>
    <n v="5"/>
    <s v="Clear and specific request for information on handling null values in a dataset."/>
    <s v="Could provide more context about the dataset or specific use case."/>
    <s v="Comprehensive and correct code examples for handling null values in pandas."/>
    <s v="None; the response is complete and clear."/>
    <s v="Bagaimana cara mencari informasi mengenai nilai null pada dataset menggunakan pandas? Berikan contoh kode."/>
    <s v="None; the response is already thorough and well-structured."/>
    <s v="excellent"/>
    <b v="0"/>
    <s v="gpt-4o-mini"/>
    <s v="{&quot;prompt_score&quot;: 4, &quot;response_score&quot;: 5, &quot;overall_score&quot;: 5, &quot;prompt_strengths&quot;: &quot;Clear and specific request for information on handling null values in a dataset.&quot;, &quot;prompt_issues&quot;: &quot;Could provide more context about the dataset or specific use case.&quot;, &quot;response_strengths&quot;: &quot;Comprehensive and correct code examples for handling null values in pandas.&quot;, &quot;response_issues&quot;: &quot;None; the response is complete and clear.&quot;, &quot;prompt_rewrite&quot;: &quot;Bagaimana cara mencari informasi mengenai nilai null pada dataset menggunakan pandas? Berikan contoh kode.&quot;, &quot;response_improvement_suggestions&quot;: &quot;None; the response is already thorough and well-structured.&quot;, &quot;verdict&quot;: &quot;excellent&quot;, &quot;needs_human_review&quot;: false}"/>
    <s v="ok"/>
    <n v="5"/>
  </r>
  <r>
    <x v="14"/>
    <s v="[LANG:Python]_x000a_[MODE:code]_x000a_[ASSESSMENT_ID:1771cf7d-0a65-11f1-b762-3e0936ad7efb]_x000a_[FORCE_GPT:true]_x000a_[AUTO_FALLBACK:true]_x000a_Gunakan method read_csv dengan parameter: filename dan names adalah names. Simpan hasil read_csv dalam variabel dataframe._x000a_##### Your Code Here #####_x000a_dataframe = read_csv(filename, names=names)"/>
    <s v="done"/>
    <s v="dataframe = read_csv(filename, names=names)"/>
    <s v="```python_x000a_dataframe = read_csv(filename, names=names)_x000a_```"/>
    <d v="2026-03-11T15:19:30"/>
    <x v="2"/>
    <n v="0"/>
    <n v="95"/>
    <n v="15"/>
    <n v="110"/>
    <n v="310"/>
    <n v="57"/>
    <n v="3158"/>
    <n v="4"/>
    <n v="5"/>
    <n v="4"/>
    <s v="Clear instructions and context provided."/>
    <s v="Could specify the expected format of 'filename' and 'names'."/>
    <s v="Directly addresses the prompt with correct syntax."/>
    <s v="Lacks additional context or explanation."/>
    <s v="Gunakan method read_csv dengan parameter: filename (string) dan names (list of strings). Simpan hasil read_csv dalam variabel dataframe."/>
    <s v="Add a brief explanation of what the code does."/>
    <s v="good"/>
    <b v="0"/>
    <s v="gpt-4o-mini"/>
    <s v="{&quot;prompt_score&quot;: 4, &quot;response_score&quot;: 5, &quot;overall_score&quot;: 4, &quot;prompt_strengths&quot;: &quot;Clear instructions and context provided.&quot;, &quot;prompt_issues&quot;: &quot;Could specify the expected format of 'filename' and 'names'.&quot;, &quot;response_strengths&quot;: &quot;Directly addresses the prompt with correct syntax.&quot;, &quot;response_issues&quot;: &quot;Lacks additional context or explanation.&quot;, &quot;prompt_rewrite&quot;: &quot;Gunakan method read_csv dengan parameter: filename (string) dan names (list of strings). Simpan hasil read_csv dalam variabel dataframe.&quot;, &quot;response_improvement_suggestions&quot;: &quot;Add a brief explanation of what the code does.&quot;, &quot;verdict&quot;: &quot;good&quot;, &quot;needs_human_review&quot;: false}"/>
    <s v="ok"/>
    <n v="4"/>
  </r>
  <r>
    <x v="14"/>
    <s v="[LANG:Python]_x000a_[MODE:code]_x000a_dari kode tersebut, saya ingin ada output yang dihasilkan, jadi setelah dilatih saya ingin ada output dari hasil training tersebut"/>
    <s v="done"/>
    <s v="from sklearn.pipeline import Pipeline_x000a_from sklearn.svm import SVR_x000a_import numpy as np_x000a__x000a_# Pastikan svr_pipeline adalah INSTANCE (bukan class)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    rmse = -results[&quot;mean_test_score&quot;][i]_x000a_    std = results[&quot;std_test_score&quot;][i]_x000a_    print(f&quot;RMSE={rmse:.6f} (+/- {std:.6f}) | params={results['params'][i]}&quot;)"/>
    <s v="```python_x000a_from sklearn.pipeline import Pipeline_x000a_from sklearn.svm import SVR_x000a_import numpy as np_x000a__x000a_# Pastikan svr_pipeline adalah INSTANCE (bukan class)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    rmse = -results[&quot;mean_test_score&quot;][i]_x000a_    std = results[&quot;std_test_score&quot;][i]_x000a_    print(f&quot;RMSE={rmse:.6f} (+/- {std:.6f}) | params={results['params'][i]}&quot;)_x000a_```"/>
    <d v="2026-02-25T16:34:04"/>
    <x v="1"/>
    <n v="0"/>
    <n v="39"/>
    <n v="375"/>
    <n v="414"/>
    <n v="156"/>
    <n v="1327"/>
    <n v="3471"/>
    <n v="3"/>
    <n v="4"/>
    <n v="4"/>
    <s v="The prompt specifies a clear request for output after training."/>
    <s v="Lacks detail on the specific type of output desired."/>
    <s v="The response provides a complete code snippet that addresses the prompt's request."/>
    <s v="Could improve clarity by explaining the code sections."/>
    <s v="Saya ingin agar setelah melatih model, output yang dihasilkan mencakup parameter terbaik dan RMSE. Mohon sertakan penjelasan singkat tentang output tersebut."/>
    <s v="Add comments to explain each part of the code for better clarity."/>
    <s v="good"/>
    <b v="0"/>
    <s v="gpt-4o-mini"/>
    <s v="{&quot;prompt_score&quot;: 3, &quot;response_score&quot;: 4, &quot;overall_score&quot;: 4, &quot;prompt_strengths&quot;: &quot;The prompt specifies a clear request for output after training.&quot;, &quot;prompt_issues&quot;: &quot;Lacks detail on the specific type of output desired.&quot;, &quot;response_strengths&quot;: &quot;The response provides a complete code snippet that addresses the prompt's request.&quot;, &quot;response_issues&quot;: &quot;Could improve clarity by explaining the code sections.&quot;, &quot;prompt_rewrite&quot;: &quot;Saya ingin agar setelah melatih model, output yang dihasilkan mencakup parameter terbaik dan RMSE. Mohon sertakan penjelasan singkat tentang output tersebut.&quot;, &quot;response_improvement_suggestions&quot;: &quot;Add comments to explain each part of the code for better clarity.&quot;, &quot;verdict&quot;: &quot;good&quot;, &quot;needs_human_review&quot;: false}"/>
    <s v="ok"/>
    <n v="4"/>
  </r>
  <r>
    <x v="15"/>
    <s v="[MODE:code]_x000a_# 1. Buat target klasifikasi `at_risk`_x000a_df['at_risk'] = df['pass_fail'].apply(lambda x: 1 if x == 'Fail' else 0)_x000a__x000a_# Buat fitur turunan_x000a__x000a_# engagement_index_x000a_df['engagement_index'] = (df['attendance_rate'] + df['assignment_completion_rate'] + df['participation_score']) / 3_x000a__x000a_# digital_distraction_ratio (handle division by zero if study_hours_per_day can be 0)_x000a_# Adding a small epsilon to avoid division by zero_x000a_df['digital_distraction_ratio'] = df['social_media_hours'] / (df['study_hours_per_day'] + 1e-6)_x000a__x000a_# support_score_x000a_df['tutoring_numeric'] = df['tutoring'].apply(lambda x: 1 if x == 'Yes' else 0)_x000a_df['support_score'] = df['online_courses_completed'] + df['tutoring_numeric']_x000a__x000a_# 2. Tentukan fitur untuk regresi yang tidak menyebabkan leakage_x000a_# Fitur yang akan digunakan untuk memprediksi final_exam_score_x000a_# Menghindari final_exam_score, pass_fail, dan grade_category sebagai target atau bocoran._x000a_# Menghindari student_id karena hanya identifier._x000a__x000a_features_for_regression = [_x000a_    'gender', 'age', 'parental_education', 'family_income', 'internet_access',_x000a_    'study_environment', 'study_hours_per_day', 'attendance_rate', 'sleep_hours', 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_x000a_y_regression = df[target_regression]_x000a__x000a_# 3. Bagi data menjadi train-test dengan rasio 80:20 dan random_state=42_x000a_X_train_reg, X_test_reg, y_train_reg, y_test_reg = train_test_split(_x000a_    X, y_regression, test_size=0.2, random_state=42_x000a_)_x000a__x000a_# Tampilkan bentuk data setelah splitting_x000a_print('Shape of X_train_reg:', X_train_reg.shape)_x000a_print('Shape of X_test_reg:', X_test_reg.shape)_x000a_print('Shape of y_train_reg:', y_train_reg.shape)_x000a_print('Shape of y_test_reg:', y_test_reg.shape)_x000a__x000a_# Tampilkan 5 baris pertama dari X_train_reg (untuk melihat fitur baru)_x000a_print('\n5 baris pertama X_train_reg dengan fitur engineering:')_x000a_display(X_train_reg.head())_x000a__x000a_ INI BUAT APA"/>
    <s v="done"/>
    <s v="#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    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    'gender', 'age', 'parental_education', 'family_income', 'internet_access',_x000a_    'study_environment', 'study_hours_per_day', 'attendance_rate', 'sleep_hours',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    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
    <s v="```python_x000a_#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    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    'gender', 'age', 'parental_education', 'family_income', 'internet_access',_x000a_    'study_environment', 'study_hours_per_day', 'attendance_rate', 'sleep_hours',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    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_x000a_```"/>
    <d v="2026-04-15T14:27:48"/>
    <x v="3"/>
    <n v="0"/>
    <n v="581"/>
    <n v="828"/>
    <n v="1409"/>
    <n v="2157"/>
    <n v="2955"/>
    <n v="2636"/>
    <n v="4"/>
    <n v="5"/>
    <n v="4"/>
    <s v="Clear and detailed instructions for data processing."/>
    <s v="Could benefit from clearer context on the dataset."/>
    <s v="Thorough explanation of the code and its purpose."/>
    <s v="None noted; response is complete and clear."/>
    <s v="Jelaskan tujuan dan langkah-langkah dalam kode berikut untuk mempersiapkan dataset prediksi nilai ujian akhir."/>
    <s v="Consider summarizing key points for brevity."/>
    <s v="good"/>
    <b v="0"/>
    <s v="gpt-4o-mini"/>
    <s v="{&quot;prompt_score&quot;: 4, &quot;response_score&quot;: 5, &quot;overall_score&quot;: 4, &quot;prompt_strengths&quot;: &quot;Clear and detailed instructions for data processing.&quot;, &quot;prompt_issues&quot;: &quot;Could benefit from clearer context on the dataset.&quot;, &quot;response_strengths&quot;: &quot;Thorough explanation of the code and its purpose.&quot;, &quot;response_issues&quot;: &quot;None noted; response is complete and clear.&quot;, &quot;prompt_rewrite&quot;: &quot;Jelaskan tujuan dan langkah-langkah dalam kode berikut untuk mempersiapkan dataset prediksi nilai ujian akhir.&quot;, &quot;response_improvement_suggestions&quot;: &quot;Consider summarizing key points for brevity.&quot;, &quot;verdict&quot;: &quot;good&quot;, &quot;needs_human_review&quot;: false}"/>
    <s v="ok"/>
    <n v="4"/>
  </r>
  <r>
    <x v="15"/>
    <s v="[MODE:code]_x000a_baik berikutnya adalah Buatlah KFold dengan parameter n_splits=10 dan simpan dalam varibel kfold._x000a__x000a_kfold = ? tolong berikan jawban yang tepat dan akurat"/>
    <s v="done"/>
    <s v="from sklearn.model_selection import KFold_x000a__x000a_kfold = KFold(n_splits=10)"/>
    <s v="```python_x000a_from sklearn.model_selection import KFold_x000a__x000a_kfold = KFold(n_splits=10)_x000a_```"/>
    <d v="2026-03-11T15:40:41"/>
    <x v="2"/>
    <n v="0"/>
    <n v="47"/>
    <n v="22"/>
    <n v="69"/>
    <n v="164"/>
    <n v="83"/>
    <n v="2717"/>
    <n v="4"/>
    <n v="5"/>
    <n v="5"/>
    <s v="Clear and specific request for KFold implementation."/>
    <s v="Minor language issues could affect understanding."/>
    <s v="Correct and complete code implementation."/>
    <s v="None."/>
    <s v="Buatlah KFold dengan parameter n_splits=10 dan simpan dalam variabel kfold. Kode: kfold = ?"/>
    <s v="None needed; response is already accurate."/>
    <s v="excellent"/>
    <b v="0"/>
    <s v="gpt-4o-mini"/>
    <s v="{&quot;prompt_score&quot;: 4, &quot;response_score&quot;: 5, &quot;overall_score&quot;: 5, &quot;prompt_strengths&quot;: &quot;Clear and specific request for KFold implementation.&quot;, &quot;prompt_issues&quot;: &quot;Minor language issues could affect understanding.&quot;, &quot;response_strengths&quot;: &quot;Correct and complete code implementation.&quot;, &quot;response_issues&quot;: &quot;None.&quot;, &quot;prompt_rewrite&quot;: &quot;Buatlah KFold dengan parameter n_splits=10 dan simpan dalam variabel kfold. Kode: kfold = ?&quot;, &quot;response_improvement_suggestions&quot;: &quot;None needed; response is already accurate.&quot;, &quot;verdict&quot;: &quot;excellent&quot;, &quot;needs_human_review&quot;: false}"/>
    <s v="ok"/>
    <n v="5"/>
  </r>
  <r>
    <x v="15"/>
    <s v="[MODE:code]_x000a_Hyperparameter adalah?_x000a_*_x000a_Output model_x000a_Parameter yang dipelajari model_x000a_Dataset_x000a_Parameter sebelum training_x000a__x000a_ini adlah soal [ilihan ganda"/>
    <s v="done"/>
    <s v="Parameter sebelum training"/>
    <s v="```text_x000a_Parameter sebelum training_x000a_```"/>
    <d v="2026-03-11T13:18:43"/>
    <x v="2"/>
    <n v="0"/>
    <n v="37"/>
    <n v="9"/>
    <n v="46"/>
    <n v="146"/>
    <n v="38"/>
    <n v="3276"/>
    <n v="2"/>
    <n v="3"/>
    <n v="2"/>
    <s v="Attempts to define hyperparameters."/>
    <s v="Lacks clarity and specificity; poorly structured."/>
    <s v="Directly addresses the question."/>
    <s v="Incomplete and lacks detail."/>
    <s v="Apa yang dimaksud dengan hyperparameter dalam konteks machine learning? Berikan penjelasan singkat."/>
    <s v="Expand on the definition and provide examples."/>
    <s v="fair"/>
    <b v="0"/>
    <s v="gpt-4o-mini"/>
    <s v="{&quot;prompt_score&quot;: 2, &quot;response_score&quot;: 3, &quot;overall_score&quot;: 2, &quot;prompt_strengths&quot;: &quot;Attempts to define hyperparameters.&quot;, &quot;prompt_issues&quot;: &quot;Lacks clarity and specificity; poorly structured.&quot;, &quot;response_strengths&quot;: &quot;Directly addresses the question.&quot;, &quot;response_issues&quot;: &quot;Incomplete and lacks detail.&quot;, &quot;prompt_rewrite&quot;: &quot;Apa yang dimaksud dengan hyperparameter dalam konteks machine learning? Berikan penjelasan singkat.&quot;, &quot;response_improvement_suggestions&quot;: &quot;Expand on the definition and provide examples.&quot;, &quot;verdict&quot;: &quot;fair&quot;, &quot;needs_human_review&quot;: false}"/>
    <s v="ok"/>
    <n v="3"/>
  </r>
  <r>
    <x v="15"/>
    <s v="[MODE:code]_x000a_baiklah selanjutnya:_x000a_Buatlah model yang merupakan model LogisticRegression dengan parameter solver adalah liblinear._x000a__x000a_model = LogisticRegression = ? tolong berikan jawaban yang tepat dan akurat"/>
    <s v="done"/>
    <s v="model = LogisticRegression(solver=&quot;liblinear&quot;)"/>
    <s v="```python_x000a_model = LogisticRegression(solver=&quot;liblinear&quot;)_x000a_```"/>
    <d v="2026-03-11T15:42:45"/>
    <x v="2"/>
    <n v="0"/>
    <n v="47"/>
    <n v="14"/>
    <n v="61"/>
    <n v="205"/>
    <n v="60"/>
    <n v="3827"/>
    <n v="4"/>
    <n v="5"/>
    <n v="4"/>
    <s v="Clear request for a specific model with parameters."/>
    <s v="Could be more concise and structured."/>
    <s v="Correct and clear implementation of the model."/>
    <s v="None."/>
    <s v="Buat model LogisticRegression dengan solver 'liblinear'. Apa kodenya?"/>
    <s v="No improvements needed; response is accurate."/>
    <s v="excellent"/>
    <b v="0"/>
    <s v="gpt-4o-mini"/>
    <s v="{&quot;prompt_score&quot;: 4, &quot;response_score&quot;: 5, &quot;overall_score&quot;: 4, &quot;prompt_strengths&quot;: &quot;Clear request for a specific model with parameters.&quot;, &quot;prompt_issues&quot;: &quot;Could be more concise and structured.&quot;, &quot;response_strengths&quot;: &quot;Correct and clear implementation of the model.&quot;, &quot;response_issues&quot;: &quot;None.&quot;, &quot;prompt_rewrite&quot;: &quot;Buat model LogisticRegression dengan solver 'liblinear'. Apa kodenya?&quot;, &quot;response_improvement_suggestions&quot;: &quot;No improvements needed; response is accurate.&quot;, &quot;verdict&quot;: &quot;excellent&quot;, &quot;needs_human_review&quot;: false}"/>
    <s v="ok"/>
    <n v="5"/>
  </r>
  <r>
    <x v="16"/>
    <s v="[MODE:code]_x000a_yang ini apakah bisa mengerjakan ini 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03, 0.01, 0.03, 0.1, 0.3, 1, 3, 3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03, 0.01, 0.03, 0.1, 0.3, 1, 3, 3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8T15:43:03"/>
    <x v="0"/>
    <n v="0"/>
    <n v="121"/>
    <n v="172"/>
    <n v="293"/>
    <n v="445"/>
    <n v="538"/>
    <n v="783"/>
    <n v="3"/>
    <n v="4"/>
    <n v="4"/>
    <s v="The prompt specifies a coding task with clear objectives."/>
    <s v="Lacks clarity in the initial question and context for the task."/>
    <s v="The response is relevant, correct, and complete, providing a functional code snippet."/>
    <s v="Could improve clarity with comments explaining each step."/>
    <s v="Can you complete the following loop to train a model for each alpha, and calculate the training and validation errors without regularization? Please provide your code."/>
    <s v="Add comments to explain the purpose of each line in the code for better clarity."/>
    <s v="good"/>
    <b v="0"/>
    <s v="gpt-4o-mini"/>
    <s v="{&quot;prompt_score&quot;: 3, &quot;response_score&quot;: 4, &quot;overall_score&quot;: 4, &quot;prompt_strengths&quot;: &quot;The prompt specifies a coding task with clear objectives.&quot;, &quot;prompt_issues&quot;: &quot;Lacks clarity in the initial question and context for the task.&quot;, &quot;response_strengths&quot;: &quot;The response is relevant, correct, and complete, providing a functional code snippet.&quot;, &quot;response_issues&quot;: &quot;Could improve clarity with comments explaining each step.&quot;, &quot;prompt_rewrite&quot;: &quot;Can you complete the following loop to train a model for each alpha, and calculate the training and validation errors without regularization? Please provide your code.&quot;, &quot;response_improvement_suggestions&quot;: &quot;Add comments to explain the purpose of each line in the code for better clarity.&quot;, &quot;verdict&quot;: &quot;good&quot;, &quot;needs_human_review&quot;: false}"/>
    <s v="ok"/>
    <n v="4"/>
  </r>
  <r>
    <x v="16"/>
    <s v="[MODE:code]_x000a_saya sebagai mahasiswa semester 6 akan mengerjakan sebuah praktikum untuk soal yang akan di berikan berikut_x000a_ Extract semua baris dan kolom ke-1 s.d. ke-7 ke dalam variabel `X`."/>
    <s v="done"/>
    <s v="X = array[:, 0:8]"/>
    <s v="```python_x000a_X = array[:, 0:8]_x000a_```"/>
    <d v="2026-03-11T15:35:05"/>
    <x v="2"/>
    <n v="0"/>
    <n v="56"/>
    <n v="13"/>
    <n v="69"/>
    <n v="188"/>
    <n v="31"/>
    <n v="1348"/>
    <n v="3"/>
    <n v="2"/>
    <n v="2"/>
    <s v="The prompt specifies the task clearly."/>
    <s v="Lacks detail on the data structure and programming language."/>
    <s v="Attempts to provide a solution."/>
    <s v="Incorrect indexing; should be 0:7 for columns 1 to 7."/>
    <s v="[MODE:code] Saya sebagai mahasiswa semester 6 akan mengerjakan sebuah praktikum untuk soal yang akan diberikan berikut: Ekstrak semua baris dan kolom ke-1 hingga ke-7 dari array dua dimensi ke dalam variabel `X` menggunakan Python."/>
    <s v="Correct the indexing to X = array[:, 0:7] to extract columns 1 to 7."/>
    <s v="fair"/>
    <b v="0"/>
    <s v="gpt-4o-mini"/>
    <s v="{&quot;prompt_score&quot;: 3, &quot;response_score&quot;: 2, &quot;overall_score&quot;: 2, &quot;prompt_strengths&quot;: &quot;The prompt specifies the task clearly.&quot;, &quot;prompt_issues&quot;: &quot;Lacks detail on the data structure and programming language.&quot;, &quot;response_strengths&quot;: &quot;Attempts to provide a solution.&quot;, &quot;response_issues&quot;: &quot;Incorrect indexing; should be 0:7 for columns 1 to 7.&quot;, &quot;prompt_rewrite&quot;: &quot;[MODE:code] Saya sebagai mahasiswa semester 6 akan mengerjakan sebuah praktikum untuk soal yang akan diberikan berikut: Ekstrak semua baris dan kolom ke-1 hingga ke-7 dari array dua dimensi ke dalam variabel `X` menggunakan Python.&quot;, &quot;response_improvement_suggestions&quot;: &quot;Correct the indexing to X = array[:, 0:7] to extract columns 1 to 7.&quot;, &quot;verdict&quot;: &quot;fair&quot;, &quot;needs_human_review&quot;: false}"/>
    <s v="ok"/>
    <n v="3"/>
  </r>
  <r>
    <x v="16"/>
    <s v="[MODE:code]_x000a_saya sebagai mahasiswa semester 6 dengan matakuliah kecerdasan mesin akan melakaukan quiz dalam forum gform untuk soalnya yaitu Apa fungsi pipeline.predict(X_test)?_x000a_*_x000a_Prediksi data test_x000a_Training model_x000a_Menghapus dataset_x000a_Scaling data"/>
    <s v="done"/>
    <s v="Prediksi data test"/>
    <s v="```text_x000a_Prediksi data test_x000a_```"/>
    <d v="2026-03-11T13:20:31"/>
    <x v="2"/>
    <n v="0"/>
    <n v="67"/>
    <n v="10"/>
    <n v="77"/>
    <n v="243"/>
    <n v="30"/>
    <n v="1535"/>
    <n v="4"/>
    <n v="5"/>
    <n v="4"/>
    <s v="Clear and specific question about a machine learning concept."/>
    <s v="Could provide more context about the quiz format."/>
    <s v="Directly answers the question correctly."/>
    <s v="Could elaborate on why 'Prediksi data test' is the correct answer."/>
    <s v="[MODE:code] Sebagai mahasiswa semester 6 dalam matakuliah kecerdasan mesin, saya akan mengikuti quiz di forum gform. Soal yang diberikan adalah: Apa fungsi pipeline.predict(X_test)? Pilihan jawaban: 1. Prediksi data test 2. Training model 3. Menghapus dataset 4. Scaling data. Mohon jelaskan pilihan yang benar."/>
    <s v="Provide a brief explanation of the answer to enhance understanding."/>
    <s v="good"/>
    <b v="0"/>
    <s v="gpt-4o-mini"/>
    <s v="{&quot;prompt_score&quot;: 4, &quot;response_score&quot;: 5, &quot;overall_score&quot;: 4, &quot;prompt_strengths&quot;: &quot;Clear and specific question about a machine learning concept.&quot;, &quot;prompt_issues&quot;: &quot;Could provide more context about the quiz format.&quot;, &quot;response_strengths&quot;: &quot;Directly answers the question correctly.&quot;, &quot;response_issues&quot;: &quot;Could elaborate on why 'Prediksi data test' is the correct answer.&quot;, &quot;prompt_rewrite&quot;: &quot;[MODE:code] Sebagai mahasiswa semester 6 dalam matakuliah kecerdasan mesin, saya akan mengikuti quiz di forum gform. Soal yang diberikan adalah: Apa fungsi pipeline.predict(X_test)? Pilihan jawaban: 1. Prediksi data test 2. Training model 3. Menghapus dataset 4. Scaling data. Mohon jelaskan pilihan yang benar.&quot;, &quot;response_improvement_suggestions&quot;: &quot;Provide a brief explanation of the answer to enhance understanding.&quot;, &quot;verdict&quot;: &quot;good&quot;, &quot;needs_human_review&quot;: false}"/>
    <s v="ok"/>
    <n v="4"/>
  </r>
  <r>
    <x v="16"/>
    <s v="[MODE:code]_x000a_saya sebagai mahasiswa semester 6 akan mengerjakan sebuah praktikum untuk soal yang akan di berikan berikut Buatlah `model` yang merupakan model `LogisticRegression` dengan parameter `solver` adalah `liblinear`."/>
    <s v="done"/>
    <s v="from sklearn.linear_model import LogisticRegression_x000a__x000a_model = LogisticRegression(solver='liblinear')"/>
    <s v="```python_x000a_from sklearn.linear_model import LogisticRegression_x000a__x000a_model = LogisticRegression(solver='liblinear')_x000a_```"/>
    <d v="2026-03-11T15:55:19"/>
    <x v="2"/>
    <n v="0"/>
    <n v="56"/>
    <n v="22"/>
    <n v="78"/>
    <n v="223"/>
    <n v="113"/>
    <n v="2531"/>
    <n v="4"/>
    <n v="5"/>
    <n v="4"/>
    <s v="Clear and specific about the task."/>
    <s v="Could provide more context about the practical application."/>
    <s v="Correct and complete code for the task."/>
    <s v="Could include a brief explanation of the code."/>
    <s v="Sebagai mahasiswa semester 6, saya akan mengerjakan praktikum. Buatlah model LogisticRegression dengan parameter solver 'liblinear' untuk analisis data."/>
    <s v="Add a brief explanation of what the code does."/>
    <s v="good"/>
    <b v="0"/>
    <s v="gpt-4o-mini"/>
    <s v="{&quot;prompt_score&quot;: 4, &quot;response_score&quot;: 5, &quot;overall_score&quot;: 4, &quot;prompt_strengths&quot;: &quot;Clear and specific about the task.&quot;, &quot;prompt_issues&quot;: &quot;Could provide more context about the practical application.&quot;, &quot;response_strengths&quot;: &quot;Correct and complete code for the task.&quot;, &quot;response_issues&quot;: &quot;Could include a brief explanation of the code.&quot;, &quot;prompt_rewrite&quot;: &quot;Sebagai mahasiswa semester 6, saya akan mengerjakan praktikum. Buatlah model LogisticRegression dengan parameter solver 'liblinear' untuk analisis data.&quot;, &quot;response_improvement_suggestions&quot;: &quot;Add a brief explanation of what the code does.&quot;, &quot;verdict&quot;: &quot;good&quot;, &quot;needs_human_review&quot;: false}"/>
    <s v="ok"/>
    <n v="4"/>
  </r>
  <r>
    <x v="16"/>
    <s v="[LANG:Python]_x000a_[MODE:code]_x000a_grid_search tersebut pada 6000 data pertama. untuk ini bantu saya untuk membuatkan ini dengan benar dan baik"/>
    <s v="done"/>
    <s v="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    {&quot;svr__kernel&quot;: [&quot;linear&quot;], &quot;svr__C&quot;: [10., 30., 100., 300., 1000., 3000., 10000., 30000.]},_x000a_    {&quot;svr__kernel&quot;: [&quot;rbf&quot;], &quot;svr__C&quot;: [1.0, 3.0, 10., 30., 100., 300., 1000.0],_x000a_     &quot;svr__gamma&quot;: [0.01, 0.03, 0.1, 0.3, 1.0, 3.0]},_x000a_]_x000a__x000a_# 3) GridSearchCV: 3-fold CV, scoring neg_root_mean_squared_error_x000a_grid_search = GridSearchCV(_x000a_    estimator=svr_pipeline,_x000a_    param_grid=param_grid,_x000a_    cv=3,_x000a_    scoring=&quot;neg_root_mean_squared_error&quot;,_x000a_    n_jobs=-1,_x000a_    verbose=2,_x000a_    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
    <s v="```python_x000a_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    {&quot;svr__kernel&quot;: [&quot;linear&quot;], &quot;svr__C&quot;: [10., 30., 100., 300., 1000., 3000., 10000., 30000.]},_x000a_    {&quot;svr__kernel&quot;: [&quot;rbf&quot;], &quot;svr__C&quot;: [1.0, 3.0, 10., 30., 100., 300., 1000.0],_x000a_     &quot;svr__gamma&quot;: [0.01, 0.03, 0.1, 0.3, 1.0, 3.0]},_x000a_]_x000a__x000a_# 3) GridSearchCV: 3-fold CV, scoring neg_root_mean_squared_error_x000a_grid_search = GridSearchCV(_x000a_    estimator=svr_pipeline,_x000a_    param_grid=param_grid,_x000a_    cv=3,_x000a_    scoring=&quot;neg_root_mean_squared_error&quot;,_x000a_    n_jobs=-1,_x000a_    verbose=2,_x000a_    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_x000a_```"/>
    <d v="2026-02-25T16:56:32"/>
    <x v="1"/>
    <n v="0"/>
    <n v="35"/>
    <n v="414"/>
    <n v="449"/>
    <n v="134"/>
    <n v="1237"/>
    <n v="4005"/>
    <n v="3"/>
    <n v="4"/>
    <n v="3"/>
    <s v="The prompt specifies the task and context clearly."/>
    <s v="Lacks specificity in terms of what needs to be done with the grid search."/>
    <s v="The response is relevant, correct, and provides a complete code solution."/>
    <s v="Could improve clarity with comments and explanations for each step."/>
    <s v="Bantu saya membuat kode grid search yang benar dan baik untuk 6000 data pertama dari dataset housing."/>
    <s v="Add comments explaining each step of the code for better clarity."/>
    <s v="good"/>
    <b v="0"/>
    <s v="gpt-4o-mini"/>
    <s v="{&quot;prompt_score&quot;: 3, &quot;response_score&quot;: 4, &quot;overall_score&quot;: 3, &quot;prompt_strengths&quot;: &quot;The prompt specifies the task and context clearly.&quot;, &quot;prompt_issues&quot;: &quot;Lacks specificity in terms of what needs to be done with the grid search.&quot;, &quot;response_strengths&quot;: &quot;The response is relevant, correct, and provides a complete code solution.&quot;, &quot;response_issues&quot;: &quot;Could improve clarity with comments and explanations for each step.&quot;, &quot;prompt_rewrite&quot;: &quot;Bantu saya membuat kode grid search yang benar dan baik untuk 6000 data pertama dari dataset housing.&quot;, &quot;response_improvement_suggestions&quot;: &quot;Add comments explaining each step of the code for better clarity.&quot;, &quot;verdict&quot;: &quot;good&quot;, &quot;needs_human_review&quot;: false}"/>
    <s v="ok"/>
    <n v="4"/>
  </r>
  <r>
    <x v="16"/>
    <s v="[MODE:code]_x000a_saya sebagai mahasiswa semester 6 akan mengerjakan sebuah praktikum untuk soal yang akan di berikan berikut Gunakan method score dari model pada X_test dan y_test dan simpan hasilnya di variabel result."/>
    <s v="done"/>
    <s v="result = model.score(X_test, y_test)"/>
    <s v="```python_x000a_result = model.score(X_test, y_test)_x000a_```"/>
    <d v="2026-03-11T15:45:55"/>
    <x v="2"/>
    <n v="0"/>
    <n v="54"/>
    <n v="14"/>
    <n v="68"/>
    <n v="214"/>
    <n v="50"/>
    <n v="4330"/>
    <n v="4"/>
    <n v="5"/>
    <n v="4"/>
    <s v="Clear and specific about the task."/>
    <s v="Lacks context on the model and data."/>
    <s v="Directly addresses the prompt with correct syntax."/>
    <s v="Could include explanation or context."/>
    <s v="Sebagai mahasiswa semester 6, saya akan mengerjakan praktikum dengan menggunakan method score dari model yang telah dilatih. Silakan gunakan X_test dan y_test, dan simpan hasilnya di variabel result."/>
    <s v="Add a brief explanation of what the score method does."/>
    <s v="good"/>
    <b v="0"/>
    <s v="gpt-4o-mini"/>
    <s v="{&quot;prompt_score&quot;: 4, &quot;response_score&quot;: 5, &quot;overall_score&quot;: 4, &quot;prompt_strengths&quot;: &quot;Clear and specific about the task.&quot;, &quot;prompt_issues&quot;: &quot;Lacks context on the model and data.&quot;, &quot;response_strengths&quot;: &quot;Directly addresses the prompt with correct syntax.&quot;, &quot;response_issues&quot;: &quot;Could include explanation or context.&quot;, &quot;prompt_rewrite&quot;: &quot;Sebagai mahasiswa semester 6, saya akan mengerjakan praktikum dengan menggunakan method score dari model yang telah dilatih. Silakan gunakan X_test dan y_test, dan simpan hasilnya di variabel result.&quot;, &quot;response_improvement_suggestions&quot;: &quot;Add a brief explanation of what the score method does.&quot;, &quot;verdict&quot;: &quot;good&quot;, &quot;needs_human_review&quot;: false}"/>
    <s v="ok"/>
    <n v="4"/>
  </r>
  <r>
    <x v="17"/>
    <s v="[MODE:code]_x000a_setelah berhasil membaca dataset, didalam dataset terdapat kolom; age, sex, bmi, children, smoker, region dan charges. Saya ingin membuat scatterplot untuk melihat pengaruh bmi terhadap charges"/>
    <s v="done"/>
    <s v="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
    <s v="```python_x000a_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_x000a_```"/>
    <d v="2026-03-04T15:05:53"/>
    <x v="6"/>
    <n v="0"/>
    <n v="52"/>
    <n v="92"/>
    <n v="144"/>
    <n v="205"/>
    <n v="328"/>
    <n v="3713"/>
    <n v="4"/>
    <n v="5"/>
    <n v="4"/>
    <s v="Clear and specific about the dataset and desired output."/>
    <s v="Could provide more context on the dataset source."/>
    <s v="Correctly implements a scatterplot with appropriate libraries and parameters."/>
    <s v="Assumes the dataset is already loaded without clarification."/>
    <s v="[MODE:code] Setelah berhasil membaca dataset yang berisi kolom; age, sex, bmi, children, smoker, region, dan charges dari file CSV, saya ingin membuat scatterplot untuk melihat pengaruh bmi terhadap charges."/>
    <s v="Include a line to load the dataset and check for missing values before plotting."/>
    <s v="good"/>
    <b v="0"/>
    <s v="gpt-4o-mini"/>
    <s v="{&quot;prompt_score&quot;: 4, &quot;response_score&quot;: 5, &quot;overall_score&quot;: 4, &quot;prompt_strengths&quot;: &quot;Clear and specific about the dataset and desired output.&quot;, &quot;prompt_issues&quot;: &quot;Could provide more context on the dataset source.&quot;, &quot;response_strengths&quot;: &quot;Correctly implements a scatterplot with appropriate libraries and parameters.&quot;, &quot;response_issues&quot;: &quot;Assumes the dataset is already loaded without clarification.&quot;, &quot;prompt_rewrite&quot;: &quot;[MODE:code] Setelah berhasil membaca dataset yang berisi kolom; age, sex, bmi, children, smoker, region, dan charges dari file CSV, saya ingin membuat scatterplot untuk melihat pengaruh bmi terhadap charges.&quot;, &quot;response_improvement_suggestions&quot;: &quot;Include a line to load the dataset and check for missing values before plotting.&quot;, &quot;verdict&quot;: &quot;good&quot;, &quot;needs_human_review&quot;: false}"/>
    <s v="ok"/>
    <n v="4"/>
  </r>
  <r>
    <x v="17"/>
    <s v="[LANG:Python]_x000a_[MODE:summary]_x000a_Jika dataset memiliki outlier besar maka? apakah RMSE lebih stabil, MAE lebih stabil atau tidak ada pengaruh sama sekali?"/>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d v="2026-03-11T13:11:05"/>
    <x v="2"/>
    <n v="0"/>
    <n v="39"/>
    <n v="125"/>
    <n v="164"/>
    <n v="150"/>
    <n v="466"/>
    <n v="4815"/>
    <n v="4"/>
    <n v="5"/>
    <n v="5"/>
    <s v="Clear and specific question about RMSE and MAE in relation to outliers."/>
    <s v="Could provide more context on the dataset type."/>
    <s v="Accurate, clear, and comprehensive explanation of RMSE and MAE behavior with outliers."/>
    <s v="None significant; well-articulated."/>
    <s v="Dalam konteks dataset dengan outlier besar, bagaimana perbandingan stabilitas RMSE dan MAE?"/>
    <s v="Consider adding examples to illustrate the concepts."/>
    <s v="excellent"/>
    <b v="0"/>
    <s v="gpt-4o-mini"/>
    <s v="{&quot;prompt_score&quot;: 4, &quot;response_score&quot;: 5, &quot;overall_score&quot;: 5, &quot;prompt_strengths&quot;: &quot;Clear and specific question about RMSE and MAE in relation to outliers.&quot;, &quot;prompt_issues&quot;: &quot;Could provide more context on the dataset type.&quot;, &quot;response_strengths&quot;: &quot;Accurate, clear, and comprehensive explanation of RMSE and MAE behavior with outliers.&quot;, &quot;response_issues&quot;: &quot;None significant; well-articulated.&quot;, &quot;prompt_rewrite&quot;: &quot;Dalam konteks dataset dengan outlier besar, bagaimana perbandingan stabilitas RMSE dan MAE?&quot;, &quot;response_improvement_suggestions&quot;: &quot;Consider adding examples to illustrate the concepts.&quot;, &quot;verdict&quot;: &quot;excellent&quot;, &quot;needs_human_review&quot;: false}"/>
    <s v="ok"/>
    <n v="5"/>
  </r>
  <r>
    <x v="18"/>
    <s v="[LANG:Python]_x000a_[MODE:code]_x000a_ini error kenapa?_x000a_ValueError                                Traceback (most recent call last)_x000a_Cell In[68], line 22_x000a_     19 X_6000 = X.iloc[:6000].copy()_x000a_     20 y_6000 = y.iloc[:6000].copy()_x000a_---&gt; 22 grid_search.fit(X_6000, y_6000)_x000a_     24 print(&quot;Best params:&quot;, grid_search.best_params_)_x000a_     25 print(&quot;Best CV RMSE:&quot;, -grid_search.best_score_)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model_selection\_search.py:1024, in BaseSearchCV.fit(self, X, y, **params)_x000a_   1018     results = self._format_results(_x000a_   1019         all_candidate_params, n_splits, all_out, all_more_results_x000a_   1020     )_x000a_   1022     return results_x000a_-&gt; 1024 self._run_search(evaluate_candidates)_x000a_   1026 # multimetric is determined here because in the case of a callable_x000a_   1027 # self.scoring the return type is only known after calling_x000a_   1028 first_test_score = all_out[0][&quot;test_scores&quot;]_x000a__x000a_File C:\Software\anaconda3\Lib\site-packages\sklearn\model_selection\_search.py:1571, in GridSearchCV._run_search(self, evaluate_candidates)_x000a_   1569 def _run_search(self, evaluate_candidates):_x000a_   1570     &quot;&quot;&quot;Search all candidates in param_grid&quot;&quot;&quot;_x000a_-&gt; 1571     evaluate_candidates(ParameterGrid(self.param_grid))_x000a__x000a_File C:\Software\anaconda3\Lib\site-packages\sklearn\model_selection\_search.py:1001, in BaseSearchCV.fit.&lt;locals&gt;.evaluate_candidates(candidate_params, cv, more_results)_x000a_    994 elif len(out) != n_candidates * n_splits:_x000a_    995     raise ValueError(_x000a_    996         &quot;cv.split and cv.get_n_splits returned &quot;_x000a_    997         &quot;inconsistent results. Expected {} &quot;_x000a_    998         &quot;splits, got {}&quot;.format(n_splits, len(out) // n_candidates)_x000a_    999     )_x000a_-&gt; 1001 _warn_or_raise_about_fit_failures(out, self.error_score)_x000a_   1003 # For callable self.scoring, the return type is only know after_x000a_   1004 # calling. If the return type is a dictionary, the error scores_x000a_   1005 # can now be inserted with the correct key. The type checking_x000a_   1006 # of out will be done in `_insert_error_scores`._x000a_   1007 if callable(self.scoring):_x000a__x000a_File C:\Software\anaconda3\Lib\site-packages\sklearn\model_selection\_validation.py:517, in _warn_or_raise_about_fit_failures(results, error_score)_x000a_    510 if num_failed_fits == num_fits:_x000a_    511     all_fits_failed_message = (_x000a_    512         f&quot;\nAll the {num_fits} fits failed.\n&quot;_x000a_    513         &quot;It is very likely that your model is misconfigured.\n&quot;_x000a_    514         &quot;You can try to debug the error by setting error_score='raise'.\n\n&quot;_x000a_    515         f&quot;Below are more details about the failures:\n{fit_errors_summary}&quot;_x000a_    516     )_x000a_--&gt; 517     raise ValueError(all_fits_failed_message)_x000a_    519 else:_x000a_    520     some_fits_failed_message = (_x000a_    521         f&quot;\n{num_failed_fits} fits failed out of a total of {num_fits}.\n&quot;_x000a_    522         &quot;The score on these train-test partitions for these parameters&quot;_x000a_   (...)_x000a_    526         f&quot;Below are more details about the failures:\n{fit_errors_summary}&quot;_x000a_    527     )"/>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python_x000a_#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
    <d v="2026-02-25T16:23:33"/>
    <x v="1"/>
    <n v="0"/>
    <n v="908"/>
    <n v="258"/>
    <n v="1166"/>
    <n v="3364"/>
    <n v="805"/>
    <n v="75"/>
    <n v="3"/>
    <n v="4"/>
    <n v="4"/>
    <s v="The prompt provides a specific error message and context for troubleshooting."/>
    <s v="Lacks clarity in the exact nature of the error and what the user has tried."/>
    <s v="The response is relevant, provides a solution, and includes code to help debug the issue."/>
    <s v="Could be clearer in explaining the changes made and why they are necessary."/>
    <s v="Apa penyebab error ValueError yang muncul saat menjalankan grid_search.fit? Saya sudah mencoba beberapa parameter."/>
    <s v="Add a brief explanation of how the suggested changes will help identify the error."/>
    <s v="good"/>
    <b v="0"/>
    <s v="gpt-4o-mini"/>
    <s v="{&quot;prompt_score&quot;: 3, &quot;response_score&quot;: 4, &quot;overall_score&quot;: 4, &quot;prompt_strengths&quot;: &quot;The prompt provides a specific error message and context for troubleshooting.&quot;, &quot;prompt_issues&quot;: &quot;Lacks clarity in the exact nature of the error and what the user has tried.&quot;, &quot;response_strengths&quot;: &quot;The response is relevant, provides a solution, and includes code to help debug the issue.&quot;, &quot;response_issues&quot;: &quot;Could be clearer in explaining the changes made and why they are necessary.&quot;, &quot;prompt_rewrite&quot;: &quot;Apa penyebab error ValueError yang muncul saat menjalankan grid_search.fit? Saya sudah mencoba beberapa parameter.&quot;, &quot;response_improvement_suggestions&quot;: &quot;Add a brief explanation of how the suggested changes will help identify the error.&quot;, &quot;verdict&quot;: &quot;good&quot;, &quot;needs_human_review&quot;: false}"/>
    <s v="ok"/>
    <n v="4"/>
  </r>
  <r>
    <x v="18"/>
    <s v="[MODE:summary]_x000a_saya mengerjakan quiz tolong bantu saya, Apa fungsi df.isnull().sum()?_x000a_.  apa jawaban dari soal berikut"/>
    <s v="done"/>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d v="2026-03-11T13:09:12"/>
    <x v="2"/>
    <n v="0"/>
    <n v="39"/>
    <n v="75"/>
    <n v="114"/>
    <n v="118"/>
    <n v="297"/>
    <n v="219"/>
    <n v="4"/>
    <n v="5"/>
    <n v="5"/>
    <s v="Clear request for help with a specific quiz question."/>
    <s v="Could provide more context about the quiz."/>
    <s v="Accurate, clear, and complete explanation of the function."/>
    <s v="None noted."/>
    <s v="[MODE:summary] Saya mengerjakan quiz tentang DataFrame di Python. Tolong bantu saya menjelaskan fungsi df.isnull().sum() dan jawab soal berikut."/>
    <s v="None needed; the response is already comprehensive."/>
    <s v="excellent"/>
    <b v="0"/>
    <s v="gpt-4o-mini"/>
    <s v="{&quot;prompt_score&quot;: 4, &quot;response_score&quot;: 5, &quot;overall_score&quot;: 5, &quot;prompt_strengths&quot;: &quot;Clear request for help with a specific quiz question.&quot;, &quot;prompt_issues&quot;: &quot;Could provide more context about the quiz.&quot;, &quot;response_strengths&quot;: &quot;Accurate, clear, and complete explanation of the function.&quot;, &quot;response_issues&quot;: &quot;None noted.&quot;, &quot;prompt_rewrite&quot;: &quot;[MODE:summary] Saya mengerjakan quiz tentang DataFrame di Python. Tolong bantu saya menjelaskan fungsi df.isnull().sum() dan jawab soal berikut.&quot;, &quot;response_improvement_suggestions&quot;: &quot;None needed; the response is already comprehensive.&quot;, &quot;verdict&quot;: &quot;excellent&quot;, &quot;needs_human_review&quot;: false}"/>
    <s v="ok"/>
    <n v="5"/>
  </r>
  <r>
    <x v="18"/>
    <s v="[LANG:Python]_x000a_[MODE:code]_x000a_saya mmepunyai dataset housing dan labels, selanjutnya kita buat Pipeline dengan preprocessing dan SVR()_x000a_tidak perlu dengan test nya"/>
    <s v="done"/>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    y = y.iloc[:, 0]_x000a_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pipe = Pipeline(steps=[_x000a_    (&quot;preprocess&quot;, preprocess),_x000a_    (&quot;svr&quot;, SVR(kernel=&quot;rbf&quot;, C=1.0, epsilon=0.1)),_x000a_])_x000a__x000a_# Fit model pada seluruh data (tanpa train/test split)_x000a_pipe.fit(X, y)"/>
    <s v="```python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    y = y.iloc[:, 0]_x000a_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pipe = Pipeline(steps=[_x000a_    (&quot;preprocess&quot;, preprocess),_x000a_    (&quot;svr&quot;, SVR(kernel=&quot;rbf&quot;, C=1.0, epsilon=0.1)),_x000a_])_x000a__x000a_# Fit model pada seluruh data (tanpa train/test split)_x000a_pipe.fit(X, y)_x000a_```"/>
    <d v="2026-02-25T16:08:43"/>
    <x v="1"/>
    <n v="0"/>
    <n v="43"/>
    <n v="320"/>
    <n v="363"/>
    <n v="158"/>
    <n v="1307"/>
    <n v="3998"/>
    <n v="3"/>
    <n v="4"/>
    <n v="4"/>
    <s v="The prompt specifies the task and context clearly."/>
    <s v="Lacks detail on the dataset structure and specific preprocessing steps desired."/>
    <s v="The response provides a complete and relevant implementation of the requested pipeline."/>
    <s v="Could include comments for clarity and explanation of each step."/>
    <s v="[LANG:Python] [MODE:code] Saya memiliki dataset housing dan labels. Buatlah Pipeline dengan preprocessing dan SVR(), tanpa melakukan pembagian data untuk testing. Dataset memiliki kolom numerik dan kategorikal."/>
    <s v="Add comments to explain each part of the code for better understanding."/>
    <s v="good"/>
    <b v="0"/>
    <s v="gpt-4o-mini"/>
    <s v="{&quot;prompt_score&quot;: 3, &quot;response_score&quot;: 4, &quot;overall_score&quot;: 4, &quot;prompt_strengths&quot;: &quot;The prompt specifies the task and context clearly.&quot;, &quot;prompt_issues&quot;: &quot;Lacks detail on the dataset structure and specific preprocessing steps desired.&quot;, &quot;response_strengths&quot;: &quot;The response provides a complete and relevant implementation of the requested pipeline.&quot;, &quot;response_issues&quot;: &quot;Could include comments for clarity and explanation of each step.&quot;, &quot;prompt_rewrite&quot;: &quot;[LANG:Python] [MODE:code] Saya memiliki dataset housing dan labels. Buatlah Pipeline dengan preprocessing dan SVR(), tanpa melakukan pembagian data untuk testing. Dataset memiliki kolom numerik dan kategorikal.&quot;, &quot;response_improvement_suggestions&quot;: &quot;Add comments to explain each part of the code for better understanding.&quot;, &quot;verdict&quot;: &quot;good&quot;, &quot;needs_human_review&quot;: false}"/>
    <s v="ok"/>
    <n v="4"/>
  </r>
  <r>
    <x v="18"/>
    <s v="[MODE:summary]_x000a_saya mengerjakan quiz tolong bantu saya, Apa tujuan imputation?_x000a_*_x000a_Mengganti model_x000a_Menghapus dataset_x000a_Mengisi missing value_x000a_Menghapus fiturjawaban dari soal berikut"/>
    <s v="done"/>
    <s v="Tujuan imputation adalah mengisi missing value (nilai yang hilang) pada data, biasanya dengan nilai pengganti seperti mean/median/modus atau metode lain, agar dataset bisa dipakai untuk analisis atau training model. Jadi jawabannya: Mengisi missing value."/>
    <s v="Tujuan imputation adalah mengisi missing value (nilai yang hilang) pada data, biasanya dengan nilai pengganti seperti mean/median/modus atau metode lain, agar dataset bisa dipakai untuk analisis atau training model. Jadi jawabannya: Mengisi missing value."/>
    <d v="2026-03-11T13:13:08"/>
    <x v="2"/>
    <n v="0"/>
    <n v="55"/>
    <n v="60"/>
    <n v="115"/>
    <n v="177"/>
    <n v="255"/>
    <n v="4657"/>
    <n v="4"/>
    <n v="5"/>
    <n v="5"/>
    <s v="Clear and specific question about imputation."/>
    <s v="Could provide more context on the quiz."/>
    <s v="Accurate, complete, and clearly explains the purpose of imputation."/>
    <s v="None."/>
    <s v="Saya mengerjakan quiz tentang data science. Apa tujuan dari imputation dalam konteks pengolahan data?"/>
    <s v="None needed; response is already strong."/>
    <s v="excellent"/>
    <b v="0"/>
    <s v="gpt-4o-mini"/>
    <s v="{&quot;prompt_score&quot;: 4, &quot;response_score&quot;: 5, &quot;overall_score&quot;: 5, &quot;prompt_strengths&quot;: &quot;Clear and specific question about imputation.&quot;, &quot;prompt_issues&quot;: &quot;Could provide more context on the quiz.&quot;, &quot;response_strengths&quot;: &quot;Accurate, complete, and clearly explains the purpose of imputation.&quot;, &quot;response_issues&quot;: &quot;None.&quot;, &quot;prompt_rewrite&quot;: &quot;Saya mengerjakan quiz tentang data science. Apa tujuan dari imputation dalam konteks pengolahan data?&quot;, &quot;response_improvement_suggestions&quot;: &quot;None needed; response is already strong.&quot;, &quot;verdict&quot;: &quot;excellent&quot;, &quot;needs_human_review&quot;: false}"/>
    <s v="ok"/>
    <n v="5"/>
  </r>
  <r>
    <x v="19"/>
    <s v="[MODE:summary_code_explanation]_x000a_sekarang, buat scatter plot untuk melihat pengaruh bmi terhadap charges, berikut atuiran yang sudah tertera dari dosen saya"/>
    <s v="done"/>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d v="2026-03-04T15:06:13"/>
    <x v="6"/>
    <n v="0"/>
    <n v="41"/>
    <n v="300"/>
    <n v="341"/>
    <n v="155"/>
    <n v="994"/>
    <n v="2892"/>
    <n v="3"/>
    <n v="4"/>
    <n v="3"/>
    <s v="Clear request for a scatter plot."/>
    <s v="Lacks specific details about the required plot features."/>
    <s v="Provides a clear code example and explanation."/>
    <s v="Requires additional information to fully meet the prompt's needs."/>
    <s v="Buat scatter plot untuk melihat pengaruh BMI terhadap charges dengan aturan dari dosen, seperti warna per kategori dan ukuran figure."/>
    <s v="Request specific details about the plot requirements to tailor the code better."/>
    <s v="good"/>
    <b v="0"/>
    <s v="gpt-4o-mini"/>
    <s v="{&quot;prompt_score&quot;: 3, &quot;response_score&quot;: 4, &quot;overall_score&quot;: 3, &quot;prompt_strengths&quot;: &quot;Clear request for a scatter plot.&quot;, &quot;prompt_issues&quot;: &quot;Lacks specific details about the required plot features.&quot;, &quot;response_strengths&quot;: &quot;Provides a clear code example and explanation.&quot;, &quot;response_issues&quot;: &quot;Requires additional information to fully meet the prompt's needs.&quot;, &quot;prompt_rewrite&quot;: &quot;Buat scatter plot untuk melihat pengaruh BMI terhadap charges dengan aturan dari dosen, seperti warna per kategori dan ukuran figure.&quot;, &quot;response_improvement_suggestions&quot;: &quot;Request specific details about the plot requirements to tailor the code better.&quot;, &quot;verdict&quot;: &quot;good&quot;, &quot;needs_human_review&quot;: false}"/>
    <s v="ok"/>
    <n v="4"/>
  </r>
  <r>
    <x v="19"/>
    <s v="[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d v="2026-04-15T14:19:53"/>
    <x v="3"/>
    <n v="0"/>
    <n v="167"/>
    <n v="1061"/>
    <n v="1228"/>
    <n v="613"/>
    <n v="3797"/>
    <n v="3685"/>
    <n v="4"/>
    <n v="5"/>
    <n v="4"/>
    <s v="Clear and specific instructions for feature engineering and data preparation."/>
    <s v="Could provide more context on the dataset and its purpose."/>
    <s v="Thorough and correct implementation of the requested features and data preparation steps."/>
    <s v="Could improve clarity in some explanations and provide more comments in the code."/>
    <s v="[MODE:summary] ## Bagian 3 - Feature Engineering dan Persiapan Data Untuk dataset yang berisi informasi tentang kinerja sisw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s v="Add more comments in the code to enhance clarity and understanding for users unfamiliar with the context."/>
    <s v="good"/>
    <b v="0"/>
    <s v="gpt-4o-mini"/>
    <s v="{&quot;prompt_score&quot;: 4, &quot;response_score&quot;: 5, &quot;overall_score&quot;: 4, &quot;prompt_strengths&quot;: &quot;Clear and specific instructions for feature engineering and data preparation.&quot;, &quot;prompt_issues&quot;: &quot;Could provide more context on the dataset and its purpose.&quot;, &quot;response_strengths&quot;: &quot;Thorough and correct implementation of the requested features and data preparation steps.&quot;, &quot;response_issues&quot;: &quot;Could improve clarity in some explanations and provide more comments in the code.&quot;, &quot;prompt_rewrite&quot;: &quot;[MODE:summary] ## Bagian 3 - Feature Engineering dan Persiapan Data Untuk dataset yang berisi informasi tentang kinerja sisw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quot;, &quot;response_improvement_suggestions&quot;: &quot;Add more comments in the code to enhance clarity and understanding for users unfamiliar with the context.&quot;, &quot;verdict&quot;: &quot;good&quot;, &quot;needs_human_review&quot;: false}"/>
    <s v="ok"/>
    <n v="4"/>
  </r>
  <r>
    <x v="19"/>
    <s v="[MODE:summary_code_explanation]_x000a_saya ingin membuat code Pipeline dengan preprocessing dan SVR(): untuk dataset yang digunakan, generete kode yang dibutuhkan"/>
    <s v="done"/>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    y = y.iloc[:, 0]  # jadikan Series_x000a__x000a_# --- Split ---_x000a_X_train, X_test, y_train, y_test = train_test_split(_x000a_    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Model pipeline: preprocessing + SVR ---_x000a_model = Pipeline(steps=[_x000a_    (&quot;preprocess&quot;, preprocess),_x000a_    (&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    y = y.iloc[:, 0]  # jadikan Series_x000a__x000a_# --- Split ---_x000a_X_train, X_test, y_train, y_test = train_test_split(_x000a_    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Model pipeline: preprocessing + SVR ---_x000a_model = Pipeline(steps=[_x000a_    (&quot;preprocess&quot;, preprocess),_x000a_    (&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d v="2026-02-25T15:55:29"/>
    <x v="1"/>
    <n v="0"/>
    <n v="34"/>
    <n v="598"/>
    <n v="632"/>
    <n v="156"/>
    <n v="2312"/>
    <n v="4521"/>
    <n v="4"/>
    <n v="5"/>
    <n v="5"/>
    <s v="Clear and specific request for code generation."/>
    <s v="Could provide more context about the dataset."/>
    <s v="Comprehensive code with detailed explanation and relevant comments."/>
    <s v="None significant; all aspects of the request are addressed."/>
    <s v="Saya ingin membuat kode Pipeline dengan preprocessing dan SVR() untuk dataset housing. Mohon sertakan detail tentang kolom numerik dan kategorikal yang ada."/>
    <s v="Consider adding example outputs or visualizations of the results."/>
    <s v="excellent"/>
    <b v="0"/>
    <s v="gpt-4o-mini"/>
    <s v="{&quot;prompt_score&quot;: 4, &quot;response_score&quot;: 5, &quot;overall_score&quot;: 5, &quot;prompt_strengths&quot;: &quot;Clear and specific request for code generation.&quot;, &quot;prompt_issues&quot;: &quot;Could provide more context about the dataset.&quot;, &quot;response_strengths&quot;: &quot;Comprehensive code with detailed explanation and relevant comments.&quot;, &quot;response_issues&quot;: &quot;None significant; all aspects of the request are addressed.&quot;, &quot;prompt_rewrite&quot;: &quot;Saya ingin membuat kode Pipeline dengan preprocessing dan SVR() untuk dataset housing. Mohon sertakan detail tentang kolom numerik dan kategorikal yang ada.&quot;, &quot;response_improvement_suggestions&quot;: &quot;Consider adding example outputs or visualizations of the results.&quot;, &quot;verdict&quot;: &quot;excellent&quot;, &quot;needs_human_review&quot;: false}"/>
    <s v="ok"/>
    <n v="5"/>
  </r>
  <r>
    <x v="20"/>
    <s v="[MODE:summary]_x000a_feature scaling penting karena apa ? cross entropy digunakan untuk apa ? apa kompleksitas invers matriks?"/>
    <s v="done"/>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d v="2026-04-14T09:57:19"/>
    <x v="3"/>
    <n v="0"/>
    <n v="28"/>
    <n v="115"/>
    <n v="143"/>
    <n v="120"/>
    <n v="424"/>
    <n v="417"/>
    <n v="3"/>
    <n v="4"/>
    <n v="4"/>
    <s v="Addresses multiple relevant topics."/>
    <s v="Lacks clarity and specificity in questions."/>
    <s v="Provides accurate and relevant information."/>
    <s v="Could be more detailed in explanations."/>
    <s v="Apa pentingnya feature scaling, penggunaan cross entropy, dan kompleksitas invers matriks?"/>
    <s v="Expand on the implications of feature scaling and provide examples."/>
    <s v="good"/>
    <b v="0"/>
    <s v="gpt-4o-mini"/>
    <s v="{&quot;prompt_score&quot;: 3, &quot;response_score&quot;: 4, &quot;overall_score&quot;: 4, &quot;prompt_strengths&quot;: &quot;Addresses multiple relevant topics.&quot;, &quot;prompt_issues&quot;: &quot;Lacks clarity and specificity in questions.&quot;, &quot;response_strengths&quot;: &quot;Provides accurate and relevant information.&quot;, &quot;response_issues&quot;: &quot;Could be more detailed in explanations.&quot;, &quot;prompt_rewrite&quot;: &quot;Apa pentingnya feature scaling, penggunaan cross entropy, dan kompleksitas invers matriks?&quot;, &quot;response_improvement_suggestions&quot;: &quot;Expand on the implications of feature scaling and provide examples.&quot;, &quot;verdict&quot;: &quot;good&quot;, &quot;needs_human_review&quot;: false}"/>
    <s v="ok"/>
    <n v="4"/>
  </r>
  <r>
    <x v="20"/>
    <s v="[MODE:summary]_x000a_apa yang mungkin terjadi jika fitur tidak di skalakan pada algoritma seperti support vector mechine?"/>
    <s v="done"/>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d v="2026-03-10T09:43:04"/>
    <x v="2"/>
    <n v="0"/>
    <n v="28"/>
    <n v="136"/>
    <n v="164"/>
    <n v="115"/>
    <n v="502"/>
    <n v="1878"/>
    <n v="4"/>
    <n v="5"/>
    <n v="4"/>
    <s v="Clear and specific question about SVM scaling."/>
    <s v="Could provide more context on SVM for clarity."/>
    <s v="Accurate, detailed, and relevant explanation of consequences."/>
    <s v="Could be more concise."/>
    <s v="Apa dampak dari tidak melakukan skala fitur pada algoritma Support Vector Machine?"/>
    <s v="Summarize key points for brevity."/>
    <s v="good"/>
    <b v="0"/>
    <s v="gpt-4o-mini"/>
    <s v="{&quot;prompt_score&quot;: 4, &quot;response_score&quot;: 5, &quot;overall_score&quot;: 4, &quot;prompt_strengths&quot;: &quot;Clear and specific question about SVM scaling.&quot;, &quot;prompt_issues&quot;: &quot;Could provide more context on SVM for clarity.&quot;, &quot;response_strengths&quot;: &quot;Accurate, detailed, and relevant explanation of consequences.&quot;, &quot;response_issues&quot;: &quot;Could be more concise.&quot;, &quot;prompt_rewrite&quot;: &quot;Apa dampak dari tidak melakukan skala fitur pada algoritma Support Vector Machine?&quot;, &quot;response_improvement_suggestions&quot;: &quot;Summarize key points for brevity.&quot;, &quot;verdict&quot;: &quot;good&quot;, &quot;needs_human_review&quot;: false}"/>
    <s v="ok"/>
    <n v="4"/>
  </r>
  <r>
    <x v="20"/>
    <s v="[MODE:summary]_x000a_decision boundary logistic regression jelaskan apakah nonlinear, random, linear, atau mungkin diskrit"/>
    <s v="done"/>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d v="2026-04-14T10:01:02"/>
    <x v="3"/>
    <n v="0"/>
    <n v="24"/>
    <n v="83"/>
    <n v="107"/>
    <n v="116"/>
    <n v="316"/>
    <n v="1949"/>
    <n v="4"/>
    <n v="5"/>
    <n v="5"/>
    <s v="Clear and specific request for explanation."/>
    <s v="Could provide more context on the audience's knowledge level."/>
    <s v="Accurate, complete, and clearly explains the concept."/>
    <s v="None significant; could briefly mention practical implications."/>
    <s v="[MODE:summary] Jelaskan decision boundary pada logistic regression: apakah linear, nonlinear, random, atau diskrit, dan berikan contoh."/>
    <s v="Consider adding a brief example of feature transformation leading to nonlinear boundaries."/>
    <s v="excellent"/>
    <b v="0"/>
    <s v="gpt-4o-mini"/>
    <s v="{&quot;prompt_score&quot;: 4, &quot;response_score&quot;: 5, &quot;overall_score&quot;: 5, &quot;prompt_strengths&quot;: &quot;Clear and specific request for explanation.&quot;, &quot;prompt_issues&quot;: &quot;Could provide more context on the audience's knowledge level.&quot;, &quot;response_strengths&quot;: &quot;Accurate, complete, and clearly explains the concept.&quot;, &quot;response_issues&quot;: &quot;None significant; could briefly mention practical implications.&quot;, &quot;prompt_rewrite&quot;: &quot;[MODE:summary] Jelaskan decision boundary pada logistic regression: apakah linear, nonlinear, random, atau diskrit, dan berikan contoh.&quot;, &quot;response_improvement_suggestions&quot;: &quot;Consider adding a brief example of feature transformation leading to nonlinear boundaries.&quot;, &quot;verdict&quot;: &quot;excellent&quot;, &quot;needs_human_review&quot;: false}"/>
    <s v="ok"/>
    <n v="5"/>
  </r>
  <r>
    <x v="20"/>
    <s v="[MODE:code]_x000a_agaimana cara melakuakn load dataset, menampilkan 5 baris pertama, menampilkan ukuran dataset, lalu menampilkan data setiap kolom"/>
    <s v="done"/>
    <s v="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    print(f&quot;\nKolom: {col}&quot;)_x000a_    print(df[col])"/>
    <s v="```python_x000a_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    print(f&quot;\nKolom: {col}&quot;)_x000a_    print(df[col])_x000a_```"/>
    <d v="2026-04-14T10:40:46"/>
    <x v="3"/>
    <n v="0"/>
    <n v="40"/>
    <n v="146"/>
    <n v="186"/>
    <n v="141"/>
    <n v="460"/>
    <n v="2009"/>
    <n v="4"/>
    <n v="5"/>
    <n v="5"/>
    <s v="Clear and specific instructions for data handling."/>
    <s v="Minor grammatical errors in the prompt."/>
    <s v="Correct, complete, and clearly structured code."/>
    <s v="None identified."/>
    <s v="[MODE:code] Bagaimana cara melakukan load dataset, menampilkan 5 baris pertama, menampilkan ukuran dataset, dan menampilkan data setiap kolom?"/>
    <s v="Consider adding comments for each step to enhance clarity."/>
    <s v="excellent"/>
    <b v="0"/>
    <s v="gpt-4o-mini"/>
    <s v="{&quot;prompt_score&quot;: 4, &quot;response_score&quot;: 5, &quot;overall_score&quot;: 5, &quot;prompt_strengths&quot;: &quot;Clear and specific instructions for data handling.&quot;, &quot;prompt_issues&quot;: &quot;Minor grammatical errors in the prompt.&quot;, &quot;response_strengths&quot;: &quot;Correct, complete, and clearly structured code.&quot;, &quot;response_issues&quot;: &quot;None identified.&quot;, &quot;prompt_rewrite&quot;: &quot;[MODE:code] Bagaimana cara melakukan load dataset, menampilkan 5 baris pertama, menampilkan ukuran dataset, dan menampilkan data setiap kolom?&quot;, &quot;response_improvement_suggestions&quot;: &quot;Consider adding comments for each step to enhance clarity.&quot;, &quot;verdict&quot;: &quot;excellent&quot;, &quot;needs_human_review&quot;: false}"/>
    <s v="ok"/>
    <n v="5"/>
  </r>
  <r>
    <x v="20"/>
    <s v="[MODE:summary]_x000a_pseudoinverse akan digunakan jika apa? data kecil, matriks singular, tidak ada noise atau data besar? jelaskan"/>
    <s v="don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d v="2026-04-14T09:53:37"/>
    <x v="3"/>
    <n v="0"/>
    <n v="33"/>
    <n v="81"/>
    <n v="114"/>
    <n v="125"/>
    <n v="319"/>
    <n v="2342"/>
    <n v="4"/>
    <n v="5"/>
    <n v="5"/>
    <s v="Clear and specific question about pseudoinverse usage."/>
    <s v="Could provide more context on the application of pseudoinverse."/>
    <s v="Accurate, relevant, and comprehensive explanation."/>
    <s v="None noted."/>
    <s v="Dalam konteks apa pseudoinverse digunakan, terutama terkait dengan ukuran data dan sifat matriks?"/>
    <s v="None needed; response is complete."/>
    <s v="excellent"/>
    <b v="0"/>
    <s v="gpt-4o-mini"/>
    <s v="{&quot;prompt_score&quot;: 4, &quot;response_score&quot;: 5, &quot;overall_score&quot;: 5, &quot;prompt_strengths&quot;: &quot;Clear and specific question about pseudoinverse usage.&quot;, &quot;prompt_issues&quot;: &quot;Could provide more context on the application of pseudoinverse.&quot;, &quot;response_strengths&quot;: &quot;Accurate, relevant, and comprehensive explanation.&quot;, &quot;response_issues&quot;: &quot;None noted.&quot;, &quot;prompt_rewrite&quot;: &quot;Dalam konteks apa pseudoinverse digunakan, terutama terkait dengan ukuran data dan sifat matriks?&quot;, &quot;response_improvement_suggestions&quot;: &quot;None needed; response is complete.&quot;, &quot;verdict&quot;: &quot;excellent&quot;, &quot;needs_human_review&quot;: false}"/>
    <s v="ok"/>
    <n v="5"/>
  </r>
  <r>
    <x v="20"/>
    <s v="[MODE:summary]_x000a_apa fungsi hipotesis terhadap linier regresion apakah softmax, 0x + bias, exponential, sigmoid dan apa yang terjadi jika SGD tanpa shuffle apakah bias, cepat, optimal, stabil"/>
    <s v="done"/>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d v="2026-04-14T09:41:00"/>
    <x v="3"/>
    <n v="0"/>
    <n v="52"/>
    <n v="110"/>
    <n v="162"/>
    <n v="189"/>
    <n v="389"/>
    <n v="2816"/>
    <n v="3"/>
    <n v="4"/>
    <n v="4"/>
    <s v="Addresses multiple concepts in regression and SGD."/>
    <s v="Lacks clarity and structure, making it hard to follow."/>
    <s v="Accurate and relevant explanation of hypothesis and SGD effects."/>
    <s v="Could provide more detail on softmax, sigmoid, and exponential functions."/>
    <s v="Apa fungsi hipotesis dalam regresi linier? Jelaskan peran softmax, 0x + bias, exponential, dan sigmoid. Apa yang terjadi jika SGD dijalankan tanpa shuffle?"/>
    <s v="Include brief explanations of softmax, sigmoid, and exponential functions in relation to regression."/>
    <s v="good"/>
    <b v="0"/>
    <s v="gpt-4o-mini"/>
    <s v="{&quot;prompt_score&quot;: 3, &quot;response_score&quot;: 4, &quot;overall_score&quot;: 4, &quot;prompt_strengths&quot;: &quot;Addresses multiple concepts in regression and SGD.&quot;, &quot;prompt_issues&quot;: &quot;Lacks clarity and structure, making it hard to follow.&quot;, &quot;response_strengths&quot;: &quot;Accurate and relevant explanation of hypothesis and SGD effects.&quot;, &quot;response_issues&quot;: &quot;Could provide more detail on softmax, sigmoid, and exponential functions.&quot;, &quot;prompt_rewrite&quot;: &quot;Apa fungsi hipotesis dalam regresi linier? Jelaskan peran softmax, 0x + bias, exponential, dan sigmoid. Apa yang terjadi jika SGD dijalankan tanpa shuffle?&quot;, &quot;response_improvement_suggestions&quot;: &quot;Include brief explanations of softmax, sigmoid, and exponential functions in relation to regression.&quot;, &quot;verdict&quot;: &quot;good&quot;, &quot;needs_human_review&quot;: false}"/>
    <s v="ok"/>
    <n v="4"/>
  </r>
  <r>
    <x v="20"/>
    <s v="[MODE:code]_x000a_bagaimana cara menghitung MSE cost untuk theta saat ini dengan (e=Xθ−y), berikut inisialisasi useful values m = y.size"/>
    <s v="done"/>
    <s v="import numpy as np_x000a__x000a_def mse_cost(X, y, theta):_x000a_    &quot;&quot;&quot;_x000a_    Menghitung MSE cost untuk theta saat ini._x000a_    e = X @ theta - y_x000a_    J = (1/(2m)) * sum(e^2)_x000a_    &quot;&quot;&quot;_x000a_    y = np.asarray(y).reshape(-1)_x000a_    theta = np.asarray(theta).reshape(-1)_x000a_    m = y.size_x000a__x000a_    e = X @ theta - y_x000a_    J = (1.0 / (2.0 * m)) * np.sum(e ** 2)_x000a_    return J, e_x000a__x000a_# Contoh:_x000a_# m = y.size_x000a_# J, e = mse_cost(X, y, theta)"/>
    <s v="```python_x000a_import numpy as np_x000a__x000a_def mse_cost(X, y, theta):_x000a_    &quot;&quot;&quot;_x000a_    Menghitung MSE cost untuk theta saat ini._x000a_    e = X @ theta - y_x000a_    J = (1/(2m)) * sum(e^2)_x000a_    &quot;&quot;&quot;_x000a_    y = np.asarray(y).reshape(-1)_x000a_    theta = np.asarray(theta).reshape(-1)_x000a_    m = y.size_x000a__x000a_    e = X @ theta - y_x000a_    J = (1.0 / (2.0 * m)) * np.sum(e ** 2)_x000a_    return J, e_x000a__x000a_# Contoh:_x000a_# m = y.size_x000a_# J, e = mse_cost(X, y, theta)_x000a_```"/>
    <d v="2026-03-31T11:39:52"/>
    <x v="5"/>
    <n v="0"/>
    <n v="38"/>
    <n v="146"/>
    <n v="184"/>
    <n v="130"/>
    <n v="400"/>
    <n v="3120"/>
    <n v="4"/>
    <n v="5"/>
    <n v="5"/>
    <s v="Clear and specific about MSE calculation."/>
    <s v="Could provide more context on input shapes."/>
    <s v="Correct implementation with clear explanation."/>
    <s v="Could include example inputs for clarity."/>
    <s v="Bagaimana cara menghitung MSE cost untuk theta saat ini dengan e = Xθ - y, dengan inisialisasi m = y.size dan bentuk input yang sesuai?"/>
    <s v="Add example inputs and outputs for better understanding."/>
    <s v="excellent"/>
    <b v="0"/>
    <s v="gpt-4o-mini"/>
    <s v="{&quot;prompt_score&quot;: 4, &quot;response_score&quot;: 5, &quot;overall_score&quot;: 5, &quot;prompt_strengths&quot;: &quot;Clear and specific about MSE calculation.&quot;, &quot;prompt_issues&quot;: &quot;Could provide more context on input shapes.&quot;, &quot;response_strengths&quot;: &quot;Correct implementation with clear explanation.&quot;, &quot;response_issues&quot;: &quot;Could include example inputs for clarity.&quot;, &quot;prompt_rewrite&quot;: &quot;Bagaimana cara menghitung MSE cost untuk theta saat ini dengan e = Xθ - y, dengan inisialisasi m = y.size dan bentuk input yang sesuai?&quot;, &quot;response_improvement_suggestions&quot;: &quot;Add example inputs and outputs for better understanding.&quot;, &quot;verdict&quot;: &quot;excellent&quot;, &quot;needs_human_review&quot;: false}"/>
    <s v="ok"/>
    <n v="5"/>
  </r>
  <r>
    <x v="20"/>
    <s v="[MODE:code]_x000a_bagaimana cara membuat variabel yang bernama loocv dari kelas leaveOneOut? lalu buatlah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python_x000a_from sklearn.model_selection import LeaveOneOut_x000a_from sklearn.linear_model import LogisticRegression_x000a__x000a_loocv = LeaveOneOut()_x000a_model = LogisticRegression(solver=&quot;liblinear&quot;)_x000a_```"/>
    <d v="2026-03-10T12:45:35"/>
    <x v="2"/>
    <n v="0"/>
    <n v="42"/>
    <n v="39"/>
    <n v="81"/>
    <n v="186"/>
    <n v="183"/>
    <n v="4199"/>
    <n v="4"/>
    <n v="5"/>
    <n v="5"/>
    <s v="Clear and specific about the task."/>
    <s v="Could provide more context on the use case."/>
    <s v="Correct and complete code implementation."/>
    <s v="None."/>
    <s v="Bagaimana cara membuat variabel loocv dari kelas LeaveOneOut dan model LogisticRegression dengan solver liblinear untuk analisis data?"/>
    <s v="None needed; response is already complete."/>
    <s v="excellent"/>
    <b v="0"/>
    <s v="gpt-4o-mini"/>
    <s v="{&quot;prompt_score&quot;: 4, &quot;response_score&quot;: 5, &quot;overall_score&quot;: 5, &quot;prompt_strengths&quot;: &quot;Clear and specific about the task.&quot;, &quot;prompt_issues&quot;: &quot;Could provide more context on the use case.&quot;, &quot;response_strengths&quot;: &quot;Correct and complete code implementation.&quot;, &quot;response_issues&quot;: &quot;None.&quot;, &quot;prompt_rewrite&quot;: &quot;Bagaimana cara membuat variabel loocv dari kelas LeaveOneOut dan model LogisticRegression dengan solver liblinear untuk analisis data?&quot;, &quot;response_improvement_suggestions&quot;: &quot;None needed; response is already complete.&quot;, &quot;verdict&quot;: &quot;excellent&quot;, &quot;needs_human_review&quot;: false}"/>
    <s v="ok"/>
    <n v="5"/>
  </r>
  <r>
    <x v="20"/>
    <s v="[MODE:code]_x000a_bagaimana cara menghitung prediksi y_pred dengan cross_val_predict lalu buatlah confusion matrix dari hasil prediksi y_pred dan nilai sebenarnya y"/>
    <s v="done"/>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s v="```python_x000a_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_x000a_```"/>
    <d v="2026-03-17T12:25:38"/>
    <x v="4"/>
    <n v="0"/>
    <n v="42"/>
    <n v="103"/>
    <n v="145"/>
    <n v="158"/>
    <n v="421"/>
    <n v="4499"/>
    <n v="4"/>
    <n v="5"/>
    <n v="4"/>
    <s v="Clear and specific about the task."/>
    <s v="Could provide more context on the dataset."/>
    <s v="Correct and complete code with clear steps."/>
    <s v="Could include comments for better clarity."/>
    <s v="Bagaimana cara menghitung prediksi y_pred dengan cross_val_predict dan membuat confusion matrix dari hasil prediksi y_pred dan nilai sebenarnya y menggunakan dataset tertentu?"/>
    <s v="Add comments to explain each step of the code."/>
    <s v="good"/>
    <b v="0"/>
    <s v="gpt-4o-mini"/>
    <s v="{&quot;prompt_score&quot;: 4, &quot;response_score&quot;: 5, &quot;overall_score&quot;: 4, &quot;prompt_strengths&quot;: &quot;Clear and specific about the task.&quot;, &quot;prompt_issues&quot;: &quot;Could provide more context on the dataset.&quot;, &quot;response_strengths&quot;: &quot;Correct and complete code with clear steps.&quot;, &quot;response_issues&quot;: &quot;Could include comments for better clarity.&quot;, &quot;prompt_rewrite&quot;: &quot;Bagaimana cara menghitung prediksi y_pred dengan cross_val_predict dan membuat confusion matrix dari hasil prediksi y_pred dan nilai sebenarnya y menggunakan dataset tertentu?&quot;, &quot;response_improvement_suggestions&quot;: &quot;Add comments to explain each step of the code.&quot;, &quot;verdict&quot;: &quot;good&quot;, &quot;needs_human_review&quot;: false}"/>
    <s v="ok"/>
    <n v="4"/>
  </r>
  <r>
    <x v="20"/>
    <s v="[MODE:code]_x000a_coba perbaiki kode error dengan error yang bertuliskan &quot; invalid decimal literal&quot; dan jelaskan dimana letak kesalahan kode _x000a_def compute_cost(X, y, theta):_x000a_    e = X @ theta - y_x000a_    J = (1/(2m)) * sum(e^2)_x000a_    y = np.asarray(y).reshape(-1)_x000a_    theta = np.asarray(theta).reshape(-1)_x000a_    m = y.size_x000a__x000a_    e = X @ theta - y_x000a_    J = (1.0 / (2.0 * m)) * np.sum(e ** 2)_x000a_    return J, e_x000a__x000a_    error = X @ theta - y"/>
    <s v="done"/>
    <s v="import numpy as np_x000a__x000a_def compute_cost(X, y, theta):_x000a_    # Kesalahan yang menyebabkan &quot;invalid decimal literal&quot;:_x000a_    # 1) (1/(2m)) -&gt; &quot;2m&quot; bukan angka valid di Python (harus 2*m)_x000a_    # 2) e^2 -&gt; &quot;^&quot; adalah XOR, bukan pangkat (harus e**2)_x000a_    #_x000a_    # Kesalahan logika lain:_x000a_    # - m dipakai sebelum didefinisikan (harus dihitung dulu)_x000a_    # - baris &quot;error = X @ theta - y&quot; di luar fungsi tidak diperlukan_x000a__x000a_    y = np.asarray(y).reshape(-1)_x000a_    theta = np.asarray(theta).reshape(-1)_x000a_    m = y.size_x000a__x000a_    e = X @ theta - y_x000a_    J = (1.0 / (2.0 * m)) * np.sum(e ** 2)_x000a_    return J, e"/>
    <s v="```python_x000a_import numpy as np_x000a__x000a_def compute_cost(X, y, theta):_x000a_    # Kesalahan yang menyebabkan &quot;invalid decimal literal&quot;:_x000a_    # 1) (1/(2m)) -&gt; &quot;2m&quot; bukan angka valid di Python (harus 2*m)_x000a_    # 2) e^2 -&gt; &quot;^&quot; adalah XOR, bukan pangkat (harus e**2)_x000a_    #_x000a_    # Kesalahan logika lain:_x000a_    # - m dipakai sebelum didefinisikan (harus dihitung dulu)_x000a_    # - baris &quot;error = X @ theta - y&quot; di luar fungsi tidak diperlukan_x000a__x000a_    y = np.asarray(y).reshape(-1)_x000a_    theta = np.asarray(theta).reshape(-1)_x000a_    m = y.size_x000a__x000a_    e = X @ theta - y_x000a_    J = (1.0 / (2.0 * m)) * np.sum(e ** 2)_x000a_    return J, e_x000a_```"/>
    <d v="2026-03-31T11:42:01"/>
    <x v="5"/>
    <n v="0"/>
    <n v="143"/>
    <n v="213"/>
    <n v="356"/>
    <n v="416"/>
    <n v="590"/>
    <n v="4535"/>
    <n v="3"/>
    <n v="4"/>
    <n v="4"/>
    <s v="The prompt specifies the error and requests a fix and explanation."/>
    <s v="The prompt lacks clarity in structure and has some redundant code."/>
    <s v="The response correctly identifies errors and provides a clear explanation."/>
    <s v="Could be more concise and structured for better readability."/>
    <s v="[MODE:code] Perbaiki kode berikut yang menghasilkan error &quot;invalid decimal literal&quot; dan jelaskan kesalahan yang ada: def compute_cost(X, y, theta): e = X @ theta - y J = (1/(2m)) * sum(e^2) return J, e"/>
    <s v="Organize the explanation into bullet points for clarity and remove unnecessary comments."/>
    <s v="good"/>
    <b v="0"/>
    <s v="gpt-4o-mini"/>
    <s v="{&quot;prompt_score&quot;: 3, &quot;response_score&quot;: 4, &quot;overall_score&quot;: 4, &quot;prompt_strengths&quot;: &quot;The prompt specifies the error and requests a fix and explanation.&quot;, &quot;prompt_issues&quot;: &quot;The prompt lacks clarity in structure and has some redundant code.&quot;, &quot;response_strengths&quot;: &quot;The response correctly identifies errors and provides a clear explanation.&quot;, &quot;response_issues&quot;: &quot;Could be more concise and structured for better readability.&quot;, &quot;prompt_rewrite&quot;: &quot;[MODE:code] Perbaiki kode berikut yang menghasilkan error \&quot;invalid decimal literal\&quot; dan jelaskan kesalahan yang ada: def compute_cost(X, y, theta): e = X @ theta - y J = (1/(2m)) * sum(e^2) return J, e&quot;, &quot;response_improvement_suggestions&quot;: &quot;Organize the explanation into bullet points for clarity and remove unnecessary comments.&quot;, &quot;verdict&quot;: &quot;good&quot;, &quot;needs_human_review&quot;: false}"/>
    <s v="ok"/>
    <n v="4"/>
  </r>
  <r>
    <x v="20"/>
    <s v="[MODE:code]_x000a_coba perbaiki kenapa bisa terjadi error pada kode program, ini adalah bentuk error nya &quot;TypeError: cannot unpack non-iterable NoneType object"/>
    <s v="done"/>
    <s v="import numpy as np_x000a__x000a_def feature_normalize(X):_x000a_    X = np.asarray(X, dtype=float)_x000a_    mu = np.mean(X, axis=0)_x000a_    sigma = np.std(X, axis=0, ddof=0)_x000a_    sigma_safe = np.where(sigma == 0, 1.0, sigma)_x000a_    X_norm = (X - mu) / sigma_safe_x000a_    return X_norm, mu, sigma_x000a__x000a_# Contoh pemakaian:_x000a_# X_norm, mu, sigma = feature_normalize(X)"/>
    <s v="```python_x000a_import numpy as np_x000a__x000a_def feature_normalize(X):_x000a_    X = np.asarray(X, dtype=float)_x000a_    mu = np.mean(X, axis=0)_x000a_    sigma = np.std(X, axis=0, ddof=0)_x000a_    sigma_safe = np.where(sigma == 0, 1.0, sigma)_x000a_    X_norm = (X - mu) / sigma_safe_x000a_    return X_norm, mu, sigma_x000a__x000a_# Contoh pemakaian:_x000a_# X_norm, mu, sigma = feature_normalize(X)_x000a_```"/>
    <d v="2026-03-31T11:35:00"/>
    <x v="5"/>
    <n v="0"/>
    <n v="38"/>
    <n v="110"/>
    <n v="148"/>
    <n v="153"/>
    <n v="338"/>
    <n v="4892"/>
    <n v="4"/>
    <n v="4"/>
    <n v="4"/>
    <s v="Clear error description and context provided."/>
    <s v="Could specify the programming language for better clarity."/>
    <s v="Relevant code provided with a clear explanation of the function."/>
    <s v="Does not directly address the specific error mentioned in the prompt."/>
    <s v="[MODE:code] Perbaiki error pada kode program ini: &quot;TypeError: cannot unpack non-iterable NoneType object&quot;. Sertakan bahasa pemrograman yang digunakan."/>
    <s v="Include an explanation of why the error occurs and how the provided code resolves it."/>
    <s v="good"/>
    <b v="0"/>
    <s v="gpt-4o-mini"/>
    <s v="{&quot;prompt_score&quot;: 4, &quot;response_score&quot;: 4, &quot;overall_score&quot;: 4, &quot;prompt_strengths&quot;: &quot;Clear error description and context provided.&quot;, &quot;prompt_issues&quot;: &quot;Could specify the programming language for better clarity.&quot;, &quot;response_strengths&quot;: &quot;Relevant code provided with a clear explanation of the function.&quot;, &quot;response_issues&quot;: &quot;Does not directly address the specific error mentioned in the prompt.&quot;, &quot;prompt_rewrite&quot;: &quot;[MODE:code] Perbaiki error pada kode program ini: \&quot;TypeError: cannot unpack non-iterable NoneType object\&quot;. Sertakan bahasa pemrograman yang digunakan.&quot;, &quot;response_improvement_suggestions&quot;: &quot;Include an explanation of why the error occurs and how the provided code resolves it.&quot;, &quot;verdict&quot;: &quot;good&quot;, &quot;needs_human_review&quot;: false}"/>
    <s v="ok"/>
    <n v="4"/>
  </r>
  <r>
    <x v="21"/>
    <s v="[MODE:code]_x000a_cara mengekstrak semua baris dan kolom ke-1 sampai ke-7 ke dalam variabel x dalam train dan test set (back to Home)"/>
    <s v="done"/>
    <s v="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
    <s v="```python_x000a_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_x000a_```"/>
    <d v="2026-03-10T12:10:37"/>
    <x v="2"/>
    <n v="0"/>
    <n v="41"/>
    <n v="150"/>
    <n v="191"/>
    <n v="127"/>
    <n v="475"/>
    <n v="3557"/>
    <n v="4"/>
    <n v="5"/>
    <n v="5"/>
    <s v="Clear and specific about the task."/>
    <s v="Could provide more context about the dataset."/>
    <s v="Correct, complete, and clearly written code."/>
    <s v="None."/>
    <s v="Bagaimana cara mengekstrak semua baris dan kolom ke-1 sampai ke-7 dari dataset diabetes ke dalam variabel X dalam train dan test set?"/>
    <s v="None needed; the response is already complete."/>
    <s v="excellent"/>
    <b v="0"/>
    <s v="gpt-4o-mini"/>
    <s v="{&quot;prompt_score&quot;: 4, &quot;response_score&quot;: 5, &quot;overall_score&quot;: 5, &quot;prompt_strengths&quot;: &quot;Clear and specific about the task.&quot;, &quot;prompt_issues&quot;: &quot;Could provide more context about the dataset.&quot;, &quot;response_strengths&quot;: &quot;Correct, complete, and clearly written code.&quot;, &quot;response_issues&quot;: &quot;None.&quot;, &quot;prompt_rewrite&quot;: &quot;Bagaimana cara mengekstrak semua baris dan kolom ke-1 sampai ke-7 dari dataset diabetes ke dalam variabel X dalam train dan test set?&quot;, &quot;response_improvement_suggestions&quot;: &quot;None needed; the response is already complete.&quot;, &quot;verdict&quot;: &quot;excellent&quot;, &quot;needs_human_review&quot;: false}"/>
    <s v="ok"/>
    <n v="5"/>
  </r>
  <r>
    <x v="21"/>
    <s v="[MODE:code]_x000a_pendekatan  mana gradient descant lebih praktis dalam kasus fitur banyak dan dataset besar dan jelaskan mengapa"/>
    <s v="done"/>
    <s v="def jawaban():_x000a_    return (_x000a_        &quot;Gradient Descent (terutama Stochastic/mini-batch Gradient Descent) lebih praktis &quot;_x000a_        &quot;untuk kasus fitur banyak dan dataset besar.\n\n&quot;_x000a_        &quot;Alasannya:\n&quot;_x000a_        &quot;1) Kompleksitas komputasi &amp; memori:\n&quot;_x000a_        &quot;   - Normal equation butuh menghitung dan (secara efektif) membalik matriks (X^T X) &quot;_x000a_        &quot;     berukuran n×n (n = jumlah fitur). Ini mahal: waktu ~O(n^3) dan memori ~O(n^2).\n&quot;_x000a_        &quot;   - Gradient descent menghindari invers matriks; tiap iterasi hanya butuh operasi &quot;_x000a_        &quot;     perkalian matriks/vektor. Dengan mini-batch, biaya per update ~O(b·n) &quot;_x000a_        &quot;     (b = ukuran batch), sehingga lebih skalabel.\n\n&quot;_x000a_        &quot;2) Skalabilitas terhadap jumlah data (m):\n&quot;_x000a_        &quot;   - Normal equation perlu memproses seluruh data untuk membentuk X^T X dan X^T y, &quot;_x000a_        &quot;     dan tetap terhambat oleh invers n×n.\n&quot;_x000a_        &quot;   - Mini-batch/SGD bisa belajar dari sebagian data per langkah, cocok untuk m sangat besar &quot;_x000a_        &quot;     dan bisa berjalan streaming/out-of-core.\n\n&quot;_x000a_        &quot;3) Implementasi di sistem modern:\n&quot;_x000a_        &quot;   - Gradient descent mudah diparalelkan/diakselerasi di GPU dan cocok untuk pipeline &quot;_x000a_        &quot;     pembelajaran bertahap.\n\n&quot;_x000a_        &quot;Catatan: Normal equation nyaman untuk dataset kecil dan fitur sedikit karena memberi solusi &quot;_x000a_        &quot;tertutup tanpa tuning learning rate, tetapi cepat menjadi tidak praktis saat n dan m besar.&quot;_x000a_    )"/>
    <s v="```python_x000a_def jawaban():_x000a_    return (_x000a_        &quot;Gradient Descent (terutama Stochastic/mini-batch Gradient Descent) lebih praktis &quot;_x000a_        &quot;untuk kasus fitur banyak dan dataset besar.\n\n&quot;_x000a_        &quot;Alasannya:\n&quot;_x000a_        &quot;1) Kompleksitas komputasi &amp; memori:\n&quot;_x000a_        &quot;   - Normal equation butuh menghitung dan (secara efektif) membalik matriks (X^T X) &quot;_x000a_        &quot;     berukuran n×n (n = jumlah fitur). Ini mahal: waktu ~O(n^3) dan memori ~O(n^2).\n&quot;_x000a_        &quot;   - Gradient descent menghindari invers matriks; tiap iterasi hanya butuh operasi &quot;_x000a_        &quot;     perkalian matriks/vektor. Dengan mini-batch, biaya per update ~O(b·n) &quot;_x000a_        &quot;     (b = ukuran batch), sehingga lebih skalabel.\n\n&quot;_x000a_        &quot;2) Skalabilitas terhadap jumlah data (m):\n&quot;_x000a_        &quot;   - Normal equation perlu memproses seluruh data untuk membentuk X^T X dan X^T y, &quot;_x000a_        &quot;     dan tetap terhambat oleh invers n×n.\n&quot;_x000a_        &quot;   - Mini-batch/SGD bisa belajar dari sebagian data per langkah, cocok untuk m sangat besar &quot;_x000a_        &quot;     dan bisa berjalan streaming/out-of-core.\n\n&quot;_x000a_        &quot;3) Implementasi di sistem modern:\n&quot;_x000a_        &quot;   - Gradient descent mudah diparalelkan/diakselerasi di GPU dan cocok untuk pipeline &quot;_x000a_        &quot;     pembelajaran bertahap.\n\n&quot;_x000a_        &quot;Catatan: Normal equation nyaman untuk dataset kecil dan fitur sedikit karena memberi solusi &quot;_x000a_        &quot;tertutup tanpa tuning learning rate, tetapi cepat menjadi tidak praktis saat n dan m besar.&quot;_x000a_    )_x000a_```"/>
    <d v="2026-03-31T12:04:40"/>
    <x v="5"/>
    <n v="0"/>
    <n v="30"/>
    <n v="431"/>
    <n v="461"/>
    <n v="123"/>
    <n v="1458"/>
    <n v="4397"/>
    <n v="4"/>
    <n v="5"/>
    <n v="4"/>
    <s v="Clear and specific question about gradient descent."/>
    <s v="Could provide more context on the audience's knowledge level."/>
    <s v="Thorough explanation with clear reasoning and examples."/>
    <s v="Could be more concise in some areas."/>
    <s v="[MODE:code] Dalam konteks pembelajaran mesin, mana pendekatan gradient descent yang lebih praktis untuk dataset besar dan banyak fitur? Jelaskan alasannya."/>
    <s v="Consider summarizing key points to enhance conciseness."/>
    <s v="good"/>
    <b v="0"/>
    <s v="gpt-4o-mini"/>
    <s v="{&quot;prompt_score&quot;: 4, &quot;response_score&quot;: 5, &quot;overall_score&quot;: 4, &quot;prompt_strengths&quot;: &quot;Clear and specific question about gradient descent.&quot;, &quot;prompt_issues&quot;: &quot;Could provide more context on the audience's knowledge level.&quot;, &quot;response_strengths&quot;: &quot;Thorough explanation with clear reasoning and examples.&quot;, &quot;response_issues&quot;: &quot;Could be more concise in some areas.&quot;, &quot;prompt_rewrite&quot;: &quot;[MODE:code] Dalam konteks pembelajaran mesin, mana pendekatan gradient descent yang lebih praktis untuk dataset besar dan banyak fitur? Jelaskan alasannya.&quot;, &quot;response_improvement_suggestions&quot;: &quot;Consider summarizing key points to enhance conciseness.&quot;, &quot;verdict&quot;: &quot;good&quot;, &quot;needs_human_review&quot;: false}"/>
    <s v="ok"/>
    <n v="4"/>
  </r>
  <r>
    <x v="22"/>
    <s v="[MODE:code]_x000a_tuliskan bagian&quot; nya seperti bagian satu LOAD DATASET bagian dua EDA lalu buatkan juga catatan catatan di setiap code"/>
    <s v="done"/>
    <s v="import pandas as pd_x000a_import numpy as np_x000a_import matplotlib.pyplot as plt_x000a_import seaborn as sns"/>
    <s v="```python_x000a_# =========================_x000a_# BAGIAN 1 — LOAD DATASET_x000a_# =========================_x000a_import pandas as pd_x000a_import numpy as np_x000a_import matplotlib.pyplot as plt_x000a_import seaborn as sns_x000a__x000a_from pathlib import Path_x000a__x000a_# Catatan: Supaya plot lebih rapi (opsional)_x000a_sns.set_theme(style=&quot;whitegrid&quot;)_x000a__x000a_# Catatan: Ganti path ini sesuai lokasi file dataset kamu_x000a_DATA_PATH = &quot;data.csv&quot;_x000a__x000a_def load_dataset(path: str) -&gt; pd.DataFrame:_x000a_    &quot;&quot;&quot;_x000a_    Catatan:_x000a_    - Fungsi ini membaca dataset dari file .csv atau .xlsx/.xls._x000a_    - Jika format file tidak didukung, akan error._x000a_    &quot;&quot;&quot;_x000a_    p = Path(path)_x000a__x000a_    # Catatan: Validasi file ada atau tidak_x000a_    if not p.exists():_x000a_        raise FileNotFoundError(f&quot;File tidak ditemukan: {path}&quot;)_x000a__x000a_    # Catatan: Baca sesuai ekstensi file_x000a_    ext = p.suffix.lower()_x000a_    if ext == &quot;.csv&quot;:_x000a_        df = pd.read_csv(p)_x000a_    elif ext in [&quot;.xlsx&quot;, &quot;.xls&quot;]:_x000a_        df = pd.read_excel(p)_x000a_    else:_x000a_        raise ValueError(&quot;Format file tidak didukung. Gunakan .csv atau .xlsx/.xls&quot;)_x000a__x000a_    return df_x000a__x000a_# Catatan: Load dataset ke DataFrame_x000a_df = load_dataset(DATA_PATH)_x000a__x000a_# Catatan: Cek cepat 5 baris pertama untuk memastikan data terbaca benar_x000a_print(&quot;=== HEAD (5 baris pertama) ===&quot;)_x000a_print(df.head())_x000a__x000a_# Catatan: Cek ukuran data (baris, kolom)_x000a_print(&quot;\n=== SHAPE (jumlah baris, jumlah kolom) ===&quot;)_x000a_print(df.shape)_x000a__x000a_# Catatan: Cek nama kolom_x000a_print(&quot;\n=== COLUMNS (nama kolom) ===&quot;)_x000a_print(list(df.columns))_x000a__x000a_# Catatan: Cek tipe data tiap kolom_x000a_print(&quot;\n=== DTYPES (tipe data) ===&quot;)_x000a_print(df.dtypes)_x000a__x000a_# Catatan: Info ringkas (jumlah non-null, tipe data, memory usage)_x000a_print(&quot;\n=== INFO (ringkasan struktur data) ===&quot;)_x000a_df.info()_x000a__x000a__x000a_# =========================_x000a_# BAGIAN 2 — EDA (Exploratory Data Analysis)_x000a_# =========================_x000a__x000a_# ---- 2.1 Missing Value Check ----_x000a_# Catatan:_x000a_# - Mengecek apakah ada nilai kosong (NaN) di setiap kolom._x000a_# - Jika ada, biasanya perlu ditangani (imputasi/hapus), tapi kamu bilang datanya bersih._x000a_missing_count = df.isna().sum().sort_values(ascending=False)_x000a_missing_pct = (missing_count / len(df) * 100).round(2)_x000a__x000a_missing_report = pd.DataFrame({_x000a_    &quot;missing_count&quot;: missing_count,_x000a_    &quot;missing_pct&quot;: missing_pct_x000a_})_x000a__x000a_print(&quot;\n=== MISSING VALUE REPORT ===&quot;)_x000a_if (missing_report[&quot;missing_count&quot;] &gt; 0).any():_x000a_    print(missing_report[missing_report[&quot;missing_count&quot;] &gt; 0])_x000a_else:_x000a_    print(&quot;Tidak ada missing value.&quot;)_x000a__x000a__x000a_# ---- 2.2 Statistik Deskriptif ----_x000a_# Catatan:_x000a_# - describe() untuk numerik: count, mean, std, min, quartile, max_x000a_# - include=&quot;all&quot; juga menampilkan ringkasan untuk kolom kategorikal (unique, top, freq)_x000a_print(&quot;\n=== DESCRIPTIVE STATISTICS ===&quot;)_x000a_desc = df.describe(include=&quot;all&quot;).T_x000a_print(desc)_x000a__x000a__x000a_# ---- 2.3 Visualisasi Distribusi Fitur ----_x000a_# Catatan:_x000a_# - Sesuaikan daftar kolom di bawah dengan nama kolom dataset kamu._x000a_# - Jika kolom tidak ada, otomatis di-skip._x000a_candidate_features = [_x000a_    &quot;jam_belajar&quot;,_x000a_    &quot;tingkat_kehadiran&quot;,_x000a_    &quot;penyelesaian_tugas&quot;,_x000a_    &quot;partisipasi&quot;,_x000a_    &quot;nilai_ujian_akhir&quot;,_x000a_]_x000a__x000a_features = [c for c in candidate_features if c in df.columns]_x000a__x000a_# Catatan: Plot histogram untuk fitur numerik_x000a_if features:_x000a_    n = len(features)_x000a_    ncols = 3_x000a_    nrows = int(np.ceil(n / ncols))_x000a__x000a_    fig, axes = plt.subplots(nrows, ncols, figsize=(5 * ncols, 4 * nrows))_x000a_    axes = np.array(axes).reshape(-1)_x000a__x000a_    for i, col in enumerate(features):_x000a_        ax = axes[i]_x000a__x000a_        # Catatan: Pastikan kolom numerik sebelum histogram_x000a_        if pd.api.types.is_numeric_dtype(df[col]):_x000a_            sns.histplot(df[col].dropna(), bins=30, kde=True, ax=ax)_x000a_            ax.set_title(f&quot;Distribusi: {col}&quot;)_x000a_            ax.set_xlabel(col)_x000a_            ax.set_ylabel(&quot;Frekuensi&quot;)_x000a_        else:_x000a_            # Catatan: Jika kolom kategorikal, tampilkan barplot top kategori_x000a_            vc = df[col].astype(&quot;string&quot;).value_counts().head"/>
    <d v="2026-04-14T10:58:51"/>
    <x v="3"/>
    <n v="0"/>
    <n v="39"/>
    <n v="1051"/>
    <n v="1090"/>
    <n v="129"/>
    <n v="3773"/>
    <n v="1420"/>
    <n v="3"/>
    <n v="2"/>
    <n v="2"/>
    <s v="Identifies specific tasks (LOAD DATASET, EDA)."/>
    <s v="Lacks clarity and detail on what is needed in each section."/>
    <s v="Includes relevant libraries for data analysis."/>
    <s v="Incomplete; does not address the prompt's request for code sections and notes."/>
    <s v="Tulis kode untuk bagian LOAD DATASET dan EDA, sertakan catatan penjelasan di setiap bagian."/>
    <s v="Provide complete code for loading a dataset and performing EDA, with comments explaining each step."/>
    <s v="fair"/>
    <b v="0"/>
    <s v="gpt-4o-mini"/>
    <s v="{&quot;prompt_score&quot;: 3, &quot;response_score&quot;: 2, &quot;overall_score&quot;: 2, &quot;prompt_strengths&quot;: &quot;Identifies specific tasks (LOAD DATASET, EDA).&quot;, &quot;prompt_issues&quot;: &quot;Lacks clarity and detail on what is needed in each section.&quot;, &quot;response_strengths&quot;: &quot;Includes relevant libraries for data analysis.&quot;, &quot;response_issues&quot;: &quot;Incomplete; does not address the prompt's request for code sections and notes.&quot;, &quot;prompt_rewrite&quot;: &quot;Tulis kode untuk bagian LOAD DATASET dan EDA, sertakan catatan penjelasan di setiap bagian.&quot;, &quot;response_improvement_suggestions&quot;: &quot;Provide complete code for loading a dataset and performing EDA, with comments explaining each step.&quot;, &quot;verdict&quot;: &quot;fair&quot;, &quot;needs_human_review&quot;: false}"/>
    <s v="ok"/>
    <n v="3"/>
  </r>
  <r>
    <x v="22"/>
    <s v="[MODE:code]_x000a_6. Bonus_x000a_Contoh bonus berikut memakai hasil regresi yang sama, tetapi target klasifikasinya diganti menjadi grade_category untuk klasifikasi multikelas."/>
    <s v="done"/>
    <s v="import numpy as np_x000a_import matplotlib.pyplot as plt"/>
    <s v="```python_x000a_import numpy as np_x000a_import matplotlib.pyplot as plt_x000a__x000a_from sklearn.linear_model import LogisticRegression_x000a_from sklearn.metrics import (_x000a_    confusion_matrix, ConfusionMatrixDisplay,_x000a_    accuracy_score, precision_score, recall_score,_x000a_    roc_curve, roc_auc_score_x000a_)_x000a_from sklearn.preprocessing import label_binarize_x000a__x000a_# Asumsi dari bagian sebelumnya sudah ada:_x000a_# - reg_pipe (model regresi yang sudah fit)_x000a_# - X_train, X_test_x000a_# - df (DataFrame asli)_x000a_# - indeks train/test (opsional). Jika belum ada, gunakan y_grade_train/y_grade_test dari split yang sama._x000a_#_x000a_# Wajib ada kolom target multikelas:_x000a_# - grade_category_x000a__x000a_# =========================_x000a_# BONUS: Multiclass classification (grade_category)_x000a_# Input fitur = prediksi final_exam_score dari regresi_x000a_# =========================_x000a__x000a_target_multi = &quot;grade_category&quot;_x000a_if target_multi not in df.columns:_x000a_    raise ValueError(f&quot;Kolom '{target_multi}' tidak ditemukan. Kolom tersedia: {list(df.columns)}&quot;)_x000a__x000a_# Jika Anda sudah split sebelumnya, pastikan split grade_category konsisten dengan X_train/X_test._x000a_# Cara paling aman: lakukan split bersamaan di Bagian 3 (y_reg &amp; y_clf &amp; y_grade)._x000a_# Di sini diasumsikan Anda sudah punya:_x000a_# y_grade_train, y_grade_test_x000a_try:_x000a_    y_grade_train_x000a_    y_grade_test_x000a_except NameError:_x000a_    raise NameError(_x000a_        &quot;Variabel y_grade_train dan y_grade_test belum ada. &quot;_x000a_        &quot;Pastikan saat train_test_split Anda ikut menyertakan df['grade_category'].&quot;_x000a_    )_x000a__x000a_# 1) Prediksi regresi -&gt; jadi fitur tunggal untuk klasifikasi multikelas_x000a_reg_pred_train = reg_pipe.predict(X_train).reshape(-1, 1)_x000a_reg_pred_test  = reg_pipe.predict(X_test).reshape(-1, 1)_x000a__x000a_# 2) Logistic Regression multikelas (softmax)_x000a_multi_clf = LogisticRegression(_x000a_    max_iter=2000,_x000a_    multi_class=&quot;multinomial&quot;,_x000a_    solver=&quot;lbfgs&quot;,_x000a_    random_state=42_x000a_)_x000a_multi_clf.fit(reg_pred_train, y_grade_train)_x000a__x000a_y_pred_multi = multi_clf.predict(reg_pred_test)_x000a_y_proba_multi = multi_clf.predict_proba(reg_pred_test)  # shape: (n_samples, n_classes)_x000a_classes = multi_clf.classes__x000a__x000a_# 3) Evaluasi: Confusion Matrix + Accuracy + Precision/Recall (macro)_x000a_cm = confusion_matrix(y_grade_test, y_pred_multi, labels=classes)_x000a_print(&quot;Classes:&quot;, list(classes))_x000a_print(&quot;Confusion Matrix:\n&quot;, cm)_x000a__x000a_print(&quot;Accuracy        :&quot;, accuracy_score(y_grade_test, y_pred_multi))_x000a_print(&quot;Precision (macro):&quot;, precision_score(y_grade_test, y_pred_multi, average=&quot;macro&quot;, zero_division=0))_x000a_print(&quot;Recall (macro)   :&quot;, recall_score(y_grade_test, y_pred_multi, average=&quot;macro&quot;, zero_division=0))_x000a__x000a_disp = ConfusionMatrixDisplay(confusion_matrix=cm, display_labels=classes)_x000a_disp.plot(values_format=&quot;d&quot;, xticks_rotation=45)_x000a_plt.title(&quot;Confusion Matrix - Multiclass Logistic Regression (grade_category)&quot;)_x000a_plt.tight_layout()_x000a_plt.show()_x000a__x000a_# 4) ROC Curve &amp; AUC untuk multikelas (One-vs-Rest)_x000a_#    - Binarize label y_test menjadi matriks (n_samples, n_classes)_x000a_y_test_bin = label_binarize(y_grade_test, classes=classes)_x000a__x000a_# Jika ternyata hanya ada 2 kelas, label_binarize menghasilkan 1 kolom; tangani khusus_x000a_if y_test_bin.shape[1] == 1 and len(classes) == 2:_x000a_    # Binary ROC_x000a_    fpr, tpr, _ = roc_curve(y_test_bin.ravel(), y_proba_multi[:, 1])_x000a_    auc = roc_auc_score(y_test_bin.ravel(), y_proba_multi[:, 1])_x000a_    print(&quot;AUC (binary):&quot;, auc)_x000a__x000a_    plt.figure(figsize=(6, 5))_x000a_    plt.plot(fpr, tpr, label=f&quot;ROC (AUC = {auc:.3f})&quot;)_x000a_    plt.plot([0, 1], [0, 1], &quot;--&quot;, color=&quot;gray&quot;)_x000a_    plt.xlabel(&quot;False Positive Rate&quot;)_x000a_    plt.ylabel(&quot;True Positive Rate&quot;)_x000a_    plt.title(&quot;ROC Curve - grade_category (binary)&quot;)_x000a_    plt.legend(loc=&quot;lower right&quot;)_x000a_    plt.tight_layout()_x000a_    plt.show()_x000a_else:_x000a_    # Multiclass ROC per kelas + macro-average AUC_x000a_    auc_macro = roc_auc_score(y_test_bin, y_proba_multi, average=&quot;macro&quot;, multi_class=&quot;ovr&quot;)_x000a_    auc_weighted = roc_auc_score(y_test_bin, y_proba_multi, average=&quot;weighted&quot;, multi_class=&quot;ovr&quot;)_x000a_    print(&quot;AUC (macro, OVR)   :&quot;, auc_macro)_x000a_    print(&quot;AUC"/>
    <d v="2026-04-14T11:05:45"/>
    <x v="3"/>
    <n v="0"/>
    <n v="45"/>
    <n v="1050"/>
    <n v="1095"/>
    <n v="164"/>
    <n v="3873"/>
    <n v="1483"/>
    <n v="3"/>
    <n v="2"/>
    <n v="2"/>
    <s v="The prompt specifies a task related to regression and classification."/>
    <s v="Lacks clarity on the expected output and context for the code."/>
    <s v="Includes relevant libraries for data visualization."/>
    <s v="Does not address the prompt's request for a classification model or provide any relevant code."/>
    <s v="Provide a code example for a classification model using grade_category as the target variable."/>
    <s v="Include a complete code snippet that demonstrates a classification model for the specified target variable."/>
    <s v="weak"/>
    <b v="0"/>
    <s v="gpt-4o-mini"/>
    <s v="{&quot;prompt_score&quot;: 3, &quot;response_score&quot;: 2, &quot;overall_score&quot;: 2, &quot;prompt_strengths&quot;: &quot;The prompt specifies a task related to regression and classification.&quot;, &quot;prompt_issues&quot;: &quot;Lacks clarity on the expected output and context for the code.&quot;, &quot;response_strengths&quot;: &quot;Includes relevant libraries for data visualization.&quot;, &quot;response_issues&quot;: &quot;Does not address the prompt's request for a classification model or provide any relevant code.&quot;, &quot;prompt_rewrite&quot;: &quot;Provide a code example for a classification model using grade_category as the target variable.&quot;, &quot;response_improvement_suggestions&quot;: &quot;Include a complete code snippet that demonstrates a classification model for the specified target variable.&quot;, &quot;verdict&quot;: &quot;weak&quot;, &quot;needs_human_review&quot;: false}"/>
    <s v="ok"/>
    <n v="1"/>
  </r>
  <r>
    <x v="22"/>
    <s v="[MODE:code]_x000a_Jelaskan tujuan test error, alasan alpha = 0 saat evaluasi, dan bagaimana menilai performa model dari test error menggunakan konsep generalisasi."/>
    <s v="done"/>
    <s v="def jawaban_test_error_generalisasi():_x000a_    return (_x000a_        &quot;1) Tujuan test error\n&quot;_x000a_        &quot;   - Mengukur performa akhir model pada data yang benar-benar belum pernah dilihat.\n&quot;_x000a_        &quot;   - Menjadi estimasi paling objektif untuk kemampuan generalisasi (kinerja di data baru/dunia nyata).\n&quot;_x000a_        &quot;   - Dipakai setelah model dan hyperparameter (mis. alpha) sudah dipilih.\n\n&quot;_x000a_        &quot;2) Alasan alpha = 0 saat evaluasi (menghitung training/validation/test error)\n&quot;_x000a_        &quot;   - Error evaluasi ingin mengukur murni seberapa baik prediksi model terhadap target (loss prediksi saja).\n&quot;_x000a_        &quot;   - Regularisasi (alpha &gt; 0) adalah penalti untuk proses training/optimisasi agar mencegah overfit,\n&quot;_x000a_        &quot;     bukan bagian dari kualitas prediksi pada data.\n&quot;_x000a_        &quot;   - Karena itu, saat melaporkan error (training/validation/test), biasanya dihitung tanpa penalti regularisasi\n&quot;_x000a_        &quot;     (alpha = 0), walaupun model dilatih dengan alpha tertentu.\n\n&quot;_x000a_        &quot;3) Menilai performa model dari test error (konsep generalisasi)\n&quot;_x000a_        &quot;   - Test error rendah → model mampu generalisasi dengan baik (prediksi bagus pada data baru).\n&quot;_x000a_        &quot;   - Test error tinggi → generalisasi buruk.\n&quot;_x000a_        &quot;   - Bandingkan juga dengan training/validation:\n&quot;_x000a_        &quot;     • Training rendah tapi test tinggi → overfitting (variance tinggi).\n&quot;_x000a_        &quot;     • Training tinggi dan test tinggi → underfitting (bias tinggi).\n&quot;_x000a_        &quot;     • Training dan test sama-sama rendah dan mirip → generalisasi baik (trade-off seimbang).\n&quot;_x000a_    )_x000a__x000a_print(jawaban_test_error_generalisasi())"/>
    <s v="```python_x000a_def jawaban_test_error_generalisasi():_x000a_    return (_x000a_        &quot;1) Tujuan test error\n&quot;_x000a_        &quot;   - Mengukur performa akhir model pada data yang benar-benar belum pernah dilihat.\n&quot;_x000a_        &quot;   - Menjadi estimasi paling objektif untuk kemampuan generalisasi (kinerja di data baru/dunia nyata).\n&quot;_x000a_        &quot;   - Dipakai setelah model dan hyperparameter (mis. alpha) sudah dipilih.\n\n&quot;_x000a_        &quot;2) Alasan alpha = 0 saat evaluasi (menghitung training/validation/test error)\n&quot;_x000a_        &quot;   - Error evaluasi ingin mengukur murni seberapa baik prediksi model terhadap target (loss prediksi saja).\n&quot;_x000a_        &quot;   - Regularisasi (alpha &gt; 0) adalah penalti untuk proses training/optimisasi agar mencegah overfit,\n&quot;_x000a_        &quot;     bukan bagian dari kualitas prediksi pada data.\n&quot;_x000a_        &quot;   - Karena itu, saat melaporkan error (training/validation/test), biasanya dihitung tanpa penalti regularisasi\n&quot;_x000a_        &quot;     (alpha = 0), walaupun model dilatih dengan alpha tertentu.\n\n&quot;_x000a_        &quot;3) Menilai performa model dari test error (konsep generalisasi)\n&quot;_x000a_        &quot;   - Test error rendah → model mampu generalisasi dengan baik (prediksi bagus pada data baru).\n&quot;_x000a_        &quot;   - Test error tinggi → generalisasi buruk.\n&quot;_x000a_        &quot;   - Bandingkan juga dengan training/validation:\n&quot;_x000a_        &quot;     • Training rendah tapi test tinggi → overfitting (variance tinggi).\n&quot;_x000a_        &quot;     • Training tinggi dan test tinggi → underfitting (bias tinggi).\n&quot;_x000a_        &quot;     • Training dan test sama-sama rendah dan mirip → generalisasi baik (trade-off seimbang).\n&quot;_x000a_    )_x000a__x000a_print(jawaban_test_error_generalisasi())_x000a_```"/>
    <d v="2026-04-07T12:41:03"/>
    <x v="0"/>
    <n v="0"/>
    <n v="43"/>
    <n v="456"/>
    <n v="499"/>
    <n v="157"/>
    <n v="1607"/>
    <n v="2029"/>
    <n v="4"/>
    <n v="4"/>
    <n v="4"/>
    <s v="Clear and specific about the topics to be addressed."/>
    <s v="Could provide more context on the audience's knowledge level."/>
    <s v="Relevant and correct explanations with good structure."/>
    <s v="Could be clearer in some parts and lacks examples."/>
    <s v="[MODE:code] Jelaskan tujuan test error, alasan alpha = 0 saat evaluasi, dan bagaimana menilai performa model dari test error menggunakan konsep generalisasi. Sertakan contoh jika perlu."/>
    <s v="Add examples to illustrate points and improve clarity in complex explanations."/>
    <s v="good"/>
    <b v="0"/>
    <s v="gpt-4o-mini"/>
    <s v="{&quot;prompt_score&quot;: 4, &quot;response_score&quot;: 4, &quot;overall_score&quot;: 4, &quot;prompt_strengths&quot;: &quot;Clear and specific about the topics to be addressed.&quot;, &quot;prompt_issues&quot;: &quot;Could provide more context on the audience's knowledge level.&quot;, &quot;response_strengths&quot;: &quot;Relevant and correct explanations with good structure.&quot;, &quot;response_issues&quot;: &quot;Could be clearer in some parts and lacks examples.&quot;, &quot;prompt_rewrite&quot;: &quot;[MODE:code] Jelaskan tujuan test error, alasan alpha = 0 saat evaluasi, dan bagaimana menilai performa model dari test error menggunakan konsep generalisasi. Sertakan contoh jika perlu.&quot;, &quot;response_improvement_suggestions&quot;: &quot;Add examples to illustrate points and improve clarity in complex explanations.&quot;, &quot;verdict&quot;: &quot;good&quot;, &quot;needs_human_review&quot;: false}"/>
    <s v="ok"/>
    <n v="4"/>
  </r>
  <r>
    <x v="22"/>
    <s v="[MODE:code]_x000a_filename = &quot;pima-indians-diabetes.data.csv&quot;_x000a__x000a_Gunakan method read_csv dengan parameter: filename dan names adalah names. Simpan hasil read_csv dalam variabel dataframe."/>
    <s v="done"/>
    <s v="dataframe = read_csv(filename, names=names)"/>
    <s v="```python_x000a_dataframe = read_csv(filename, names=names)_x000a_```"/>
    <d v="2026-03-10T11:05:21"/>
    <x v="2"/>
    <n v="0"/>
    <n v="41"/>
    <n v="15"/>
    <n v="56"/>
    <n v="179"/>
    <n v="57"/>
    <n v="2910"/>
    <n v="4"/>
    <n v="4"/>
    <n v="4"/>
    <s v="Clear instructions with specific parameters."/>
    <s v="Could provide more context on the data."/>
    <s v="Correct use of read_csv method."/>
    <s v="Lacks explanation or comments for clarity."/>
    <s v="Read the CSV file 'pima-indians-diabetes.data.csv' using read_csv with specified names and store it in a variable called dataframe. Provide context on the data."/>
    <s v="Add comments explaining the code for better clarity."/>
    <s v="good"/>
    <b v="0"/>
    <s v="gpt-4o-mini"/>
    <s v="{&quot;prompt_score&quot;: 4, &quot;response_score&quot;: 4, &quot;overall_score&quot;: 4, &quot;prompt_strengths&quot;: &quot;Clear instructions with specific parameters.&quot;, &quot;prompt_issues&quot;: &quot;Could provide more context on the data.&quot;, &quot;response_strengths&quot;: &quot;Correct use of read_csv method.&quot;, &quot;response_issues&quot;: &quot;Lacks explanation or comments for clarity.&quot;, &quot;prompt_rewrite&quot;: &quot;Read the CSV file 'pima-indians-diabetes.data.csv' using read_csv with specified names and store it in a variable called dataframe. Provide context on the data.&quot;, &quot;response_improvement_suggestions&quot;: &quot;Add comments explaining the code for better clarity.&quot;, &quot;verdict&quot;: &quot;good&quot;, &quot;needs_human_review&quot;: false}"/>
    <s v="ok"/>
    <n v="4"/>
  </r>
  <r>
    <x v="22"/>
    <s v="[MODE:code]_x000a_apa jawaban dari soal berikut Mini-batch GD adalah kombinasi_x000a_*_x000a_Batch &amp; SGD_x000a_Linear &amp; logistic_x000a_Ridge &amp; Lasso_x000a_PCA &amp; SVD"/>
    <s v="done"/>
    <s v="Batch &amp; SGD"/>
    <s v="Batch &amp; SGD"/>
    <d v="2026-04-14T09:52:15"/>
    <x v="3"/>
    <n v="0"/>
    <n v="41"/>
    <n v="3"/>
    <n v="44"/>
    <n v="128"/>
    <n v="11"/>
    <n v="3656"/>
    <n v="3"/>
    <n v="3"/>
    <n v="3"/>
    <s v="Identifies a specific topic in machine learning."/>
    <s v="Lacks clarity and context for the question."/>
    <s v="Directly answers part of the question."/>
    <s v="Incomplete and lacks explanation."/>
    <s v="[MODE:code] Apa jawaban dari soal berikut: Sebutkan kombinasi yang tepat dari Mini-batch GD, Batch, dan SGD dalam konteks pembelajaran mesin."/>
    <s v="Provide a more comprehensive answer that includes explanations for each term."/>
    <s v="fair"/>
    <b v="0"/>
    <s v="gpt-4o-mini"/>
    <s v="{&quot;prompt_score&quot;: 3, &quot;response_score&quot;: 3, &quot;overall_score&quot;: 3, &quot;prompt_strengths&quot;: &quot;Identifies a specific topic in machine learning.&quot;, &quot;prompt_issues&quot;: &quot;Lacks clarity and context for the question.&quot;, &quot;response_strengths&quot;: &quot;Directly answers part of the question.&quot;, &quot;response_issues&quot;: &quot;Incomplete and lacks explanation.&quot;, &quot;prompt_rewrite&quot;: &quot;[MODE:code] Apa jawaban dari soal berikut: Sebutkan kombinasi yang tepat dari Mini-batch GD, Batch, dan SGD dalam konteks pembelajaran mesin.&quot;, &quot;response_improvement_suggestions&quot;: &quot;Provide a more comprehensive answer that includes explanations for each term.&quot;, &quot;verdict&quot;: &quot;fair&quot;, &quot;needs_human_review&quot;: false}"/>
    <s v="ok"/>
    <n v="3"/>
  </r>
  <r>
    <x v="23"/>
    <s v="[MODE:summary_code_explanation]_x000a_Langkah selanjutnya adalah Statistik deskriptif. (clue : use describe())_x000a__x000a_saya disuruh melakukan statistika deksriptif tapi hanya diberikan clue use describe()"/>
    <s v="done"/>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d v="2026-03-10T12:04:22"/>
    <x v="2"/>
    <n v="0"/>
    <n v="51"/>
    <n v="144"/>
    <n v="195"/>
    <n v="191"/>
    <n v="479"/>
    <n v="363"/>
    <n v="4"/>
    <n v="5"/>
    <n v="5"/>
    <s v="Clear request for descriptive statistics using a specific method."/>
    <s v="Could provide more context on the dataset or specific requirements."/>
    <s v="Accurate, complete explanation of the describe() function and its output."/>
    <s v="None noted; response is clear and helpful."/>
    <s v="Jelaskan cara melakukan statistik deskriptif pada dataset menggunakan pandas, dengan fokus pada metode describe()."/>
    <s v="Consider adding examples of when to use describe() with different types of data."/>
    <s v="excellent"/>
    <b v="0"/>
    <s v="gpt-4o-mini"/>
    <s v="{&quot;prompt_score&quot;: 4, &quot;response_score&quot;: 5, &quot;overall_score&quot;: 5, &quot;prompt_strengths&quot;: &quot;Clear request for descriptive statistics using a specific method.&quot;, &quot;prompt_issues&quot;: &quot;Could provide more context on the dataset or specific requirements.&quot;, &quot;response_strengths&quot;: &quot;Accurate, complete explanation of the describe() function and its output.&quot;, &quot;response_issues&quot;: &quot;None noted; response is clear and helpful.&quot;, &quot;prompt_rewrite&quot;: &quot;Jelaskan cara melakukan statistik deskriptif pada dataset menggunakan pandas, dengan fokus pada metode describe().&quot;, &quot;response_improvement_suggestions&quot;: &quot;Consider adding examples of when to use describe() with different types of data.&quot;, &quot;verdict&quot;: &quot;excellent&quot;, &quot;needs_human_review&quot;: false}"/>
    <s v="ok"/>
    <n v="5"/>
  </r>
  <r>
    <x v="23"/>
    <s v="[MODE:summary_code_explanation]_x000a_Selanjutnya kita akan memilih berdasarkan validation set_x000a__x000a_3.3 Memilih  α  berdasarkan validation set_x000a_Di bagian ini, anda akan menerapkan metode otomatis untuk memilih  α  parameter._x000a__x000a_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_x000a__x000a_Di bagian ini, kita harus melengkapi fungsi validation_curve. Gunakan validation set untuk membandingkan beberapa nilai alpha dan pilih model yang paling seimbang._x000a__x000a_Karena kita Kelas A, gunakan kandidat alpha berikut: {0, 0.001, 0.01, 0.1, 1, 10}._x000a_Instruksi Pengerjaan 4_x000a_Lengkapi fungsi validation_curve._x000a__x000a_Yang harus dilakukan:_x000a_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d v="2026-04-07T12:58:09"/>
    <x v="0"/>
    <n v="0"/>
    <n v="475"/>
    <n v="439"/>
    <n v="914"/>
    <n v="1731"/>
    <n v="1470"/>
    <n v="575"/>
    <n v="4"/>
    <n v="5"/>
    <n v="5"/>
    <s v="Clear instructions and context provided."/>
    <s v="Could specify the expected output format more clearly."/>
    <s v="Accurate implementation and thorough explanation."/>
    <s v="None identified."/>
    <s v="[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Lengkapi fungsi validation_curve dengan output yang sesuai: alpha_vec, error_train, error_val. Gunakan kandidat alpha berikut: {0, 0.001, 0.01, 0.1, 1, 10}. Instruksi Pengerjaan 4: - Loop seluruh nilai alpha pada alpha_vec. - Latih model untuk setiap alpha. - Hitung training error dan validation error tanpa regularisasi. - Gunakan hasil plot untuk memilih alpha terbaik."/>
    <s v="Consider adding a brief summary of the implications of choosing the best alpha."/>
    <s v="excellent"/>
    <b v="0"/>
    <s v="gpt-4o-mini"/>
    <s v="{&quot;prompt_score&quot;: 4, &quot;response_score&quot;: 5, &quot;overall_score&quot;: 5, &quot;prompt_strengths&quot;: &quot;Clear instructions and context provided.&quot;, &quot;prompt_issues&quot;: &quot;Could specify the expected output format more clearly.&quot;, &quot;response_strengths&quot;: &quot;Accurate implementation and thorough explanation.&quot;, &quot;response_issues&quot;: &quot;None identified.&quot;, &quot;prompt_rewrite&quot;: &quo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Lengkapi fungsi validation_curve dengan output yang sesuai: alpha_vec, error_train, error_val. Gunakan kandidat alpha berikut: {0, 0.001, 0.01, 0.1, 1, 10}. Instruksi Pengerjaan 4: - Loop seluruh nilai alpha pada alpha_vec. - Latih model untuk setiap alpha. - Hitung training error dan validation error tanpa regularisasi. - Gunakan hasil plot untuk memilih alpha terbaik.&quot;, &quot;response_improvement_suggestions&quot;: &quot;Consider adding a brief summary of the implications of choosing the best alpha.&quot;, &quot;verdict&quot;: &quot;excellent&quot;, &quot;needs_human_review&quot;: false}"/>
    <s v="ok"/>
    <n v="5"/>
  </r>
  <r>
    <x v="23"/>
    <s v="[MODE:summary_code_explanation]_x000a_Sekarang kita akan masuk ke dalam Model Training. Model Training ada 2 model yaitu Linear Regression dan Random Forest. _x000a__x000a_Pertama kita menggunakan Linear Regression. Sekarang kita akan melihat hasil dari model yang di train menggunakan linear regression. Untuk code di bagian pred = itu apa ya?"/>
    <s v="done"/>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d v="2026-03-03T11:58:04"/>
    <x v="6"/>
    <n v="0"/>
    <n v="74"/>
    <n v="326"/>
    <n v="400"/>
    <n v="326"/>
    <n v="1180"/>
    <n v="646"/>
    <n v="4"/>
    <n v="5"/>
    <n v="4"/>
    <s v="Clear context about model training and specific question."/>
    <s v="Could provide more detail on what specific aspect of 'pred' is unclear."/>
    <s v="Thorough explanation with relevant code examples and metrics."/>
    <s v="Could simplify language for better accessibility."/>
    <s v="Jelaskan lebih lanjut tentang baris kode `pred = ...` dalam konteks model Linear Regression yang dilatih."/>
    <s v="Consider simplifying technical terms for broader understanding."/>
    <s v="good"/>
    <b v="0"/>
    <s v="gpt-4o-mini"/>
    <s v="{&quot;prompt_score&quot;: 4, &quot;response_score&quot;: 5, &quot;overall_score&quot;: 4, &quot;prompt_strengths&quot;: &quot;Clear context about model training and specific question.&quot;, &quot;prompt_issues&quot;: &quot;Could provide more detail on what specific aspect of 'pred' is unclear.&quot;, &quot;response_strengths&quot;: &quot;Thorough explanation with relevant code examples and metrics.&quot;, &quot;response_issues&quot;: &quot;Could simplify language for better accessibility.&quot;, &quot;prompt_rewrite&quot;: &quot;Jelaskan lebih lanjut tentang baris kode `pred = ...` dalam konteks model Linear Regression yang dilatih.&quot;, &quot;response_improvement_suggestions&quot;: &quot;Consider simplifying technical terms for broader understanding.&quot;, &quot;verdict&quot;: &quot;good&quot;, &quot;needs_human_review&quot;: false}"/>
    <s v="ok"/>
    <n v="4"/>
  </r>
  <r>
    <x v="23"/>
    <s v="[MODE:code]_x000a_Berikut adalah kurang lebih output yang akan dihasilkan oleh bagian 1 tadi:_x000a__x0009_student_id_x0009_gender_x0009_age_x0009_parental_education_x0009_family_income_x0009_internet_access_x0009_study_environment_x0009_study_hours_per_day_x0009_attendance_rate_x0009_sleep_hours_x0009_..._x0009_online_courses_completed_x0009_tutoring_x0009_math_score_x0009_reading_score_x0009_writing_score_x0009_science_score_x0009_final_exam_score_x0009_previous_gpa_x0009_pass_fail_x0009_grade_category_x000a_0_x0009_S00001_x0009_Male_x0009_17_x0009_High School_x0009_Medium_x0009_Yes_x0009_Quiet_x0009_2.98_x0009_96.5_x0009_6.05_x0009_..._x0009_1_x0009_Yes_x0009_42.8_x0009_62.4_x0009_54.8_x0009_51.8_x0009_49.1_x0009_2.44_x0009_Fail_x0009_F_x000a_1_x0009_S00002_x0009_Female_x0009_18_x0009_High School_x0009_Low_x0009_Yes_x0009_Quiet_x0009_4.45_x0009_95.7_x0009_6.96_x0009_..._x0009_0_x0009_Yes_x0009_77.9_x0009_73.5_x0009_64.4_x0009_61.6_x0009_70.1_x0009_2.79_x0009_Pass_x0009_C_x000a_2_x0009_S00003_x0009_Male_x0009_17_x0009_High School_x0009_Medium_x0009_No_x0009_Quiet_x0009_3.75_x0009_76.0_x0009_7.02_x0009_..._x0009_4_x0009_Yes_x0009_53.5_x0009_38.3_x0009_36.3_x0009_47.1_x0009_42.2_x0009_1.49_x0009_Fail_x0009_F_x000a_3_x0009_S00004_x0009_Male_x0009_18_x0009_Bachelor_x0009_Medium_x0009_Yes_x0009_Quiet_x0009_2.03_x0009_72.6_x0009_6.23_x0009_..._x0009_4_x0009_No_x0009_28.3_x0009_23.5_x0009_32.0_x0009_39.0_x0009_31.9_x0009_1.34_x0009_Fail_x0009_F_x000a_4_x0009_S00005_x0009_Male_x0009_18_x0009_Bachelor_x0009_Medium_x0009_Yes_x0009_Quiet_x0009_5.14_x0009_87.3_x0009_8.54_x0009_..._x0009_0_x0009_No_x0009_74.7_x0009_54.9_x0009_73.6_x0009_55.5_x0009_66.4_x0009_2.60_x0009_Pass_x0009_C_x000a_5 rows × 23 columns_x000a__x000a__x000a_Ukuran dataset (baris, kolom): (10000, 23)_x000a__x000a_Tipe data setiap kolom: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dtype: object_x000a__x000a_Sekarang kita akan mengerjakan bagian 2 yaitu EDA. Berikut adalah perintahnya: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    &quot;final_exam_score&quot;,_x000a_    &quot;study_hours_per_day&quot;,_x000a_    &quot;attendance_rate&quot;,_x000a_    &quot;sleep_hours&quot;,_x000a_    &quot;previous_gpa&quot;,_x000a_    &quot;assignment_completion_rate&quot;,_x000a_    &quot;social_media_hours&quot;,_x000a_]_x000a_important_num = [c for c in important_num if c in df.columns]_x000a__x000a_n = len(important_num)_x000a_ncols = 3_x000a_nrows = int(np.ceil(n / ncols))_x000a__x000a_plt.figure(figsize=(5 * ncols, 4 * nrows))_x000a_for i, col in enumerate(important_num, 1):_x000a_    ax = plt.subplot(nrows, ncols, i)_x000a_    sns.histplot(df[col], bins=30, kde=True, ax=ax)_x000a_    ax.set_title(f&quot;Distribusi: {col}&quot;)_x000a_plt.tight_layout()_x000a_plt.show()_x000a__x000a_# (Opsional) Boxplot untuk melihat outlier_x000a_plt.figure(figsize=(5 * ncols, 4 * nrows))_x000a_for i, col in enumerate(important_num, 1):_x000a_    ax = plt.subplot(nrows, ncols, i)_x000a_    sns.boxplot(x=df[col], ax=ax)_x000a_    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    corr_target = corr[&quot;final_exam_score&quot;].sort_values(ascending=False)_x000a_    display(corr_target.to_frame(&quot;corr_with_final_exam_score&quot;))"/>
    <s v="```python_x000a_#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    &quot;final_exam_score&quot;,_x000a_    &quot;study_hours_per_day&quot;,_x000a_    &quot;attendance_rate&quot;,_x000a_    &quot;sleep_hours&quot;,_x000a_    &quot;previous_gpa&quot;,_x000a_    &quot;assignment_completion_rate&quot;,_x000a_    &quot;social_media_hours&quot;,_x000a_]_x000a_important_num = [c for c in important_num if c in df.columns]_x000a__x000a_n = len(important_num)_x000a_ncols = 3_x000a_nrows = int(np.ceil(n / ncols))_x000a__x000a_plt.figure(figsize=(5 * ncols, 4 * nrows))_x000a_for i, col in enumerate(important_num, 1):_x000a_    ax = plt.subplot(nrows, ncols, i)_x000a_    sns.histplot(df[col], bins=30, kde=True, ax=ax)_x000a_    ax.set_title(f&quot;Distribusi: {col}&quot;)_x000a_plt.tight_layout()_x000a_plt.show()_x000a__x000a_# (Opsional) Boxplot untuk melihat outlier_x000a_plt.figure(figsize=(5 * ncols, 4 * nrows))_x000a_for i, col in enumerate(important_num, 1):_x000a_    ax = plt.subplot(nrows, ncols, i)_x000a_    sns.boxplot(x=df[col], ax=ax)_x000a_    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    corr_target = corr[&quot;final_exam_score&quot;].sort_values(ascending=False)_x000a_    display(corr_target.to_frame(&quot;corr_with_final_exam_score&quot;))_x000a_```"/>
    <d v="2026-04-14T10:40:37"/>
    <x v="3"/>
    <n v="0"/>
    <n v="687"/>
    <n v="545"/>
    <n v="1232"/>
    <n v="2236"/>
    <n v="1935"/>
    <n v="760"/>
    <n v="4"/>
    <n v="5"/>
    <n v="5"/>
    <s v="Detailed and specific instructions for EDA."/>
    <s v="Could provide more context on the dataset's purpose."/>
    <s v="Comprehensive and well-structured EDA code."/>
    <s v="None identified."/>
    <s v="Berikan instruksi untuk melakukan EDA pada dataset yang berisi informasi siswa, termasuk analisis missing values, statistik deskriptif, visualisasi distribusi fitur penting, dan heatmap korelasi."/>
    <s v="Consider adding comments to explain each step of the analysis for clarity."/>
    <s v="excellent"/>
    <b v="0"/>
    <s v="gpt-4o-mini"/>
    <s v="{&quot;prompt_score&quot;: 4, &quot;response_score&quot;: 5, &quot;overall_score&quot;: 5, &quot;prompt_strengths&quot;: &quot;Detailed and specific instructions for EDA.&quot;, &quot;prompt_issues&quot;: &quot;Could provide more context on the dataset's purpose.&quot;, &quot;response_strengths&quot;: &quot;Comprehensive and well-structured EDA code.&quot;, &quot;response_issues&quot;: &quot;None identified.&quot;, &quot;prompt_rewrite&quot;: &quot;Berikan instruksi untuk melakukan EDA pada dataset yang berisi informasi siswa, termasuk analisis missing values, statistik deskriptif, visualisasi distribusi fitur penting, dan heatmap korelasi.&quot;, &quot;response_improvement_suggestions&quot;: &quot;Consider adding comments to explain each step of the analysis for clarity.&quot;, &quot;verdict&quot;: &quot;excellent&quot;, &quot;needs_human_review&quot;: false}"/>
    <s v="ok"/>
    <n v="5"/>
  </r>
  <r>
    <x v="23"/>
    <s v="[MODE:summary_code_explanation]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NameError: name 'plt' is not defined"/>
    <s v="done"/>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d v="2026-03-10T12:27:18"/>
    <x v="2"/>
    <n v="0"/>
    <n v="66"/>
    <n v="167"/>
    <n v="233"/>
    <n v="312"/>
    <n v="676"/>
    <n v="1049"/>
    <n v="4"/>
    <n v="5"/>
    <n v="4"/>
    <s v="Clear and specific about the error context."/>
    <s v="Could provide more context on the expected input."/>
    <s v="Accurate, complete, and clearly explains the error and solution."/>
    <s v="None."/>
    <s v="Explain the error 'NameError: name 'plt' is not defined' in the context of missing imports in Python code."/>
    <s v="None needed; response is already strong."/>
    <s v="excellent"/>
    <b v="0"/>
    <s v="gpt-4o-mini"/>
    <s v="{&quot;prompt_score&quot;: 4, &quot;response_score&quot;: 5, &quot;overall_score&quot;: 4, &quot;prompt_strengths&quot;: &quot;Clear and specific about the error context.&quot;, &quot;prompt_issues&quot;: &quot;Could provide more context on the expected input.&quot;, &quot;response_strengths&quot;: &quot;Accurate, complete, and clearly explains the error and solution.&quot;, &quot;response_issues&quot;: &quot;None.&quot;, &quot;prompt_rewrite&quot;: &quot;Explain the error 'NameError: name 'plt' is not defined' in the context of missing imports in Python code.&quot;, &quot;response_improvement_suggestions&quot;: &quot;None needed; response is already strong.&quot;, &quot;verdict&quot;: &quot;excellent&quot;, &quot;needs_human_review&quot;: false}"/>
    <s v="ok"/>
    <n v="5"/>
  </r>
  <r>
    <x v="23"/>
    <s v="[MODE:summary_code_explanation]_x000a_dengan output program tersebut, apakah kita bisa menjawab pertanyaan ini:_x000a_Apakah nilai 0 dalam dataset tersebut wajar? atau harus anda hilangkan? jika ya kenapa"/>
    <s v="done"/>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 `Pregnancies` = 0 masuk akal (tidak pernah hamil).  _x000a_  - `Outcome` = 0 adalah label kelas (tidak diabetes), jadi valid._x000a_- **Tidak wajar** (sebaiknya tidak dibiarkan sebagai 0):  _x000a_  -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 `Pregnancies` = 0 masuk akal (tidak pernah hamil).  _x000a_  - `Outcome` = 0 adalah label kelas (tidak diabetes), jadi valid._x000a_- **Tidak wajar** (sebaiknya tidak dibiarkan sebagai 0):  _x000a_  -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d v="2026-03-10T12:14:44"/>
    <x v="2"/>
    <n v="0"/>
    <n v="47"/>
    <n v="375"/>
    <n v="422"/>
    <n v="192"/>
    <n v="1179"/>
    <n v="1520"/>
    <n v="4"/>
    <n v="5"/>
    <n v="4"/>
    <s v="Clear and specific question about dataset handling."/>
    <s v="Could provide more context on the dataset."/>
    <s v="Thorough explanation with relevant code and reasoning."/>
    <s v="Could be more concise in some areas."/>
    <s v="[MODE:summary_code_explanation] Dengan output program tersebut, apakah nilai 0 dalam dataset medis ini wajar? Jika tidak, bagaimana sebaiknya menanganinya?"/>
    <s v="Summarize key points more succinctly to enhance clarity."/>
    <s v="good"/>
    <b v="0"/>
    <s v="gpt-4o-mini"/>
    <s v="{&quot;prompt_score&quot;: 4, &quot;response_score&quot;: 5, &quot;overall_score&quot;: 4, &quot;prompt_strengths&quot;: &quot;Clear and specific question about dataset handling.&quot;, &quot;prompt_issues&quot;: &quot;Could provide more context on the dataset.&quot;, &quot;response_strengths&quot;: &quot;Thorough explanation with relevant code and reasoning.&quot;, &quot;response_issues&quot;: &quot;Could be more concise in some areas.&quot;, &quot;prompt_rewrite&quot;: &quot;[MODE:summary_code_explanation] Dengan output program tersebut, apakah nilai 0 dalam dataset medis ini wajar? Jika tidak, bagaimana sebaiknya menanganinya?&quot;, &quot;response_improvement_suggestions&quot;: &quot;Summarize key points more succinctly to enhance clarity.&quot;, &quot;verdict&quot;: &quot;good&quot;, &quot;needs_human_review&quot;: false}"/>
    <s v="ok"/>
    <n v="4"/>
  </r>
  <r>
    <x v="23"/>
    <s v="[MODE:summary_code_explanation]_x000a_untuk:_x000a_ Y = dataframe.iloc[:, 7]_x000a_test_size = 0.33, apakah huruf  y nya harus huruf besar atau huruf kecil atau tidak berpengaruh?"/>
    <s v="done"/>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d v="2026-03-10T12:51:17"/>
    <x v="2"/>
    <n v="0"/>
    <n v="50"/>
    <n v="169"/>
    <n v="219"/>
    <n v="161"/>
    <n v="516"/>
    <n v="2392"/>
    <n v="4"/>
    <n v="5"/>
    <n v="4"/>
    <s v="Clear and specific question about variable naming in Python."/>
    <s v="Could provide more context on the use case."/>
    <s v="Accurate, clear, and provides helpful explanation with code example."/>
    <s v="None significant."/>
    <s v="Apakah huruf Y dalam 'Y = dataframe.iloc[:, 7]' harus besar atau kecil dalam konteks Python, dan bagaimana pengaruhnya terhadap kode?"/>
    <s v="None needed; response is already comprehensive."/>
    <s v="good"/>
    <b v="0"/>
    <s v="gpt-4o-mini"/>
    <s v="{&quot;prompt_score&quot;: 4, &quot;response_score&quot;: 5, &quot;overall_score&quot;: 4, &quot;prompt_strengths&quot;: &quot;Clear and specific question about variable naming in Python.&quot;, &quot;prompt_issues&quot;: &quot;Could provide more context on the use case.&quot;, &quot;response_strengths&quot;: &quot;Accurate, clear, and provides helpful explanation with code example.&quot;, &quot;response_issues&quot;: &quot;None significant.&quot;, &quot;prompt_rewrite&quot;: &quot;Apakah huruf Y dalam 'Y = dataframe.iloc[:, 7]' harus besar atau kecil dalam konteks Python, dan bagaimana pengaruhnya terhadap kode?&quot;, &quot;response_improvement_suggestions&quot;: &quot;None needed; response is already comprehensive.&quot;, &quot;verdict&quot;: &quot;good&quot;, &quot;needs_human_review&quot;: false}"/>
    <s v="ok"/>
    <n v="4"/>
  </r>
  <r>
    <x v="23"/>
    <s v="[MODE:summary]_x000a_Tidak ada missing value (Total missing values = 0), jadi dataset siap dipakai tanpa imputasi dan risiko bias karena data kosong. _x000a__x000a_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_x000a__x000a_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_x000a__x000a_kalau inii belum termasuk penjelasan heatmap korelasi fitur numeriknya ya?"/>
    <s v="done"/>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d v="2026-04-14T11:22:35"/>
    <x v="3"/>
    <n v="0"/>
    <n v="299"/>
    <n v="234"/>
    <n v="533"/>
    <n v="965"/>
    <n v="789"/>
    <n v="2461"/>
    <n v="4"/>
    <n v="4"/>
    <n v="4"/>
    <s v="Clear summary of dataset characteristics and correlations."/>
    <s v="Could provide more context on the significance of findings."/>
    <s v="Addresses the prompt effectively and adds valuable insights."/>
    <s v="Could be more concise in some explanations."/>
    <s v="Buat ringkasan dataset dengan penekanan pada pola umum dari heatmap korelasi dan signifikansi temuan."/>
    <s v="Summarize key points more concisely and focus on the most critical insights."/>
    <s v="good"/>
    <b v="0"/>
    <s v="gpt-4o-mini"/>
    <s v="{&quot;prompt_score&quot;: 4, &quot;response_score&quot;: 4, &quot;overall_score&quot;: 4, &quot;prompt_strengths&quot;: &quot;Clear summary of dataset characteristics and correlations.&quot;, &quot;prompt_issues&quot;: &quot;Could provide more context on the significance of findings.&quot;, &quot;response_strengths&quot;: &quot;Addresses the prompt effectively and adds valuable insights.&quot;, &quot;response_issues&quot;: &quot;Could be more concise in some explanations.&quot;, &quot;prompt_rewrite&quot;: &quot;Buat ringkasan dataset dengan penekanan pada pola umum dari heatmap korelasi dan signifikansi temuan.&quot;, &quot;response_improvement_suggestions&quot;: &quot;Summarize key points more concisely and focus on the most critical insights.&quot;, &quot;verdict&quot;: &quot;good&quot;, &quot;needs_human_review&quot;: false}"/>
    <s v="ok"/>
    <n v="4"/>
  </r>
  <r>
    <x v="23"/>
    <s v="[MODE:summary_code_explanati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tolong ubah output codingannya menjadi persen, jangan desimal"/>
    <s v="done"/>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d v="2026-03-17T13:02:28"/>
    <x v="4"/>
    <n v="0"/>
    <n v="94"/>
    <n v="126"/>
    <n v="220"/>
    <n v="331"/>
    <n v="404"/>
    <n v="2743"/>
    <n v="4"/>
    <n v="5"/>
    <n v="5"/>
    <s v="Clear instructions and context provided."/>
    <s v="Could specify the desired output format more explicitly."/>
    <s v="Correctly addresses the prompt with a clear solution."/>
    <s v="None identified."/>
    <s v="Ubah output codingannya menjadi persen, format dengan 2 angka di belakang koma."/>
    <s v="None needed; response is complete and clear."/>
    <s v="excellent"/>
    <b v="0"/>
    <s v="gpt-4o-mini"/>
    <s v="{&quot;prompt_score&quot;: 4, &quot;response_score&quot;: 5, &quot;overall_score&quot;: 5, &quot;prompt_strengths&quot;: &quot;Clear instructions and context provided.&quot;, &quot;prompt_issues&quot;: &quot;Could specify the desired output format more explicitly.&quot;, &quot;response_strengths&quot;: &quot;Correctly addresses the prompt with a clear solution.&quot;, &quot;response_issues&quot;: &quot;None identified.&quot;, &quot;prompt_rewrite&quot;: &quot;Ubah output codingannya menjadi persen, format dengan 2 angka di belakang koma.&quot;, &quot;response_improvement_suggestions&quot;: &quot;None needed; response is complete and clear.&quot;, &quot;verdict&quot;: &quot;excellent&quot;, &quot;needs_human_review&quot;: false}"/>
    <s v="ok"/>
    <n v="5"/>
  </r>
  <r>
    <x v="23"/>
    <s v="[MODE:summary]_x000a_[ASSESSMENT_ID:1771cf8e-0a65-11f1-b762-3e0936ad7efb]_x000a_[FORCE_GPT:true]_x000a_[AUTO_FALLBACK:tru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s v="done"/>
    <s v="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
    <s v="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
    <d v="2026-04-14T11:16:59"/>
    <x v="3"/>
    <n v="0"/>
    <n v="901"/>
    <n v="253"/>
    <n v="1154"/>
    <n v="2132"/>
    <n v="820"/>
    <n v="3011"/>
    <n v="4"/>
    <n v="4"/>
    <n v="4"/>
    <s v="Clear instructions and specific tasks for EDA."/>
    <s v="Could benefit from clearer expectations for explanations."/>
    <s v="Relevant analysis with correct interpretations and clear insights."/>
    <s v="Could include more detailed explanations for non-expert readers."/>
    <s v="[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Sertakan penjelasan yang mudah dipahami untuk setiap output yang dihasilkan."/>
    <s v="Add more context or examples in the explanations to enhance understanding for a broader audience."/>
    <s v="good"/>
    <b v="0"/>
    <s v="gpt-4o-mini"/>
    <s v="{&quot;prompt_score&quot;: 4, &quot;response_score&quot;: 4, &quot;overall_score&quot;: 4, &quot;prompt_strengths&quot;: &quot;Clear instructions and specific tasks for EDA.&quot;, &quot;prompt_issues&quot;: &quot;Could benefit from clearer expectations for explanations.&quot;, &quot;response_strengths&quot;: &quot;Relevant analysis with correct interpretations and clear insights.&quot;, &quot;response_issues&quot;: &quot;Could include more detailed explanations for non-expert readers.&quot;, &quot;prompt_rewrite&quot;: &quo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Sertakan penjelasan yang mudah dipahami untuk setiap output yang dihasilkan.&quot;, &quot;response_improvement_suggestions&quot;: &quot;Add more context or examples in the explanations to enhance understanding for a broader audience.&quot;, &quot;verdict&quot;: &quot;good&quot;, &quot;needs_human_review&quot;: false}"/>
    <s v="ok"/>
    <n v="4"/>
  </r>
  <r>
    <x v="23"/>
    <s v="[MODE:summary_code_explanation]_x000a_Apakah hasil prediksi GD dan Normal Equation mendekati sama?_x000a_Dalam kasus fitur banyak dan dataset besar, pendekatan mana yang lebih praktis?_x000a__x000a_berdasarkan jawaban saya dibawah ini tolong jelaskan lebih lanjut lagi karena saya masih kurang paham._x000a__x000a_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_x000a__x000a_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
    <s v="done"/>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  \[_x000a_  \theta^\* = (X^T X)^{-1} X^T y_x000a_  \]_x000a_  (atau versi yang lebih stabil: pseudo-inverse). Ini memberi solusi optimum (jika asumsi matematisnya terpenuhi)._x000a__x000a_- **Gradient Descent (GD)** mencari \(\theta^\*\) yang sama, tapi **bertahap**:_x000a_  \[_x000a_  \theta := \theta - \eta \cdot \nabla J(\theta)_x000a_  \]_x000a_  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 GD memakai fitur yang sudah dinormalisasi (pakai `mu` dan `sigma` yang sama)._x000a_  - Normal equation memakai fitur mentah, tapi \(\theta\)-nya memang dihitung untuk fitur mentah.  _x000a_  Jadi dua jalur itu tetap setara._x000a__x000a_**Kapan hasilnya bisa beda jauh?** (intuisi singkat)_x000a_- GD **belum konvergen** (iterasi kurang / eta terlalu kecil)._x000a_- GD **tidak stabil** (eta terlalu besar → cost naik-turun/divergen)._x000a_- **Preprocessing tidak konsisten**, misalnya:_x000a_  -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  \[_x000a_  \theta^\* = (X^T X)^{-1} X^T y_x000a_  \]_x000a_  (atau versi yang lebih stabil: pseudo-inverse). Ini memberi solusi optimum (jika asumsi matematisnya terpenuhi)._x000a__x000a_- **Gradient Descent (GD)** mencari \(\theta^\*\) yang sama, tapi **bertahap**:_x000a_  \[_x000a_  \theta := \theta - \eta \cdot \nabla J(\theta)_x000a_  \]_x000a_  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 GD memakai fitur yang sudah dinormalisasi (pakai `mu` dan `sigma` yang sama)._x000a_  - Normal equation memakai fitur mentah, tapi \(\theta\)-nya memang dihitung untuk fitur mentah.  _x000a_  Jadi dua jalur itu tetap setara._x000a__x000a_**Kapan hasilnya bisa beda jauh?** (intuisi singkat)_x000a_- GD **belum konvergen** (iterasi kurang / eta terlalu kecil)._x000a_- GD **tidak stabil** (eta terlalu besar → cost naik-turun/divergen)._x000a_- **Preprocessing tidak konsisten**, misalnya:_x000a_  -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d v="2026-03-31T11:48:31"/>
    <x v="5"/>
    <n v="0"/>
    <n v="280"/>
    <n v="1134"/>
    <n v="1414"/>
    <n v="1081"/>
    <n v="3604"/>
    <n v="3081"/>
    <n v="4"/>
    <n v="5"/>
    <n v="5"/>
    <s v="Clear and specific about the topic."/>
    <s v="Could provide more context on the audience's knowledge level."/>
    <s v="Thorough, well-structured, and directly addresses the prompt."/>
    <s v="Could include examples or visual aids for better understanding."/>
    <s v="[MODE:summary_code_explanation] Apakah hasil prediksi GD dan Normal Equation mendekati sama? Dalam kasus fitur banyak dan dataset besar, pendekatan mana yang lebih praktis? Mohon jelaskan lebih lanjut dengan contoh atau analogi yang mudah dipahami."/>
    <s v="Incorporate examples or visual aids to enhance understanding."/>
    <s v="excellent"/>
    <b v="0"/>
    <s v="gpt-4o-mini"/>
    <s v="{&quot;prompt_score&quot;: 4, &quot;response_score&quot;: 5, &quot;overall_score&quot;: 5, &quot;prompt_strengths&quot;: &quot;Clear and specific about the topic.&quot;, &quot;prompt_issues&quot;: &quot;Could provide more context on the audience's knowledge level.&quot;, &quot;response_strengths&quot;: &quot;Thorough, well-structured, and directly addresses the prompt.&quot;, &quot;response_issues&quot;: &quot;Could include examples or visual aids for better understanding.&quot;, &quot;prompt_rewrite&quot;: &quot;[MODE:summary_code_explanation] Apakah hasil prediksi GD dan Normal Equation mendekati sama? Dalam kasus fitur banyak dan dataset besar, pendekatan mana yang lebih praktis? Mohon jelaskan lebih lanjut dengan contoh atau analogi yang mudah dipahami.&quot;, &quot;response_improvement_suggestions&quot;: &quot;Incorporate examples or visual aids to enhance understanding.&quot;, &quot;verdict&quot;: &quot;excellent&quot;, &quot;needs_human_review&quot;: false}"/>
    <s v="ok"/>
    <n v="5"/>
  </r>
  <r>
    <x v="23"/>
    <s v="[MODE:summary_code_explanation]_x000a_Sudah berhasil untuk perbaikan sebelumnya. Sekarang kita harus membuat confusion matrix dari hasil prediksi (y_pred) dan nilai sebenarnya (y)."/>
    <s v="done"/>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d v="2026-03-17T12:18:29"/>
    <x v="4"/>
    <n v="0"/>
    <n v="46"/>
    <n v="189"/>
    <n v="235"/>
    <n v="174"/>
    <n v="722"/>
    <n v="3299"/>
    <n v="4"/>
    <n v="5"/>
    <n v="5"/>
    <s v="Clear and specific about the task."/>
    <s v="Could provide more context on the data."/>
    <s v="Accurate, complete, and well-structured explanation."/>
    <s v="None."/>
    <s v="[MODE:summary_code_explanation] Setelah perbaikan sebelumnya, buatlah confusion matrix dari hasil prediksi (y_pred) dan nilai sebenarnya (y) untuk analisis lebih lanjut."/>
    <s v="Consider adding a brief explanation of confusion matrix metrics."/>
    <s v="excellent"/>
    <b v="0"/>
    <s v="gpt-4o-mini"/>
    <s v="{&quot;prompt_score&quot;: 4, &quot;response_score&quot;: 5, &quot;overall_score&quot;: 5, &quot;prompt_strengths&quot;: &quot;Clear and specific about the task.&quot;, &quot;prompt_issues&quot;: &quot;Could provide more context on the data.&quot;, &quot;response_strengths&quot;: &quot;Accurate, complete, and well-structured explanation.&quot;, &quot;response_issues&quot;: &quot;None.&quot;, &quot;prompt_rewrite&quot;: &quot;[MODE:summary_code_explanation] Setelah perbaikan sebelumnya, buatlah confusion matrix dari hasil prediksi (y_pred) dan nilai sebenarnya (y) untuk analisis lebih lanjut.&quot;, &quot;response_improvement_suggestions&quot;: &quot;Consider adding a brief explanation of confusion matrix metrics.&quot;, &quot;verdict&quot;: &quot;excellent&quot;, &quot;needs_human_review&quot;: false}"/>
    <s v="ok"/>
    <n v="5"/>
  </r>
  <r>
    <x v="23"/>
    <s v="[MODE:summary_code_explanation]_x000a_saya mau bertanya untuk menjawab pertanyaan refleksi, bagaimana perbandingan performance antara Logistic Regression dengan Random Forest? mohon jelaskan secara singkat, padat, dan jelas"/>
    <s v="done"/>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 *Logistic Regression*: cepat, baseline kuat, **interpretabel** (koefisien), butuh scaling.  _x000a_  - *Random Forest*: sering lebih akurat tanpa banyak preprocessing, tahan outlier/non-linear, tapi **kurang interpretabel** dan bisa lebih berat komputasinya."/>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 *Logistic Regression*: cepat, baseline kuat, **interpretabel** (koefisien), butuh scaling.  _x000a_  - *Random Forest*: sering lebih akurat tanpa banyak preprocessing, tahan outlier/non-linear, tapi **kurang interpretabel** dan bisa lebih berat komputasinya."/>
    <d v="2026-03-17T12:48:49"/>
    <x v="4"/>
    <n v="0"/>
    <n v="54"/>
    <n v="361"/>
    <n v="415"/>
    <n v="217"/>
    <n v="1273"/>
    <n v="3601"/>
    <n v="4"/>
    <n v="5"/>
    <n v="5"/>
    <s v="Clear and specific request for comparison."/>
    <s v="Could provide more context on the audience's knowledge level."/>
    <s v="Thorough, clear, and well-structured explanation with practical examples."/>
    <s v="None significant; could include more specific metrics or examples."/>
    <s v="Bagaimana perbandingan performa Logistic Regression dan Random Forest dalam konteks klasifikasi? Mohon jelaskan secara singkat dan jelas."/>
    <s v="Consider adding specific examples of datasets where each model excels."/>
    <s v="excellent"/>
    <b v="0"/>
    <s v="gpt-4o-mini"/>
    <s v="{&quot;prompt_score&quot;: 4, &quot;response_score&quot;: 5, &quot;overall_score&quot;: 5, &quot;prompt_strengths&quot;: &quot;Clear and specific request for comparison.&quot;, &quot;prompt_issues&quot;: &quot;Could provide more context on the audience's knowledge level.&quot;, &quot;response_strengths&quot;: &quot;Thorough, clear, and well-structured explanation with practical examples.&quot;, &quot;response_issues&quot;: &quot;None significant; could include more specific metrics or examples.&quot;, &quot;prompt_rewrite&quot;: &quot;Bagaimana perbandingan performa Logistic Regression dan Random Forest dalam konteks klasifikasi? Mohon jelaskan secara singkat dan jelas.&quot;, &quot;response_improvement_suggestions&quot;: &quot;Consider adding specific examples of datasets where each model excels.&quot;, &quot;verdict&quot;: &quot;excellent&quot;, &quot;needs_human_review&quot;: false}"/>
    <s v="ok"/>
    <n v="5"/>
  </r>
  <r>
    <x v="23"/>
    <s v="[MODE:summary_code_explanation]_x000a_Pertama kita akan membahas 1. Regularized Linear Regression_x000a__x000a_Bagian pertama dari praktikum membahas bagaimana anda akan mengimplementasi regularized linear regression untuk memprediksi jumlah air yang mengalir keluar dari bendungan dengan menggunakan perubahan ketinggian air di dalam waduk._x000a__x000a_1.1 Visualisasi dataset_x000a_Kita akan mulai dengan memvisualisasikan dataset yang berisi history tentang perubahan ketinggian air,  x , dan jumlah air yang mengalir keluar dari bendungan,  y ._x000a__x000a_This dataset is divided into three parts:_x000a__x000a_Data latih (train set) yang akan dipelajari oleh model anda: X, y_x000a_Data validasi (validation set) untuk menentukan parameter regularisasi: Xval, yval_x000a_Data uji (test set) untuk mengevaluasi kinerja model anda. Ini adalah contoh-contoh data &quot;tak terlihat&quot; yang tidak dilihat model anda selama training: Xtest, ytest_x000a__x000a_Selanjutnya, kita akan plot the training data sbb: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Output: _x000a_Loading and Visualizing data ..._x000a_Text(0, 0.5, 'Water following out of the dam (y)')_x000a__x000a_1.2 Regularized linear regression cost function_x000a_Seperti yang sudah dijelaskan di kelas bahwa regularized linear regression memiliki cost function berikut:_x000a_ α  adalah parameter regularisasi yang mengontrol derajat regularisasi._x000a__x000a_Suku regularisasi memberi penalti pada keseluruhan cost function  J . Saat parameter model  Î¸j  meningkat, penalti juga meningkat. Perhatikan bahwa anda sebaiknya tidak mengatur suku  Î¸0 .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    m = y.size_x000a_    theta = theta.reshape(-1)  # pastikan 1D_x000a__x000a_    # Jika x belum punya kolom bias, tambahkan_x000a_    if x.ndim == 1:_x000a_        x = x.reshape(-1, 1)_x000a_    if x.shape[1] == theta.size - 1:_x000a_        x = np.c_[np.ones((m, 1)), x]_x000a__x000a_    # Prediksi dan error_x000a_    h = x @ theta_x000a_    error = h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    m = y.size_x000a_    theta = theta.reshape(-1)  # pastikan 1D_x000a__x000a_    # Jika x belum punya kolom bias, tambahkan_x000a_    if x.ndim == 1:_x000a_        x = x.reshape(-1, 1)_x000a_    if x.shape[1] == theta.size - 1:_x000a_        x = np.c_[np.ones((m, 1)), x]_x000a__x000a_    # Prediksi dan error_x000a_    h = x @ theta_x000a_    error = h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d v="2026-04-07T12:09:53"/>
    <x v="0"/>
    <n v="0"/>
    <n v="923"/>
    <n v="445"/>
    <n v="1368"/>
    <n v="3430"/>
    <n v="1309"/>
    <n v="4419"/>
    <n v="4"/>
    <n v="5"/>
    <n v="5"/>
    <s v="Detailed and specific instructions for implementing regularized linear regression."/>
    <s v="Could be more concise; some parts are overly verbose."/>
    <s v="Correct implementation of the cost and gradient functions with clear explanations."/>
    <s v="None significant; response is complete and clear."/>
    <s v="[MODE:summary_code_explanation] Implement regularized linear regression to predict water flow from dam height changes. Visualize the dataset, split into training, validation, and test sets. Complete the function linearRegCostFunction to calculate the cost and gradient, ensuring theta[0] is not regularized. Validate with theta initialized to [1, 1] to achieve a cost near 303.993."/>
    <s v="None; the response is already well-structured and informative."/>
    <s v="excellent"/>
    <b v="0"/>
    <s v="gpt-4o-mini"/>
    <s v="{&quot;prompt_score&quot;: 4, &quot;response_score&quot;: 5, &quot;overall_score&quot;: 5, &quot;prompt_strengths&quot;: &quot;Detailed and specific instructions for implementing regularized linear regression.&quot;, &quot;prompt_issues&quot;: &quot;Could be more concise; some parts are overly verbose.&quot;, &quot;response_strengths&quot;: &quot;Correct implementation of the cost and gradient functions with clear explanations.&quot;, &quot;response_issues&quot;: &quot;None significant; response is complete and clear.&quot;, &quot;prompt_rewrite&quot;: &quot;[MODE:summary_code_explanation] Implement regularized linear regression to predict water flow from dam height changes. Visualize the dataset, split into training, validation, and test sets. Complete the function linearRegCostFunction to calculate the cost and gradient, ensuring theta[0] is not regularized. Validate with theta initialized to [1, 1] to achieve a cost near 303.993.&quot;, &quot;response_improvement_suggestions&quot;: &quot;None; the response is already well-structured and informative.&quot;, &quot;verdict&quot;: &quot;excellent&quot;, &quot;needs_human_review&quot;: false}"/>
    <s v="ok"/>
    <n v="5"/>
  </r>
  <r>
    <x v="23"/>
    <s v="[MODE:code]_x000a_Sekarang saya kana mengerjakan UTS praktikum berikut yang diminta:_x000a__x000a_Pada ujian ini, Anda diminta untuk: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_x000a_Outline_x000a_Setup dan load dataset_x000a_Exploratory Data Analysis (EDA)_x000a_Persiapan fitur dan target_x000a_Pemodelan regresi_x000a_Pemodelan klasifikasi berbasis hasil regresi_x000a_Bonus_x000a__x000a_Outlinenya sudah diberikan dan kita hanya tinggal jalankan: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Sekarang kita diminta untuk mengerjakan Bagian 1 yaitu Load daaset. Berikut perintahnya:_x000a__x000a_Bagian 1 - Load Dataset_x000a_Lakukan langkah berikut:_x000a__x000a_Load dataset student_exam_performance_dataset (1).csv._x000a_Tampilkan 5 baris pertama._x000a_Tampilkan ukuran dataset (jumlah baris dan kolom)._x000a_Tampilkan tipe data setiap kolom."/>
    <s v="done"/>
    <s v="#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
    <s v="```python_x000a_#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_x000a_```"/>
    <d v="2026-04-14T10:36:35"/>
    <x v="3"/>
    <n v="0"/>
    <n v="582"/>
    <n v="116"/>
    <n v="698"/>
    <n v="2302"/>
    <n v="367"/>
    <n v="4834"/>
    <n v="4"/>
    <n v="5"/>
    <n v="5"/>
    <s v="Detailed instructions and clear structure."/>
    <s v="Could be slightly more concise."/>
    <s v="Correct implementation of the task with clear output."/>
    <s v="None."/>
    <s v="Mengerjakan UTS praktikum: Pahami dataset akademik mahasiswa, tentukan fitur untuk regresi dan klasifikasi, bangun model regresi untuk memprediksi final_exam_score, dan model klasifikasi untuk memprediksi pass_fail. Evaluasi model dan tulis interpretasi hasil. Gunakan dataset student_exam_performance_dataset (1).csv dan hindari target leakage. Fokus pada alur berpikir dan interpretasi hasil."/>
    <s v="Consider adding comments to explain each step of the code."/>
    <s v="excellent"/>
    <b v="0"/>
    <s v="gpt-4o-mini"/>
    <s v="{&quot;prompt_score&quot;: 4, &quot;response_score&quot;: 5, &quot;overall_score&quot;: 5, &quot;prompt_strengths&quot;: &quot;Detailed instructions and clear structure.&quot;, &quot;prompt_issues&quot;: &quot;Could be slightly more concise.&quot;, &quot;response_strengths&quot;: &quot;Correct implementation of the task with clear output.&quot;, &quot;response_issues&quot;: &quot;None.&quot;, &quot;prompt_rewrite&quot;: &quot;Mengerjakan UTS praktikum: Pahami dataset akademik mahasiswa, tentukan fitur untuk regresi dan klasifikasi, bangun model regresi untuk memprediksi final_exam_score, dan model klasifikasi untuk memprediksi pass_fail. Evaluasi model dan tulis interpretasi hasil. Gunakan dataset student_exam_performance_dataset (1).csv dan hindari target leakage. Fokus pada alur berpikir dan interpretasi hasil.&quot;, &quot;response_improvement_suggestions&quot;: &quot;Consider adding comments to explain each step of the code.&quot;, &quot;verdict&quot;: &quot;excellent&quot;, &quot;needs_human_review&quot;: false}"/>
    <s v="ok"/>
    <n v="5"/>
  </r>
  <r>
    <x v="24"/>
    <s v="[MODE:code]_x000a_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done"/>
    <s v="from sklearn.pipeline import Pipeline_x000a_from sklearn.svm import SVR_x000a__x000a_svr_pipeline = Pipeline([_x000a_    (&quot;preprocessing&quot;, preprocessing),_x000a_    (&quot;svr&quot;, SVR())_x000a_])"/>
    <s v="```python_x000a_from sklearn.pipeline import Pipeline_x000a_from sklearn.svm import SVR_x000a__x000a_svr_pipeline = Pipeline([_x000a_    (&quot;preprocessing&quot;, preprocessing),_x000a_    (&quot;svr&quot;, SVR())_x000a_])_x000a_```"/>
    <d v="2026-02-24T13:23:12"/>
    <x v="1"/>
    <n v="0"/>
    <n v="213"/>
    <n v="40"/>
    <n v="253"/>
    <n v="917"/>
    <n v="166"/>
    <n v="322"/>
    <n v="3"/>
    <n v="4"/>
    <n v="4"/>
    <s v="Detailed and specific about the data processing steps."/>
    <s v="Some parts are overly complex and could be clearer."/>
    <s v="Correctly implements the requested pipeline in Python."/>
    <s v="Lacks explanation or context for the code provided."/>
    <s v="Bagaimana cara membuat pipeline dengan preprocessing dan SVR() setelah memproses data dari housing_labels dan membuat kelas ClusterSimilarity?"/>
    <s v="Add comments to explain each part of the code for clarity."/>
    <s v="good"/>
    <b v="0"/>
    <s v="gpt-4o-mini"/>
    <s v="{&quot;prompt_score&quot;: 3, &quot;response_score&quot;: 4, &quot;overall_score&quot;: 4, &quot;prompt_strengths&quot;: &quot;Detailed and specific about the data processing steps.&quot;, &quot;prompt_issues&quot;: &quot;Some parts are overly complex and could be clearer.&quot;, &quot;response_strengths&quot;: &quot;Correctly implements the requested pipeline in Python.&quot;, &quot;response_issues&quot;: &quot;Lacks explanation or context for the code provided.&quot;, &quot;prompt_rewrite&quot;: &quot;Bagaimana cara membuat pipeline dengan preprocessing dan SVR() setelah memproses data dari housing_labels dan membuat kelas ClusterSimilarity?&quot;, &quot;response_improvement_suggestions&quot;: &quot;Add comments to explain each part of the code for clarity.&quot;, &quot;verdict&quot;: &quot;good&quot;, &quot;needs_human_review&quot;: false}"/>
    <s v="ok"/>
    <n v="4"/>
  </r>
  <r>
    <x v="24"/>
    <s v="[MODE:summary_code_explanation]_x000a_Kita juga telah menggunakan GridSearchCV dengan svr_pipeline, param_grid, 3-fold cross-validation dan scoring adalah neg_root_mean_squared_error. Kita juga telah melatih grid_search tersebut dengan 6000 data pertama dengan kode sebagai berikut:_x000a_```_x000a_# Latih grid_search dengan 6000 data pertama_x000a_n = 6000_x000a_X_6000 = housing.iloc[:n]_x000a_y_6000 = housing_labels[:n] if isinstance(housing_labels, np.ndarray) else housing_labels.iloc[:n]_x000a__x000a_grid_search.fit(X_6000, y_6000)_x000a_```_x000a_kode tersebut sudah berjalan, sudah diketahui juga best_rmse = -grid_search.best_score_ Sekarang tugas kita adalah untuk menampilkan best hyperparameter dari hasil grid_search tersebut, berikan kode untuk menampilkan hyperparameter dari hasil grid_search tersebut!"/>
    <s v="done"/>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d v="2026-02-24T15:24:56"/>
    <x v="1"/>
    <n v="0"/>
    <n v="189"/>
    <n v="124"/>
    <n v="313"/>
    <n v="761"/>
    <n v="447"/>
    <n v="351"/>
    <n v="4"/>
    <n v="5"/>
    <n v="4"/>
    <s v="Clear context and specific task."/>
    <s v="Could provide more detail on expected output format."/>
    <s v="Correct and complete explanation with clear code."/>
    <s v="None."/>
    <s v="Tampilkan kode untuk menampilkan best hyperparameter dari hasil grid_search setelah menggunakan GridSearchCV dengan svr_pipeline."/>
    <s v="None needed; response is already clear and complete."/>
    <s v="good"/>
    <b v="0"/>
    <s v="gpt-4o-mini"/>
    <s v="{&quot;prompt_score&quot;: 4, &quot;response_score&quot;: 5, &quot;overall_score&quot;: 4, &quot;prompt_strengths&quot;: &quot;Clear context and specific task.&quot;, &quot;prompt_issues&quot;: &quot;Could provide more detail on expected output format.&quot;, &quot;response_strengths&quot;: &quot;Correct and complete explanation with clear code.&quot;, &quot;response_issues&quot;: &quot;None.&quot;, &quot;prompt_rewrite&quot;: &quot;Tampilkan kode untuk menampilkan best hyperparameter dari hasil grid_search setelah menggunakan GridSearchCV dengan svr_pipeline.&quot;, &quot;response_improvement_suggestions&quot;: &quot;None needed; response is already clear and complete.&quot;, &quot;verdict&quot;: &quot;good&quot;, &quot;needs_human_review&quot;: false}"/>
    <s v="ok"/>
    <n v="4"/>
  </r>
  <r>
    <x v="24"/>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Prompt]_x000a_Tugas kali ini adalah untuk_x000a_1. Load dataset `student_exam_performance_dataset (1).csv`._x000a_2. Tampilkan 5 baris pertama._x000a_3. Tampilkan ukuran dataset (jumlah baris dan kolom)._x000a_4. Tampilkan tipe data setiap kolom._x000a__x000a_Perbaikilah kode ini agar tugas tersebut dapat dilakukan:_x000a_```_x000a_dataframe = pd.read_csv(&quot;student_exam_performance_dataset (1).csv&quot;)_x000a_dataframe_x000a_print(&quot;Shape dataset:&quot;, dataframe.shape)_x000a_dataframe.dtypes_x000a_```"/>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d v="2026-04-14T10:42:42"/>
    <x v="3"/>
    <n v="0"/>
    <n v="323"/>
    <n v="256"/>
    <n v="579"/>
    <n v="1238"/>
    <n v="833"/>
    <n v="388"/>
    <n v="4"/>
    <n v="5"/>
    <n v="5"/>
    <s v="Clear and specific instructions with context provided."/>
    <s v="Could include more details on expected output format."/>
    <s v="Correct and complete code with clear explanations."/>
    <s v="None significant; all aspects of the task addressed."/>
    <s v="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Tugas kali ini adalah untuk 1. Load dataset `student_exam_performance_dataset (1).csv`. 2. Tampilkan 5 baris pertama. 3. Tampilkan ukuran dataset (jumlah baris dan kolom). 4. Tampilkan tipe data setiap kolom. Pastikan output ditampilkan dengan jelas."/>
    <s v="Consider adding examples of expected output for clarity."/>
    <s v="excellent"/>
    <b v="0"/>
    <s v="gpt-4o-mini"/>
    <s v="{&quot;prompt_score&quot;: 4, &quot;response_score&quot;: 5, &quot;overall_score&quot;: 5, &quot;prompt_strengths&quot;: &quot;Clear and specific instructions with context provided.&quot;, &quot;prompt_issues&quot;: &quot;Could include more details on expected output format.&quot;, &quot;response_strengths&quot;: &quot;Correct and complete code with clear explanations.&quot;, &quot;response_issues&quot;: &quot;None significant; all aspects of the task addressed.&quot;, &quot;prompt_rewrite&quot;: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Tugas kali ini adalah untuk 1. Load dataset `student_exam_performance_dataset (1).csv`. 2. Tampilkan 5 baris pertama. 3. Tampilkan ukuran dataset (jumlah baris dan kolom). 4. Tampilkan tipe data setiap kolom. Pastikan output ditampilkan dengan jelas.&quot;, &quot;response_improvement_suggestions&quot;: &quot;Consider adding examples of expected output for clarity.&quot;, &quot;verdict&quot;: &quot;excellent&quot;, &quot;needs_human_review&quot;: false}"/>
    <s v="ok"/>
    <n v="5"/>
  </r>
  <r>
    <x v="24"/>
    <s v="[MODE:summary_code_explanation]_x000a_[ASSESSMENT_ID:1771cf76-0a65-11f1-b762-3e0936ad7efb]_x000a_[FORCE_GPT:true]_x000a_[AUTO_FALLBACK:true]_x000a_kode tersebut mengalami NameError: name 'preprocessing' is not defined_x000a__x000a_padahal sudah didefinisikan: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_x000a_lalu param_grid sudah didefinisikan juga: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tetapi kode berikut tidak berfungsi:_x000a_```_x000a_svr_pipeline = Pipeline([_x000a_    (&quot;preprocessing&quot;, preprocessing),_x000a_    (&quot;svr&quot;, SVR())_x000a_])_x000a_```"/>
    <s v="done"/>
    <s v="**SUMMARY**  _x000a_`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_x000a__x000a_```python_x000a_# 1) Pastikan semua import yang dipakai oleh preprocessing sudah ada_x000a_from sklearn.compose import ColumnTransformer, make_column_selector_x000a_from sklearn.pipeline import Pipeline_x000a_from sklearn.svm import SVR_x000a_from sklearn.model_selection import GridSearchCV_x000a__x000a_# 2) (Opsional tapi sangat membantu) cek apakah preprocessing benar-benar sudah terdefinisi_x000a_# Jalankan setelah cell definisi preprocessing dieksekusi_x000a_print(&quot;preprocessing defined?&quot;, &quot;preprocessing&quot; in globals())_x000a__x000a_# 3) Buat pipeline_x000a_svr_pipeline = Pipeline(steps=[_x000a_    (&quot;preprocessing&quot;, preprocessing),_x000a_    (&quot;svr&quot;, SVR())_x000a_])_x000a__x000a_# 4) (Opsional) Hyperparameter tuning_x000a_grid_search = GridSearchCV(_x000a_    svr_pipeline,_x000a_    param_grid=param_grid,_x000a_    cv=5,_x000a_    scoring=&quot;neg_root_mean_squared_error&quot;,_x000a_    n_jobs=-1_x000a_)_x000a__x000a_# 5) Fit_x000a_grid_search.fit(housing, housing_labels)_x000a__x000a_best_model = grid_search.best_estimator__x000a_best_model_x000a_```_x000a__x000a_**EXPLANATION**  _x000a_- Error ini **bukan** karena sintaks `Pipeline`, tapi karena Python tidak menemukan nama `preprocessing` pada saat baris pipeline dieksekusi.  _x000a_- Penyebab paling umum:_x000a_  1) Cell yang mendefinisikan `preprocessing` belum dijalankan / kernel restart.  _x000a_  2) Saat mendefinisikan `preprocessing` terjadi error (mis. `ratio_pipeline`, `log_pipeline`, `cluster_simil`, `cat_pipeline`, atau `default_num_pipeline` belum ada), sehingga assignment `preprocessing = ...` tidak pernah sukses.  _x000a_  3) Kamu menjalankan pipeline di file/notebook berbeda (scope berbeda).  _x000a_- `print(&quot;preprocessing&quot; in globals())` membantu memastikan variabelnya benar-benar sudah ada sebelum membuat pipeline."/>
    <s v="**SUMMARY**  _x000a_`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_x000a__x000a_```python_x000a_# 1) Pastikan semua import yang dipakai oleh preprocessing sudah ada_x000a_from sklearn.compose import ColumnTransformer, make_column_selector_x000a_from sklearn.pipeline import Pipeline_x000a_from sklearn.svm import SVR_x000a_from sklearn.model_selection import GridSearchCV_x000a__x000a_# 2) (Opsional tapi sangat membantu) cek apakah preprocessing benar-benar sudah terdefinisi_x000a_# Jalankan setelah cell definisi preprocessing dieksekusi_x000a_print(&quot;preprocessing defined?&quot;, &quot;preprocessing&quot; in globals())_x000a__x000a_# 3) Buat pipeline_x000a_svr_pipeline = Pipeline(steps=[_x000a_    (&quot;preprocessing&quot;, preprocessing),_x000a_    (&quot;svr&quot;, SVR())_x000a_])_x000a__x000a_# 4) (Opsional) Hyperparameter tuning_x000a_grid_search = GridSearchCV(_x000a_    svr_pipeline,_x000a_    param_grid=param_grid,_x000a_    cv=5,_x000a_    scoring=&quot;neg_root_mean_squared_error&quot;,_x000a_    n_jobs=-1_x000a_)_x000a__x000a_# 5) Fit_x000a_grid_search.fit(housing, housing_labels)_x000a__x000a_best_model = grid_search.best_estimator__x000a_best_model_x000a_```_x000a__x000a_**EXPLANATION**  _x000a_- Error ini **bukan** karena sintaks `Pipeline`, tapi karena Python tidak menemukan nama `preprocessing` pada saat baris pipeline dieksekusi.  _x000a_- Penyebab paling umum:_x000a_  1) Cell yang mendefinisikan `preprocessing` belum dijalankan / kernel restart.  _x000a_  2) Saat mendefinisikan `preprocessing` terjadi error (mis. `ratio_pipeline`, `log_pipeline`, `cluster_simil`, `cat_pipeline`, atau `default_num_pipeline` belum ada), sehingga assignment `preprocessing = ...` tidak pernah sukses.  _x000a_  3) Kamu menjalankan pipeline di file/notebook berbeda (scope berbeda).  _x000a_- `print(&quot;preprocessing&quot; in globals())` membantu memastikan variabelnya benar-benar sudah ada sebelum membuat pipeline."/>
    <d v="2026-02-24T13:30:29"/>
    <x v="1"/>
    <n v="0"/>
    <n v="417"/>
    <n v="514"/>
    <n v="931"/>
    <n v="1479"/>
    <n v="1967"/>
    <n v="419"/>
    <n v="4"/>
    <n v="5"/>
    <n v="5"/>
    <s v="Clear and specific about the error and context."/>
    <s v="Could provide more context on the environment (e.g., Jupyter notebook)."/>
    <s v="Thorough explanation of the error with actionable steps to resolve it."/>
    <s v="None significant; all aspects of the error are addressed."/>
    <s v="Explain the NameError related to 'preprocessing' in the context of a Python script or Jupyter notebook."/>
    <s v="Consider adding examples of common mistakes that lead to this error."/>
    <s v="excellent"/>
    <b v="0"/>
    <s v="gpt-4o-mini"/>
    <s v="{&quot;prompt_score&quot;: 4, &quot;response_score&quot;: 5, &quot;overall_score&quot;: 5, &quot;prompt_strengths&quot;: &quot;Clear and specific about the error and context.&quot;, &quot;prompt_issues&quot;: &quot;Could provide more context on the environment (e.g., Jupyter notebook).&quot;, &quot;response_strengths&quot;: &quot;Thorough explanation of the error with actionable steps to resolve it.&quot;, &quot;response_issues&quot;: &quot;None significant; all aspects of the error are addressed.&quot;, &quot;prompt_rewrite&quot;: &quot;Explain the NameError related to 'preprocessing' in the context of a Python script or Jupyter notebook.&quot;, &quot;response_improvement_suggestions&quot;: &quot;Consider adding examples of common mistakes that lead to this error.&quot;, &quot;verdict&quot;: &quot;excellent&quot;, &quot;needs_human_review&quot;: false}"/>
    <s v="ok"/>
    <n v="5"/>
  </r>
  <r>
    <x v="24"/>
    <s v="[LANG:Python]_x000a_[MODE:summary_code_explanation]_x000a_[ASSESSMENT_ID:1771cf8b-0a65-11f1-b762-3e0936ad7efb]_x000a_[FORCE_GPT:true]_x000a_[AUTO_FALLBACK:true]_x000a_pada kode berikut: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ihasilkan 2 garis yaitu Train dan Cross Validation,_x000a_sumbu X menyatakan Number of Training Examples dan Sumbu Y menyatakan Error._x000a__x000a_Untuk Train x:y=_x000a_0:0, 2:5, 4:10, 6:20, 8:25 10:30_x000a__x000a_Untuk Cross Validation x:y=_x000a_0:infinite, 2:45, 4:35, 6:35, 8:35, 10:35_x000a__x000a_Berikut adalah pertanyaan refleksi:_x000a_Bagaimanakah performance dari model linear regression di atas?_x000a_Hint: Jelaskan dari konsep bias-nya"/>
    <s v="done"/>
    <s v="**SUMMARY**  _x000a_Dari learning curve, model linear regression menunjukkan **high bias (underfitting)**: error training naik dan menetap cukup tinggi, sementara error cross‑validation tetap tinggi dan tidak membaik signifikan saat data ditambah._x000a__x000a_```python_x000a_# Tidak ada kode tambahan—ini pertanyaan refleksi berbasis interpretasi learning curve._x000a_```_x000a__x000a_**EXPLANATION**  _x000a_- **Training error** meningkat dari ~0 ke ~30 saat jumlah contoh bertambah. Ini menandakan model tidak mampu “fit” data train dengan baik ketika data makin representatif → indikasi **bias tinggi** (model terlalu sederhana/terlalu kaku).  _x000a_-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_x000a_- **Gap train vs val kecil** (train ~30, val ~35). Pada **high variance**, biasanya train error sangat rendah tapi val error jauh lebih tinggi (gap besar). Di sini gap kecil dan keduanya tinggi → **underfitting / high bias**.  _x000a__x000a_Implikasi: untuk memperbaiki performa, perlu model yang lebih fleksibel (mis. fitur polinomial) atau mengurangi regularisasi (di sini alpha=0 sudah tidak meregularisasi), bukan sekadar menambah data."/>
    <s v="**SUMMARY**  _x000a_Dari learning curve, model linear regression menunjukkan **high bias (underfitting)**: error training naik dan menetap cukup tinggi, sementara error cross‑validation tetap tinggi dan tidak membaik signifikan saat data ditambah._x000a__x000a_```python_x000a_# Tidak ada kode tambahan—ini pertanyaan refleksi berbasis interpretasi learning curve._x000a_```_x000a__x000a_**EXPLANATION**  _x000a_- **Training error** meningkat dari ~0 ke ~30 saat jumlah contoh bertambah. Ini menandakan model tidak mampu “fit” data train dengan baik ketika data makin representatif → indikasi **bias tinggi** (model terlalu sederhana/terlalu kaku).  _x000a_-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_x000a_- **Gap train vs val kecil** (train ~30, val ~35). Pada **high variance**, biasanya train error sangat rendah tapi val error jauh lebih tinggi (gap besar). Di sini gap kecil dan keduanya tinggi → **underfitting / high bias**.  _x000a__x000a_Implikasi: untuk memperbaiki performa, perlu model yang lebih fleksibel (mis. fitur polinomial) atau mengurangi regularisasi (di sini alpha=0 sudah tidak meregularisasi), bukan sekadar menambah data."/>
    <d v="2026-04-07T13:17:34"/>
    <x v="0"/>
    <n v="0"/>
    <n v="349"/>
    <n v="379"/>
    <n v="728"/>
    <n v="1130"/>
    <n v="1354"/>
    <n v="422"/>
    <n v="4"/>
    <n v="5"/>
    <n v="4"/>
    <s v="Clear and specific about the task and context."/>
    <s v="Could provide more explicit constraints or expected format for the response."/>
    <s v="Thorough explanation of model performance with relevant details."/>
    <s v="Could be more concise in some areas."/>
    <s v="Jelaskan performa model linear regression berdasarkan learning curve yang diberikan, dengan fokus pada konsep bias."/>
    <s v="Consider summarizing key points more succinctly to enhance clarity."/>
    <s v="good"/>
    <b v="0"/>
    <s v="gpt-4o-mini"/>
    <s v="{&quot;prompt_score&quot;: 4, &quot;response_score&quot;: 5, &quot;overall_score&quot;: 4, &quot;prompt_strengths&quot;: &quot;Clear and specific about the task and context.&quot;, &quot;prompt_issues&quot;: &quot;Could provide more explicit constraints or expected format for the response.&quot;, &quot;response_strengths&quot;: &quot;Thorough explanation of model performance with relevant details.&quot;, &quot;response_issues&quot;: &quot;Could be more concise in some areas.&quot;, &quot;prompt_rewrite&quot;: &quot;Jelaskan performa model linear regression berdasarkan learning curve yang diberikan, dengan fokus pada konsep bias.&quot;, &quot;response_improvement_suggestions&quot;: &quot;Consider summarizing key points more succinctly to enhance clarity.&quot;, &quot;verdict&quot;: &quot;good&quot;, &quot;needs_human_review&quot;: false}"/>
    <s v="ok"/>
    <n v="4"/>
  </r>
  <r>
    <x v="24"/>
    <s v="[MODE:summary]_x000a_Ini adalah soal kuis, mohon periksa apakah jawaban saya sudah tepat atu belum_x000a__x000a_Apa fungsi OneHotEncoder?_x000a_[ ] Menghapus fitur_x000a_[ ] Menghapus dataset_x000a_[ ] Mengubah label_x000a_[x] Mengubah kategori menjadi numerik_x000a__x000a_RMSE digunakan untuk:_x000a_[x] Mengukur error regresi_x000a_[ ] Menghapus outlier_x000a_[ ] Menghitung jumlah fitur_x000a_[ ] Mengukur akurasi klasifikasi_x000a__x000a_Perbedaan RMSE dan MAE?_x000a_[ ] MAE lebih sensitif terhadap outlier_x000a_[ ] MAE hanya untuk clustering_x000a_[ ] RMSE hanya untuk klasifikasi_x000a_[x] RMSE lebih sensitif terhadap outlier"/>
    <s v="done"/>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d v="2026-03-10T09:37:40"/>
    <x v="2"/>
    <n v="0"/>
    <n v="159"/>
    <n v="84"/>
    <n v="243"/>
    <n v="521"/>
    <n v="302"/>
    <n v="1661"/>
    <n v="4"/>
    <n v="5"/>
    <n v="4"/>
    <s v="Clear and specific quiz questions."/>
    <s v="Could provide more context on the quiz topic."/>
    <s v="Accurate, clear, and complete feedback."/>
    <s v="Could elaborate more on the implications of RMSE sensitivity."/>
    <s v="Periksa jawaban kuis berikut tentang OneHotEncoder dan RMSE: Apa fungsi OneHotEncoder? [ ] Menghapus fitur [ ] Menghapus dataset [ ] Mengubah label [x] Mengubah kategori menjadi numerik. RMSE digunakan untuk: [x] Mengukur error regresi [ ] Menghapus outlier [ ] Menghitung jumlah fitur [ ] Mengukur akurasi klasifikasi. Apa perbedaan RMSE dan MAE? [ ] MAE lebih sensitif terhadap outlier [ ] MAE hanya untuk clustering [ ] RMSE hanya untuk klasifikasi [x] RMSE lebih sensitif terhadap outlier."/>
    <s v="Include examples of how RMSE sensitivity affects model evaluation."/>
    <s v="good"/>
    <b v="0"/>
    <s v="gpt-4o-mini"/>
    <s v="{&quot;prompt_score&quot;: 4, &quot;response_score&quot;: 5, &quot;overall_score&quot;: 4, &quot;prompt_strengths&quot;: &quot;Clear and specific quiz questions.&quot;, &quot;prompt_issues&quot;: &quot;Could provide more context on the quiz topic.&quot;, &quot;response_strengths&quot;: &quot;Accurate, clear, and complete feedback.&quot;, &quot;response_issues&quot;: &quot;Could elaborate more on the implications of RMSE sensitivity.&quot;, &quot;prompt_rewrite&quot;: &quot;Periksa jawaban kuis berikut tentang OneHotEncoder dan RMSE: Apa fungsi OneHotEncoder? [ ] Menghapus fitur [ ] Menghapus dataset [ ] Mengubah label [x] Mengubah kategori menjadi numerik. RMSE digunakan untuk: [x] Mengukur error regresi [ ] Menghapus outlier [ ] Menghitung jumlah fitur [ ] Mengukur akurasi klasifikasi. Apa perbedaan RMSE dan MAE? [ ] MAE lebih sensitif terhadap outlier [ ] MAE hanya untuk clustering [ ] RMSE hanya untuk klasifikasi [x] RMSE lebih sensitif terhadap outlier.&quot;, &quot;response_improvement_suggestions&quot;: &quot;Include examples of how RMSE sensitivity affects model evaluation.&quot;, &quot;verdict&quot;: &quot;good&quot;, &quot;needs_human_review&quot;: false}"/>
    <s v="ok"/>
    <n v="4"/>
  </r>
  <r>
    <x v="24"/>
    <s v="[MODE:summary_code_explanation]_x000a_[ASSESSMENT_ID:1771cf8e-0a65-11f1-b762-3e0936ad7efb]_x000a_[FORCE_GPT:true]_x000a_[AUTO_FALLBACK:true]_x000a_Jawablah pertanyaan pertanyaan berikut_x000a_Beberapa pertanyaan sudah terjawab, [!] menandakan dijawab dengan asal, sedangkan [x] menandakan saya cukup yakin dengan jawaban itu, tetapi jawaban tetap belum tentu benar._x000a__x000a_Lasso Regression menggunakan penalti_x000a_[ ] L2_x000a_[ ] L0_x000a_[ ] MSE_x000a_[x] L1_x000a__x000a_SGD menggunakan_x000a_[ ] Semua data_x000a_[ ] 1 sampel_x000a_[ ] Tidak ada data_x000a_[ ] Batch besar_x000a__x000a_Output sigmoid berada pada_x000a_[ ] (0…∞)_x000a_[ ] (-1…1)_x000a_[ ] (-∞…∞)_x000a_[ ] (0…1)_x000a__x000a_Gradient Descent bekerja dengan_x000a_[ ] Naik gradien_x000a_[ ] Sampling_x000a_[x] Iterasi menuruni gradien_x000a_[ ] Random search_x000a__x000a_Regularization bertujuan_x000a_[x] Mengurangi overfitting_x000a_[ ] Menambah error_x000a_[ ] Menghapus data_x000a_[ ] Menambah fitur_x000a__x000a_Sigmoid(0)= …; Gunakan fungsi sigmoid_x000a_[ ] 0_x000a_[ ] 0.5_x000a_[ ] 0.25_x000a_[ ] 1_x000a__x000a_Fungsi aktivasi logistic regression_x000a_[ ] ReLU_x000a_[ ] Sigmoid_x000a_[ ] Linear_x000a_[ ] Tanh_x000a__x000a_Learning rate terlalu besar menyebabkan_x000a_[!] Lambat_x000a_[ ] Divergen_x000a_[ ] Stabil_x000a_[ ] Optimal_x000a__x000a_Pseudoinverse digunakan jika_x000a_[ ] Matriks singular_x000a_[!] Data besar_x000a_[ ] Tidak ada noise_x000a_[ ] Data kecil_x000a__x000a_Diketahui y = 2 + 3x dan x=4; maka y = ?_x000a_[ ] 16_x000a_[ ] 12_x000a_[ ] 10_x000a_[x] 14"/>
    <s v="done"/>
    <s v="**SUMMARY**  _x000a_Berikut kunci jawaban yang benar untuk tiap soal; sebagian besar jawaban [x] kamu sudah tepat, dan yang [!] perlu dikoreksi._x000a__x000a_```text_x000a_1) Lasso Regression menggunakan penalti_x000a_   -&gt; L1_x000a__x000a_2) SGD menggunakan_x000a_   -&gt; 1 sampel_x000a__x000a_3) Output sigmoid berada pada_x000a_   -&gt; (0…1)_x000a__x000a_4) Gradient Descent bekerja dengan_x000a_   -&gt; Iterasi menuruni gradien_x000a__x000a_5) Regularization bertujuan_x000a_   -&gt; Mengurangi overfitting_x000a__x000a_6) Sigmoid(0)=_x000a_   -&gt; 0.5_x000a__x000a_7) Fungsi aktivasi logistic regression_x000a_   -&gt; Sigmoid_x000a__x000a_8) Learning rate terlalu besar menyebabkan_x000a_   -&gt; Divergen_x000a__x000a_9) Pseudoinverse digunakan jika_x000a_   -&gt; Matriks singular  (atau tidak invertible / tidak persegi)_x000a__x000a_10) Diketahui y = 2 + 3x dan x=4; maka y =_x000a_   -&gt; 14_x000a_```_x000a__x000a_**EXPLANATION (singkat)**  _x000a_1) Lasso = regularisasi L1 (mendorong koefisien jadi 0).  _x000a_2) SGD meng-update parameter memakai 1 contoh per langkah (berbeda dari batch/mini-batch).  _x000a_3) Sigmoid memetakan bilangan real ke probabilitas di (0,1).  _x000a_4) GD meminimalkan loss dengan bergerak berlawanan arah gradien secara iteratif.  _x000a_5) Regularisasi menambah penalti kompleksitas agar model tidak overfit.  _x000a_6) \(\sigma(0)=1/(1+e^0)=1/2=0.5\).  _x000a_7) Logistic regression memakai sigmoid untuk menghasilkan probabilitas kelas.  _x000a_8) Learning rate terlalu besar bisa “melompati” minimum → tidak konvergen (divergen/berosilasi).  _x000a_9) Pseudoinverse (Moore–Penrose) dipakai saat inverse biasa tidak ada (mis. matriks singular atau non-square).  _x000a_10) \(y=2+3\cdot 4=14\)."/>
    <s v="**SUMMARY**  _x000a_Berikut kunci jawaban yang benar untuk tiap soal; sebagian besar jawaban [x] kamu sudah tepat, dan yang [!] perlu dikoreksi._x000a__x000a_```text_x000a_1) Lasso Regression menggunakan penalti_x000a_   -&gt; L1_x000a__x000a_2) SGD menggunakan_x000a_   -&gt; 1 sampel_x000a__x000a_3) Output sigmoid berada pada_x000a_   -&gt; (0…1)_x000a__x000a_4) Gradient Descent bekerja dengan_x000a_   -&gt; Iterasi menuruni gradien_x000a__x000a_5) Regularization bertujuan_x000a_   -&gt; Mengurangi overfitting_x000a__x000a_6) Sigmoid(0)=_x000a_   -&gt; 0.5_x000a__x000a_7) Fungsi aktivasi logistic regression_x000a_   -&gt; Sigmoid_x000a__x000a_8) Learning rate terlalu besar menyebabkan_x000a_   -&gt; Divergen_x000a__x000a_9) Pseudoinverse digunakan jika_x000a_   -&gt; Matriks singular  (atau tidak invertible / tidak persegi)_x000a__x000a_10) Diketahui y = 2 + 3x dan x=4; maka y =_x000a_   -&gt; 14_x000a_```_x000a__x000a_**EXPLANATION (singkat)**  _x000a_1) Lasso = regularisasi L1 (mendorong koefisien jadi 0).  _x000a_2) SGD meng-update parameter memakai 1 contoh per langkah (berbeda dari batch/mini-batch).  _x000a_3) Sigmoid memetakan bilangan real ke probabilitas di (0,1).  _x000a_4) GD meminimalkan loss dengan bergerak berlawanan arah gradien secara iteratif.  _x000a_5) Regularisasi menambah penalti kompleksitas agar model tidak overfit.  _x000a_6) \(\sigma(0)=1/(1+e^0)=1/2=0.5\).  _x000a_7) Logistic regression memakai sigmoid untuk menghasilkan probabilitas kelas.  _x000a_8) Learning rate terlalu besar bisa “melompati” minimum → tidak konvergen (divergen/berosilasi).  _x000a_9) Pseudoinverse (Moore–Penrose) dipakai saat inverse biasa tidak ada (mis. matriks singular atau non-square).  _x000a_10) \(y=2+3\cdot 4=14\)."/>
    <d v="2026-04-14T10:00:32"/>
    <x v="3"/>
    <n v="0"/>
    <n v="449"/>
    <n v="487"/>
    <n v="936"/>
    <n v="1177"/>
    <n v="1448"/>
    <n v="2094"/>
    <n v="3"/>
    <n v="4"/>
    <n v="3"/>
    <s v="Addresses multiple questions clearly."/>
    <s v="Some questions lack context and clarity."/>
    <s v="Provides correct answers and clear explanations."/>
    <s v="Some explanations could be more concise."/>
    <s v="Jawablah pertanyaan berikut tentang Lasso Regression, SGD, dan fungsi aktivasi. Tandai jawaban yang benar dan berikan penjelasan singkat."/>
    <s v="Make explanations more concise and focused on key points."/>
    <s v="good"/>
    <b v="0"/>
    <s v="gpt-4o-mini"/>
    <s v="{&quot;prompt_score&quot;: 3, &quot;response_score&quot;: 4, &quot;overall_score&quot;: 3, &quot;prompt_strengths&quot;: &quot;Addresses multiple questions clearly.&quot;, &quot;prompt_issues&quot;: &quot;Some questions lack context and clarity.&quot;, &quot;response_strengths&quot;: &quot;Provides correct answers and clear explanations.&quot;, &quot;response_issues&quot;: &quot;Some explanations could be more concise.&quot;, &quot;prompt_rewrite&quot;: &quot;Jawablah pertanyaan berikut tentang Lasso Regression, SGD, dan fungsi aktivasi. Tandai jawaban yang benar dan berikan penjelasan singkat.&quot;, &quot;response_improvement_suggestions&quot;: &quot;Make explanations more concise and focused on key points.&quot;, &quot;verdict&quot;: &quot;good&quot;, &quot;needs_human_review&quot;: false}"/>
    <s v="ok"/>
    <n v="4"/>
  </r>
  <r>
    <x v="24"/>
    <s v="[LANG:Python]_x000a_[MODE:summary_code_explanation]_x000a_[ASSESSMENT_ID:1771cf8b-0a65-11f1-b762-3e0936ad7efb]_x000a_[FORCE_GPT:true]_x000a_[AUTO_FALLBACK:true]_x000a_Pada kode:_x000a_```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Dihasilkan grafik dengan 2 garis yaitu Train dan Validation. Sumbu X adalah Alpha dan sumbu Y adalah Error._x000a__x000a_Garis Train bentuknya sangat linear garis lurus, x:y =_x000a_0:0, 2:5, 3:6, 4:7, 6:10, 8:12, 10:15_x000a__x000a_Garis Validation, dalam format x:y, sebagai berikut:_x000a_0:15, 2:4, 3:6, 4:6.5, 6:7, 8:8, 10:9. Setelah x=1, bentuk garis Validation ini linear menaik._x000a__x000a_Pertanyaan refleksinya sebagai berikut:_x000a_Berdasarkan plot validation curve di atas, pilih satu nilai alpha terbaik untuk Kelas A dan jelaskan alasan singkatnya._x000a__x000a_Hint: Jika ada beberapa nilai yang mirip, pilih alpha bilangan bulat yang memberikan validation error kecil dan stabil."/>
    <s v="done"/>
    <s v="**SUMMARY**  _x000a_Alpha terbaik adalah **α = 1** karena memberikan **validation error paling kecil** sekaligus sudah cukup menstabilkan model (mengurangi overfitting dibanding α=0)._x000a__x000a_```python_x000a_# pilih alpha terbaik (contoh jika Anda punya array error_val)_x000a_alpha_best = alpha_vec[np.argmin(error_val)]_x000a_alpha_best_x000a_```_x000a__x000a_**EXPLANATION**  _x000a_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
    <s v="**SUMMARY**  _x000a_Alpha terbaik adalah **α = 1** karena memberikan **validation error paling kecil** sekaligus sudah cukup menstabilkan model (mengurangi overfitting dibanding α=0)._x000a__x000a_```python_x000a_# pilih alpha terbaik (contoh jika Anda punya array error_val)_x000a_alpha_best = alpha_vec[np.argmin(error_val)]_x000a_alpha_best_x000a_```_x000a__x000a_**EXPLANATION**  _x000a_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
    <d v="2026-04-07T13:39:13"/>
    <x v="0"/>
    <n v="0"/>
    <n v="404"/>
    <n v="228"/>
    <n v="632"/>
    <n v="1324"/>
    <n v="734"/>
    <n v="2142"/>
    <n v="4"/>
    <n v="5"/>
    <n v="5"/>
    <s v="Clear instructions and context provided."/>
    <s v="Could specify the expected format of the answer more clearly."/>
    <s v="Directly addresses the question with a clear rationale and relevant code example."/>
    <s v="None significant; response is comprehensive."/>
    <s v="Pada kode: ```...``` Berdasarkan plot validation curve di atas, pilih satu nilai alpha terbaik untuk Kelas A dan jelaskan alasan singkatnya. Format jawaban: [nilai alpha, alasan]."/>
    <s v="None; response is already well-structured and informative."/>
    <s v="excellent"/>
    <b v="0"/>
    <s v="gpt-4o-mini"/>
    <s v="{&quot;prompt_score&quot;: 4, &quot;response_score&quot;: 5, &quot;overall_score&quot;: 5, &quot;prompt_strengths&quot;: &quot;Clear instructions and context provided.&quot;, &quot;prompt_issues&quot;: &quot;Could specify the expected format of the answer more clearly.&quot;, &quot;response_strengths&quot;: &quot;Directly addresses the question with a clear rationale and relevant code example.&quot;, &quot;response_issues&quot;: &quot;None significant; response is comprehensive.&quot;, &quot;prompt_rewrite&quot;: &quot;Pada kode: ```...``` Berdasarkan plot validation curve di atas, pilih satu nilai alpha terbaik untuk Kelas A dan jelaskan alasan singkatnya. Format jawaban: [nilai alpha, alasan].&quot;, &quot;response_improvement_suggestions&quot;: &quot;None; response is already well-structured and informative.&quot;, &quot;verdict&quot;: &quot;excellent&quot;, &quot;needs_human_review&quot;: false}"/>
    <s v="ok"/>
    <n v="5"/>
  </r>
  <r>
    <x v="24"/>
    <s v="[MODE:code]_x000a_[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
    <s v="done"/>
    <s v="# Latih grid_search dengan 6000 data pertama_x000a_n = 6000_x000a_X_6000 = housing.iloc[:n]_x000a_y_6000 = housing_labels[:n] if isinstance(housing_labels, np.ndarray) else housing_labels.iloc[:n]_x000a__x000a_grid_search.fit(X_6000, y_6000)"/>
    <s v="```python_x000a_# Latih grid_search dengan 6000 data pertama_x000a_n = 6000_x000a_X_6000 = housing.iloc[:n]_x000a_y_6000 = housing_labels[:n] if isinstance(housing_labels, np.ndarray) else housing_labels.iloc[:n]_x000a__x000a_grid_search.fit(X_6000, y_6000)_x000a_```"/>
    <d v="2026-02-24T15:14:23"/>
    <x v="1"/>
    <n v="0"/>
    <n v="550"/>
    <n v="72"/>
    <n v="622"/>
    <n v="2304"/>
    <n v="225"/>
    <n v="2174"/>
    <n v="4"/>
    <n v="5"/>
    <n v="4"/>
    <s v="Detailed and context-rich with clear objectives."/>
    <s v="Could be more concise; some parts are overly verbose."/>
    <s v="Directly addresses the task with correct code."/>
    <s v="Lacks comments or explanations for clarity."/>
    <s v="Praktikum ini berfokus pada pengembangan model regresi untuk memprediksi nilai median harga rumah menggunakan Support Vector Regression (SVR) dengan dataset perumahan yang berisi fitur numerik dan kategorikal. Tujuan utama adalah membangun pipeline machine learning terstruktur dengan preprocessing, rekayasa fitur, dan tuning hiperparameter menggunakan Scikit-learn. Dataset telah dimuat dan kolom null telah dianalisis. Buatlah kode untuk melatih grid_search dengan 6000 data pertama."/>
    <s v="Add comments to explain each step of the code for better understanding."/>
    <s v="good"/>
    <b v="0"/>
    <s v="gpt-4o-mini"/>
    <s v="{&quot;prompt_score&quot;: 4, &quot;response_score&quot;: 5, &quot;overall_score&quot;: 4, &quot;prompt_strengths&quot;: &quot;Detailed and context-rich with clear objectives.&quot;, &quot;prompt_issues&quot;: &quot;Could be more concise; some parts are overly verbose.&quot;, &quot;response_strengths&quot;: &quot;Directly addresses the task with correct code.&quot;, &quot;response_issues&quot;: &quot;Lacks comments or explanations for clarity.&quot;, &quot;prompt_rewrite&quot;: &quot;Praktikum ini berfokus pada pengembangan model regresi untuk memprediksi nilai median harga rumah menggunakan Support Vector Regression (SVR) dengan dataset perumahan yang berisi fitur numerik dan kategorikal. Tujuan utama adalah membangun pipeline machine learning terstruktur dengan preprocessing, rekayasa fitur, dan tuning hiperparameter menggunakan Scikit-learn. Dataset telah dimuat dan kolom null telah dianalisis. Buatlah kode untuk melatih grid_search dengan 6000 data pertama.&quot;, &quot;response_improvement_suggestions&quot;: &quot;Add comments to explain each step of the code for better understanding.&quot;, &quot;verdict&quot;: &quot;good&quot;, &quot;needs_human_review&quot;: false}"/>
    <s v="ok"/>
    <n v="4"/>
  </r>
  <r>
    <x v="24"/>
    <s v="[LANG:Python]_x000a_[MODE:summary_code_explanation]_x000a_[ASSESSMENT_ID:1771cf8e-0a65-11f1-b762-3e0936ad7efb]_x000a_[FORCE_GPT:true]_x000a_[AUTO_FALLBACK:true]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Prompt]_x000a_Tugas Regresi_x000a_* Tentukan target regresi: final_exam_score._x000a_* Pilih fitur yang relevan._x000a__x000a_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_x000a__x000a_buatlah kode untuk melakukan tugas regresi dan tugas klasifikasi itu!"/>
    <s v="done"/>
    <s v="**SUMMARY**  _x000a_Berikut pipeline lengkap: (1) regresi untuk memprediksi `final_exam_score`, lalu (2) klasifikasi `pass_fail` yang memakai fitur asli + hasil prediksi regresi sebagai fitur tambahan, dengan split 80:20._x000a__x000a_```python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EXPLANATION**  _x000a_- **Regresi**: target `final_exam_score`, fitur = semua kolom lain (numerik), split 80:20, lalu `StandardScaler + LinearRegression`.  _x000a_- **Klasifikasi**: target `pass_fail` dibentuk dari `final_exam_score` aktual memakai ambang `PASS_THRESHOLD` (diubah ke numerik 1/0).  _x000a_- **Fitur klasifikasi** ditambah kolom `predicted_final_exam_score` dari model regresi (pakai prediksi train untuk train dan prediksi test untuk test agar tidak data leakage).  _x000a_- **Model klasifikasi**: `StandardScaler + LogisticRegression`, dievaluasi dengan accuracy/precision/recall/confusion matrix (dan ROC-AUC opsional)."/>
    <s v="**SUMMARY**  _x000a_Berikut pipeline lengkap: (1) regresi untuk memprediksi `final_exam_score`, lalu (2) klasifikasi `pass_fail` yang memakai fitur asli + hasil prediksi regresi sebagai fitur tambahan, dengan split 80:20._x000a__x000a_```python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EXPLANATION**  _x000a_- **Regresi**: target `final_exam_score`, fitur = semua kolom lain (numerik), split 80:20, lalu `StandardScaler + LinearRegression`.  _x000a_- **Klasifikasi**: target `pass_fail` dibentuk dari `final_exam_score` aktual memakai ambang `PASS_THRESHOLD` (diubah ke numerik 1/0).  _x000a_- **Fitur klasifikasi** ditambah kolom `predicted_final_exam_score` dari model regresi (pakai prediksi train untuk train dan prediksi test untuk test agar tidak data leakage).  _x000a_- **Model klasifikasi**: `StandardScaler + LogisticRegression`, dievaluasi dengan accuracy/precision/recall/confusion matrix (dan ROC-AUC opsional)."/>
    <d v="2026-04-14T11:00:29"/>
    <x v="3"/>
    <n v="0"/>
    <n v="580"/>
    <n v="934"/>
    <n v="1514"/>
    <n v="2318"/>
    <n v="3318"/>
    <n v="2294"/>
    <n v="4"/>
    <n v="5"/>
    <n v="5"/>
    <s v="Clear and specific tasks with relevant context."/>
    <s v="Could provide more details on expected output format."/>
    <s v="Comprehensive, correct, and well-structured code with explanations."/>
    <s v="None significant; all tasks addressed effectively."/>
    <s v="Buatlah kode Python untuk memprediksi nilai ujian akhir mahasiswa dan mengklasifikasikan status kelulusan (Pass/Fail) berdasarkan dataset yang diberikan. Sertakan penjelasan singkat tentang setiap langkah."/>
    <s v="Consider adding comments in the code for better understanding."/>
    <s v="excellent"/>
    <b v="0"/>
    <s v="gpt-4o-mini"/>
    <s v="{&quot;prompt_score&quot;: 4, &quot;response_score&quot;: 5, &quot;overall_score&quot;: 5, &quot;prompt_strengths&quot;: &quot;Clear and specific tasks with relevant context.&quot;, &quot;prompt_issues&quot;: &quot;Could provide more details on expected output format.&quot;, &quot;response_strengths&quot;: &quot;Comprehensive, correct, and well-structured code with explanations.&quot;, &quot;response_issues&quot;: &quot;None significant; all tasks addressed effectively.&quot;, &quot;prompt_rewrite&quot;: &quot;Buatlah kode Python untuk memprediksi nilai ujian akhir mahasiswa dan mengklasifikasikan status kelulusan (Pass/Fail) berdasarkan dataset yang diberikan. Sertakan penjelasan singkat tentang setiap langkah.&quot;, &quot;response_improvement_suggestions&quot;: &quot;Consider adding comments in the code for better understanding.&quot;, &quot;verdict&quot;: &quot;excellent&quot;, &quot;needs_human_review&quot;: false}"/>
    <s v="ok"/>
    <n v="5"/>
  </r>
  <r>
    <x v="24"/>
    <s v="[LANG:Python]_x000a_[MODE:summary_code_explanation]_x000a_[ASSESSMENT_ID:1771cf87-0a65-11f1-b762-3e0936ad7efb]_x000a_[FORCE_GPT:true]_x000a_[AUTO_FALLBACK:true]_x000a_dengan: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_x000a_    X = np.asarray(X, dtype=float)_x000a_    mu = np.mean(X, axis=0)_x000a_    sigma = np.std(X, axis=0, ddof=0)_x000a_    X_norm = (X - mu) / sigma_x000a_    return X_norm, mu, sigma_x000a__x000a_X_norm, mu, sigma = feature_normalize(X)_x000a_print('mu:', mu)_x000a_print('sigma:', sigma)_x000a_print('Contoh 3 baris X_norm:\n', X_norm[:3])_x000a_```_x000a__x000a_maka didapat hasil:_x000a_```_x000a_mu: [2000.68085106    3.17021277]_x000a_sigma: [7.86202619e+02 7.52842809e-01]_x000a_Contoh 3 baris X_norm:_x000a_ [[ 0.13141542 -0.22609337]_x000a_ [-0.5096407  -0.22609337]_x000a_ [ 0.5079087  -0.22609337]]_x000a_```_x000a__x000a_Pertanyaanya adalah:_x000a_1. Mengapa feature scaling penting ketika fitur punya skala berbeda jauh?_x000a_2. Apa dampaknya terhadap kecepatan konvergensi gradient descent?"/>
    <s v="done"/>
    <s v="**SUMMARY**  _x000a_Feature scaling (normalisasi) membuat semua fitur berada pada skala yang sebanding sehingga optimisasi tidak “didominasi” oleh fitur yang angkanya besar. Dampaknya, gradient descent biasanya jauh lebih cepat konvergen dan lebih stabil untuk learning rate yang sama._x000a__x000a_```python_x000a_# Ilustrasi singkat: setelah scaling, fitur punya skala mirip (mean ~0, std ~1)_x000a_X_norm, mu, sigma = feature_normalize(X)_x000a_print(mu, sigma)_x000a_```_x000a__x000a_**EXPLANATION**  _x000a_1) **Mengapa feature scaling penting saat skala fitur jauh berbeda?**  _x000a_- Jika satu fitur bernilai ribuan (mis. luas rumah ~2000) dan fitur lain hanya satuan (mis. jumlah kamar ~3), maka kontribusi fitur besar ke perhitungan \(X\theta\) dan gradien cenderung jauh lebih dominan.  _x000a_- Secara geometris, kontur cost function menjadi “lonjong” (ill-conditioned): perubahan kecil pada parameter untuk fitur besar bisa mengubah cost jauh lebih besar dibanding fitur kecil. Ini membuat pencarian minimum lebih sulit.  _x000a_- Dengan scaling (mis. standardization: mean 0, std 1), tiap fitur punya rentang/variasi yang sebanding, sehingga setiap parameter \(\theta_j\) “bergerak” pada skala yang mirip._x000a__x000a_2) **Dampaknya terhadap kecepatan konvergensi gradient descent**  _x000a_- Tanpa scaling, gradient descent sering **zig-zag**: langkah harus kecil agar tidak “melompat” pada arah fitur berskala besar, sehingga butuh banyak iterasi.  _x000a_- Dengan scaling, permukaan cost lebih “bulat”, sehingga arah gradien lebih langsung menuju minimum → **konvergensi lebih cepat**.  _x000a_- Praktisnya: scaling memungkinkan memakai **learning rate (eta) yang lebih besar** tanpa divergen, sehingga iterasi yang dibutuhkan biasanya jauh berkurang dan training lebih stabil."/>
    <s v="**SUMMARY**  _x000a_Feature scaling (normalisasi) membuat semua fitur berada pada skala yang sebanding sehingga optimisasi tidak “didominasi” oleh fitur yang angkanya besar. Dampaknya, gradient descent biasanya jauh lebih cepat konvergen dan lebih stabil untuk learning rate yang sama._x000a__x000a_```python_x000a_# Ilustrasi singkat: setelah scaling, fitur punya skala mirip (mean ~0, std ~1)_x000a_X_norm, mu, sigma = feature_normalize(X)_x000a_print(mu, sigma)_x000a_```_x000a__x000a_**EXPLANATION**  _x000a_1) **Mengapa feature scaling penting saat skala fitur jauh berbeda?**  _x000a_- Jika satu fitur bernilai ribuan (mis. luas rumah ~2000) dan fitur lain hanya satuan (mis. jumlah kamar ~3), maka kontribusi fitur besar ke perhitungan \(X\theta\) dan gradien cenderung jauh lebih dominan.  _x000a_- Secara geometris, kontur cost function menjadi “lonjong” (ill-conditioned): perubahan kecil pada parameter untuk fitur besar bisa mengubah cost jauh lebih besar dibanding fitur kecil. Ini membuat pencarian minimum lebih sulit.  _x000a_- Dengan scaling (mis. standardization: mean 0, std 1), tiap fitur punya rentang/variasi yang sebanding, sehingga setiap parameter \(\theta_j\) “bergerak” pada skala yang mirip._x000a__x000a_2) **Dampaknya terhadap kecepatan konvergensi gradient descent**  _x000a_- Tanpa scaling, gradient descent sering **zig-zag**: langkah harus kecil agar tidak “melompat” pada arah fitur berskala besar, sehingga butuh banyak iterasi.  _x000a_- Dengan scaling, permukaan cost lebih “bulat”, sehingga arah gradien lebih langsung menuju minimum → **konvergensi lebih cepat**.  _x000a_- Praktisnya: scaling memungkinkan memakai **learning rate (eta) yang lebih besar** tanpa divergen, sehingga iterasi yang dibutuhkan biasanya jauh berkurang dan training lebih stabil."/>
    <d v="2026-03-31T11:54:46"/>
    <x v="5"/>
    <n v="0"/>
    <n v="455"/>
    <n v="489"/>
    <n v="944"/>
    <n v="1277"/>
    <n v="1687"/>
    <n v="2352"/>
    <n v="4"/>
    <n v="5"/>
    <n v="5"/>
    <s v="Clear and specific with context and constraints."/>
    <s v="Could provide more explicit instructions for the response format."/>
    <s v="Highly relevant, correct, and complete with clear explanations."/>
    <s v="None significant; could be slightly more concise."/>
    <s v="[LANG:Python] [MODE:summary_code_explanation] [ASSESSMENT_ID:1771cf87-0a65-11f1-b762-3e0936ad7efb] [FORCE_GPT:true] [AUTO_FALLBACK:true] Explain the importance of feature scaling in machine learning, particularly when features have significantly different scales, and its impact on the convergence speed of gradient descent."/>
    <s v="Consider summarizing key points more concisely to enhance readability."/>
    <s v="excellent"/>
    <b v="0"/>
    <s v="gpt-4o-mini"/>
    <s v="{&quot;prompt_score&quot;: 4, &quot;response_score&quot;: 5, &quot;overall_score&quot;: 5, &quot;prompt_strengths&quot;: &quot;Clear and specific with context and constraints.&quot;, &quot;prompt_issues&quot;: &quot;Could provide more explicit instructions for the response format.&quot;, &quot;response_strengths&quot;: &quot;Highly relevant, correct, and complete with clear explanations.&quot;, &quot;response_issues&quot;: &quot;None significant; could be slightly more concise.&quot;, &quot;prompt_rewrite&quot;: &quot;[LANG:Python] [MODE:summary_code_explanation] [ASSESSMENT_ID:1771cf87-0a65-11f1-b762-3e0936ad7efb] [FORCE_GPT:true] [AUTO_FALLBACK:true] Explain the importance of feature scaling in machine learning, particularly when features have significantly different scales, and its impact on the convergence speed of gradient descent.&quot;, &quot;response_improvement_suggestions&quot;: &quot;Consider summarizing key points more concisely to enhance readability.&quot;, &quot;verdict&quot;: &quot;excellent&quot;, &quot;needs_human_review&quot;: false}"/>
    <s v="ok"/>
    <n v="5"/>
  </r>
  <r>
    <x v="24"/>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Berdasarkan matriks korelasi, terlihat bahwa korelasi paling kuat pada variabel `class` (Outcome) adalah `Glucose`. Tetapi ditemukan adanya korelasi antar fitur yang nilai korelasinya cukup tinggi satu sama lain, yaitu fitur `Age` dan `Pregnancy`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_x000a__x000a_```python_x000a_# Ringkas statistik Insulin untuk melihat pusat &amp; sebaran_x000a_ins = dataframe[&quot;Insulin&quot;]_x000a_print(&quot;mean:&quot;, ins.mean())_x000a_print(&quot;std :&quot;, ins.std())_x000a_print(ins.describe())_x000a__x000a_# (Opsional) cek indikasi distribusi miring/outlier_x000a_print(&quot;skew:&quot;, ins.skew())_x000a_print(&quot;kurt:&quot;, ins.kurt())_x000a_```_x000a__x000a_**EXPLANATION**  _x000a_- **Mean tertinggi (79.799479) pada `Insulin`**  _x000a_  Artinya, secara rata-rata nilai `Insulin` pada sampel cenderung lebih besar dibanding rata-rata fitur lain (mis. Age, BMI, dll). Ini hanya menggambarkan **titik pusat** (central tendency), bukan seberapa “konsisten” nilainya._x000a__x000a_- **Standar deviasi terbesar (115.244002) pada `Insulin`**  _x000a_  Artinya nilai `Insulin` memiliki **variasi paling tinggi**: banyak data yang jauh dari rata-ratanya. Karena `std` (115) bahkan lebih besar dari `mean` (≈80), ini biasanya mengindikasikan:_x000a_  1. **Sebaran sangat lebar** (nilai insulin bisa sangat rendah sampai sangat tinggi).  _x000a_  2. Kemungkinan **distribusi miring ke kanan (right-skewed)**: banyak nilai kecil, tetapi ada sebagian nilai sangat besar yang “menarik” rata-rata ke atas.  _x000a_  3. Potensi **outlier** atau nilai ekstrem yang memperbesar standar deviasi.  _x000a_  4. Pada dataset Pima, kolom `Insulin` sering mengandung banyak nilai **0** (sering diperlakukan sebagai missing/invalid), yang membuat distribusi makin tidak normal dan varians makin besar._x000a__x000a_- **Implikasi praktis untuk pemodelan**  _x000a_  - Fitur dengan variasi sangat besar sering perlu **scaling** (StandardScaler/RobustScaler) agar tidak mendominasi model berbasis jarak/gradien.  _x000a_  - Perlu cek **outlier** dan **nilai 0** pada `Insulin` (apakah valid atau sebaiknya diimputasi), karena keduanya sangat memengaruhi mean dan std serta bentuk distribusi."/>
    <s v="**SUMMARY**  _x000a_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_x000a__x000a_```python_x000a_# Ringkas statistik Insulin untuk melihat pusat &amp; sebaran_x000a_ins = dataframe[&quot;Insulin&quot;]_x000a_print(&quot;mean:&quot;, ins.mean())_x000a_print(&quot;std :&quot;, ins.std())_x000a_print(ins.describe())_x000a__x000a_# (Opsional) cek indikasi distribusi miring/outlier_x000a_print(&quot;skew:&quot;, ins.skew())_x000a_print(&quot;kurt:&quot;, ins.kurt())_x000a_```_x000a__x000a_**EXPLANATION**  _x000a_- **Mean tertinggi (79.799479) pada `Insulin`**  _x000a_  Artinya, secara rata-rata nilai `Insulin` pada sampel cenderung lebih besar dibanding rata-rata fitur lain (mis. Age, BMI, dll). Ini hanya menggambarkan **titik pusat** (central tendency), bukan seberapa “konsisten” nilainya._x000a__x000a_- **Standar deviasi terbesar (115.244002) pada `Insulin`**  _x000a_  Artinya nilai `Insulin` memiliki **variasi paling tinggi**: banyak data yang jauh dari rata-ratanya. Karena `std` (115) bahkan lebih besar dari `mean` (≈80), ini biasanya mengindikasikan:_x000a_  1. **Sebaran sangat lebar** (nilai insulin bisa sangat rendah sampai sangat tinggi).  _x000a_  2. Kemungkinan **distribusi miring ke kanan (right-skewed)**: banyak nilai kecil, tetapi ada sebagian nilai sangat besar yang “menarik” rata-rata ke atas.  _x000a_  3. Potensi **outlier** atau nilai ekstrem yang memperbesar standar deviasi.  _x000a_  4. Pada dataset Pima, kolom `Insulin` sering mengandung banyak nilai **0** (sering diperlakukan sebagai missing/invalid), yang membuat distribusi makin tidak normal dan varians makin besar._x000a__x000a_- **Implikasi praktis untuk pemodelan**  _x000a_  - Fitur dengan variasi sangat besar sering perlu **scaling** (StandardScaler/RobustScaler) agar tidak mendominasi model berbasis jarak/gradien.  _x000a_  - Perlu cek **outlier** dan **nilai 0** pada `Insulin` (apakah valid atau sebaiknya diimputasi), karena keduanya sangat memengaruhi mean dan std serta bentuk distribusi."/>
    <d v="2026-03-10T12:49:15"/>
    <x v="2"/>
    <n v="0"/>
    <n v="352"/>
    <n v="610"/>
    <n v="962"/>
    <n v="1109"/>
    <n v="2041"/>
    <n v="3070"/>
    <n v="4"/>
    <n v="5"/>
    <n v="4"/>
    <s v="Clear context and specific statistical focus."/>
    <s v="Could benefit from clearer constraints on expected response length."/>
    <s v="Thorough explanation with relevant details and practical implications."/>
    <s v="Could be more concise in some areas."/>
    <s v="Jelaskan arti dari mean dan standar deviasi tertinggi pada fitur `Insulin` dalam konteks variasi dan distribusi data."/>
    <s v="Summarize key points more succinctly to enhance clarity."/>
    <s v="good"/>
    <b v="0"/>
    <s v="gpt-4o-mini"/>
    <s v="{&quot;prompt_score&quot;: 4, &quot;response_score&quot;: 5, &quot;overall_score&quot;: 4, &quot;prompt_strengths&quot;: &quot;Clear context and specific statistical focus.&quot;, &quot;prompt_issues&quot;: &quot;Could benefit from clearer constraints on expected response length.&quot;, &quot;response_strengths&quot;: &quot;Thorough explanation with relevant details and practical implications.&quot;, &quot;response_issues&quot;: &quot;Could be more concise in some areas.&quot;, &quot;prompt_rewrite&quot;: &quot;Jelaskan arti dari mean dan standar deviasi tertinggi pada fitur `Insulin` dalam konteks variasi dan distribusi data.&quot;, &quot;response_improvement_suggestions&quot;: &quot;Summarize key points more succinctly to enhance clarity.&quot;, &quot;verdict&quot;: &quot;good&quot;, &quot;needs_human_review&quot;: false}"/>
    <s v="ok"/>
    <n v="4"/>
  </r>
  <r>
    <x v="24"/>
    <s v="[LANG:Python]_x000a_[MODE:summary_code_explanation]_x000a_Lengkapi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 Lengkapi kode untuk melakukan Grid Search dengan menggunakan kelas GridSearchCV dan 5-fold cross-validation_x000a__x000a_## Lengkapi kode untuk memanggil method fit, untuk mempersingkat waktu, hanya gunakan 10000 gambar pertama saja_x000a__x000a_## Lengkapi kode untuk menampilkan best parameter dari hasil Grid Search_x000a__x000a_## Lengkapi kode untuk nilai score terbaik dari hasil grid_search_x000a__x000a_## Lengkapi kode untuk melatih model dengan best hyperparameter pada train set_x000a__x000a_## Setelah model dilatih, evaluasi model yang sudah dilatih pada test set_x000a_turned_accuracy = # lengkapilah kode ini_x000a__x000a_## Lengkapi kode untuk menampilkan isi dari tuned_accuracy yang merupakan akurais model knn dengan best hyperparameter pada test set_x000a_```"/>
    <s v="done"/>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d v="2026-03-17T13:23:55"/>
    <x v="4"/>
    <n v="0"/>
    <n v="325"/>
    <n v="487"/>
    <n v="812"/>
    <n v="1243"/>
    <n v="1739"/>
    <n v="3138"/>
    <n v="4"/>
    <n v="5"/>
    <n v="5"/>
    <s v="Clear and specific instructions for completing the code."/>
    <s v="Could provide more context on the expected output format."/>
    <s v="Thorough and correct completion of the code with clear explanations."/>
    <s v="None significant; all parts of the prompt are addressed."/>
    <s v="Lengkapi kode berikut untuk melakukan Grid Search pada model KNeighborsClassifier dengan 5-fold cross-validation dan evaluasi akurasi pada test set."/>
    <s v="Consider adding comments in the code to explain each step for better clarity."/>
    <s v="excellent"/>
    <b v="0"/>
    <s v="gpt-4o-mini"/>
    <s v="{&quot;prompt_score&quot;: 4, &quot;response_score&quot;: 5, &quot;overall_score&quot;: 5, &quot;prompt_strengths&quot;: &quot;Clear and specific instructions for completing the code.&quot;, &quot;prompt_issues&quot;: &quot;Could provide more context on the expected output format.&quot;, &quot;response_strengths&quot;: &quot;Thorough and correct completion of the code with clear explanations.&quot;, &quot;response_issues&quot;: &quot;None significant; all parts of the prompt are addressed.&quot;, &quot;prompt_rewrite&quot;: &quot;Lengkapi kode berikut untuk melakukan Grid Search pada model KNeighborsClassifier dengan 5-fold cross-validation dan evaluasi akurasi pada test set.&quot;, &quot;response_improvement_suggestions&quot;: &quot;Consider adding comments in the code to explain each step for better clarity.&quot;, &quot;verdict&quot;: &quot;excellent&quot;, &quot;needs_human_review&quot;: false}"/>
    <s v="ok"/>
    <n v="5"/>
  </r>
  <r>
    <x v="24"/>
    <s v="[LANG:Python]_x000a_[MODE:summary_code_explanation]_x000a_[ASSESSMENT_ID:1771cf7a-0a65-11f1-b762-3e0936ad7efb]_x000a_[FORCE_GPT:true]_x000a_[AUTO_FALLBACK:true]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 bukan pipeline untuk melakukan ini_x000a_```_x000a_rf_pipeline = ## lengkapi kode ini ##_x000a_```"/>
    <s v="done"/>
    <s v="**SUMMARY**  _x000a_Buat pipeline Random Forest dengan preprocessing yang sama (`preprocessor`) lalu model `RandomForestRegressor`._x000a__x000a_```python_x000a_from sklearn.pipeline import Pipeline_x000a_from sklearn.ensemble import RandomForestRegressor_x000a__x000a_rf_pipeline = Pipeline([_x000a_    (&quot;preprocessing&quot;, preprocessor),_x000a_    (&quot;model&quot;, RandomForestRegressor(random_state=42))_x000a_])_x000a_```_x000a__x000a_**EXPLANATION**  _x000a_Pipeline ini memastikan data diproses dulu oleh `preprocessor` (encoding/scaling sesuai yang sudah Anda buat), lalu dilatih menggunakan `RandomForestRegressor`. `random_state=42` dipakai agar hasilnya reproducible."/>
    <s v="**SUMMARY**  _x000a_Buat pipeline Random Forest dengan preprocessing yang sama (`preprocessor`) lalu model `RandomForestRegressor`._x000a__x000a_```python_x000a_from sklearn.pipeline import Pipeline_x000a_from sklearn.ensemble import RandomForestRegressor_x000a__x000a_rf_pipeline = Pipeline([_x000a_    (&quot;preprocessing&quot;, preprocessor),_x000a_    (&quot;model&quot;, RandomForestRegressor(random_state=42))_x000a_])_x000a_```_x000a__x000a_**EXPLANATION**  _x000a_Pipeline ini memastikan data diproses dulu oleh `preprocessor` (encoding/scaling sesuai yang sudah Anda buat), lalu dilatih menggunakan `RandomForestRegressor`. `random_state=42` dipakai agar hasilnya reproducible."/>
    <d v="2026-03-03T12:20:46"/>
    <x v="6"/>
    <n v="0"/>
    <n v="226"/>
    <n v="130"/>
    <n v="356"/>
    <n v="785"/>
    <n v="583"/>
    <n v="3211"/>
    <n v="4"/>
    <n v="5"/>
    <n v="4"/>
    <s v="Clear context and specific task."/>
    <s v="Could provide more detail on expected preprocessing steps."/>
    <s v="Correct and complete code with clear explanation."/>
    <s v="None."/>
    <s v="Memisahkan fitur dan target (X dan y) dengan kolom target &quot;charges&quot; dan fitur lainnya. Lengkapi kode untuk pipeline Random Forest dengan preprocessing yang sama."/>
    <s v="None needed; response is already strong."/>
    <s v="good"/>
    <b v="0"/>
    <s v="gpt-4o-mini"/>
    <s v="{&quot;prompt_score&quot;: 4, &quot;response_score&quot;: 5, &quot;overall_score&quot;: 4, &quot;prompt_strengths&quot;: &quot;Clear context and specific task.&quot;, &quot;prompt_issues&quot;: &quot;Could provide more detail on expected preprocessing steps.&quot;, &quot;response_strengths&quot;: &quot;Correct and complete code with clear explanation.&quot;, &quot;response_issues&quot;: &quot;None.&quot;, &quot;prompt_rewrite&quot;: &quot;Memisahkan fitur dan target (X dan y) dengan kolom target \&quot;charges\&quot; dan fitur lainnya. Lengkapi kode untuk pipeline Random Forest dengan preprocessing yang sama.&quot;, &quot;response_improvement_suggestions&quot;: &quot;None needed; response is already strong.&quot;, &quot;verdict&quot;: &quot;good&quot;, &quot;needs_human_review&quot;: false}"/>
    <s v="ok"/>
    <n v="4"/>
  </r>
  <r>
    <x v="25"/>
    <s v="[MODE:code]_x000a_bantu saya menyelesaikan paraktikum w4 dengan mengisi ### YOUR CODE HERE ### untuk melatih model dengan cara memanggil method fit dan diberi parameter X_train dan y_train. berikan code yang isngkat, padat, jelas, dan efisien"/>
    <s v="done"/>
    <s v="model.fit(X_train, y_train)"/>
    <s v="```python_x000a_model.fit(X_train, y_train)_x000a_```"/>
    <d v="2026-03-11T15:42:29"/>
    <x v="2"/>
    <n v="0"/>
    <n v="68"/>
    <n v="12"/>
    <n v="80"/>
    <n v="236"/>
    <n v="41"/>
    <n v="612"/>
    <n v="4"/>
    <n v="5"/>
    <n v="4"/>
    <s v="Clear request for code completion with specific parameters."/>
    <s v="Could provide more context about the model or framework being used."/>
    <s v="Directly addresses the prompt with a correct and concise code snippet."/>
    <s v="Lacks explanation or context for users who may need more guidance."/>
    <s v="Bantu saya menyelesaikan praktikum w4 dengan mengisi ### YOUR CODE HERE ### untuk melatih model (sebutkan jenis model) dengan cara memanggil method fit dan diberi parameter X_train dan y_train. Berikan kode yang singkat, padat, jelas, dan efisien."/>
    <s v="Add a brief explanation of what the code does or the context of the model."/>
    <s v="good"/>
    <b v="0"/>
    <s v="gpt-4o-mini"/>
    <s v="{&quot;prompt_score&quot;: 4, &quot;response_score&quot;: 5, &quot;overall_score&quot;: 4, &quot;prompt_strengths&quot;: &quot;Clear request for code completion with specific parameters.&quot;, &quot;prompt_issues&quot;: &quot;Could provide more context about the model or framework being used.&quot;, &quot;response_strengths&quot;: &quot;Directly addresses the prompt with a correct and concise code snippet.&quot;, &quot;response_issues&quot;: &quot;Lacks explanation or context for users who may need more guidance.&quot;, &quot;prompt_rewrite&quot;: &quot;Bantu saya menyelesaikan praktikum w4 dengan mengisi ### YOUR CODE HERE ### untuk melatih model (sebutkan jenis model) dengan cara memanggil method fit dan diberi parameter X_train dan y_train. Berikan kode yang singkat, padat, jelas, dan efisien.&quot;, &quot;response_improvement_suggestions&quot;: &quot;Add a brief explanation of what the code does or the context of the model.&quot;, &quot;verdict&quot;: &quot;good&quot;, &quot;needs_human_review&quot;: false}"/>
    <s v="ok"/>
    <n v="4"/>
  </r>
  <r>
    <x v="25"/>
    <s v="[MODE:code]_x000a_code ini X_train_6000 = housing.iloc[:6000].copy()_x000a_y_train_6000 = housing_labels.iloc[:6000].copy()_x000a__x000a_# Latih grid_search pada subset 6000 data pertama_x000a_grid_search.fit(X_train_6000, y_train_6000) memiliki hasil. namun masih ada valuerror dan sangat panjang. perbaiki code nya agar tidak ada kesalahan dan bisa jalan dengan baik"/>
    <s v="done"/>
    <s v="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    raise NameError(f&quot;Variabel belum ada: {missing}. Pastikan cell sebelumnya sudah dijalankan.&quot;)_x000a__x000a_if not isinstance(housing, pd.DataFrame):_x000a_    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    estimator=svr_pipeline,_x000a_    param_grid=param_grid,_x000a_    cv=3,_x000a_    scoring=&quot;neg_root_mean_squared_error&quot;,_x000a_    n_jobs=-1,_x000a_    verbose=0,_x000a_    error_score=&quot;raise&quot;_x000a_)_x000a__x000a_# --- Latih dengan error handling agar traceback tidak &quot;sangat panjang&quot; ---_x000a_try:_x000a_    grid_search.fit(X_train_6000, y_train_6000)_x000a_except ValueError as e:_x000a_    raise ValueError(_x000a_        &quot;GridSearchCV gagal (ValueError). Penyebab umum:\n&quot;_x000a_        &quot;- Kolom yang dipakai di preprocessing tidak ada di `housing`\n&quot;_x000a_        &quot;- `housing_labels` bukan target numerik / berisi NaN\n&quot;_x000a_        &quot;- Ada nilai non-numerik di kolom numerik\n\n&quot;_x000a_        f&quot;Detail error singkat: {e}&quot;_x000a_    ) from None_x000a__x000a_print(&quot;n_train:&quot;, n)_x000a_print(&quot;Best params:&quot;, grid_search.best_params_)_x000a_print(&quot;Best CV RMSE:&quot;, -grid_search.best_score_)"/>
    <s v="```python_x000a_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    raise NameError(f&quot;Variabel belum ada: {missing}. Pastikan cell sebelumnya sudah dijalankan.&quot;)_x000a__x000a_if not isinstance(housing, pd.DataFrame):_x000a_    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    estimator=svr_pipeline,_x000a_    param_grid=param_grid,_x000a_    cv=3,_x000a_    scoring=&quot;neg_root_mean_squared_error&quot;,_x000a_    n_jobs=-1,_x000a_    verbose=0,_x000a_    error_score=&quot;raise&quot;_x000a_)_x000a__x000a_# --- Latih dengan error handling agar traceback tidak &quot;sangat panjang&quot; ---_x000a_try:_x000a_    grid_search.fit(X_train_6000, y_train_6000)_x000a_except ValueError as e:_x000a_    raise ValueError(_x000a_        &quot;GridSearchCV gagal (ValueError). Penyebab umum:\n&quot;_x000a_        &quot;- Kolom yang dipakai di preprocessing tidak ada di `housing`\n&quot;_x000a_        &quot;- `housing_labels` bukan target numerik / berisi NaN\n&quot;_x000a_        &quot;- Ada nilai non-numerik di kolom numerik\n\n&quot;_x000a_        f&quot;Detail error singkat: {e}&quot;_x000a_    ) from None_x000a__x000a_print(&quot;n_train:&quot;, n)_x000a_print(&quot;Best params:&quot;, grid_search.best_params_)_x000a_print(&quot;Best CV RMSE:&quot;, -grid_search.best_score_)_x000a_```"/>
    <d v="2026-02-25T16:44:22"/>
    <x v="1"/>
    <n v="0"/>
    <n v="96"/>
    <n v="476"/>
    <n v="572"/>
    <n v="338"/>
    <n v="1744"/>
    <n v="2593"/>
    <n v="4"/>
    <n v="5"/>
    <n v="5"/>
    <s v="Clear request for code correction with context provided."/>
    <s v="Could be more specific about the exact ValueError encountered."/>
    <s v="Comprehensive and well-structured code with error handling and explanations."/>
    <s v="None significant; response is complete and relevant."/>
    <s v="Perbaiki kode berikut agar tidak menghasilkan ValueError dan dapat berjalan dengan baik: [kode]."/>
    <s v="Consider adding comments to explain each step of the code for better clarity."/>
    <s v="excellent"/>
    <b v="0"/>
    <s v="gpt-4o-mini"/>
    <s v="{&quot;prompt_score&quot;: 4, &quot;response_score&quot;: 5, &quot;overall_score&quot;: 5, &quot;prompt_strengths&quot;: &quot;Clear request for code correction with context provided.&quot;, &quot;prompt_issues&quot;: &quot;Could be more specific about the exact ValueError encountered.&quot;, &quot;response_strengths&quot;: &quot;Comprehensive and well-structured code with error handling and explanations.&quot;, &quot;response_issues&quot;: &quot;None significant; response is complete and relevant.&quot;, &quot;prompt_rewrite&quot;: &quot;Perbaiki kode berikut agar tidak menghasilkan ValueError dan dapat berjalan dengan baik: [kode].&quot;, &quot;response_improvement_suggestions&quot;: &quot;Consider adding comments to explain each step of the code for better clarity.&quot;, &quot;verdict&quot;: &quot;excellent&quot;, &quot;needs_human_review&quot;: false}"/>
    <s v="ok"/>
    <n v="5"/>
  </r>
  <r>
    <x v="25"/>
    <s v="[MODE:code]_x000a_bantu saya menyelesaikan praktikum w4 dengan mengisi ##### Your Code Here #####_x000a_dataframe = untuk read_csv dengan parameter: filename dan names adalah names. Simpan hasil read_csv dalam variabel dataframe.berikan code yang singkat, padat, dan jelas. jangan panjang panjang"/>
    <s v="done"/>
    <s v="dataframe = read_csv(filename, names=names)"/>
    <s v="```python_x000a_dataframe = read_csv(filename, names=names)_x000a_```"/>
    <d v="2026-03-11T15:15:28"/>
    <x v="2"/>
    <n v="0"/>
    <n v="72"/>
    <n v="15"/>
    <n v="87"/>
    <n v="284"/>
    <n v="57"/>
    <n v="2928"/>
    <n v="4"/>
    <n v="5"/>
    <n v="4"/>
    <s v="Clear instructions and specific requirements."/>
    <s v="Could provide more context about the data."/>
    <s v="Correct and concise code."/>
    <s v="Lacks explanation or comments."/>
    <s v="Bantu saya menyelesaikan praktikum w4 dengan mengisi ##### Your Code Here ##### dataframe = untuk read_csv dengan parameter: filename dan names adalah names. Simpan hasil read_csv dalam variabel dataframe. Berikan code yang singkat, padat, dan jelas. Sertakan penjelasan singkat tentang fungsi read_csv."/>
    <s v="Add a brief explanation of the read_csv function."/>
    <s v="good"/>
    <b v="0"/>
    <s v="gpt-4o-mini"/>
    <s v="{&quot;prompt_score&quot;: 4, &quot;response_score&quot;: 5, &quot;overall_score&quot;: 4, &quot;prompt_strengths&quot;: &quot;Clear instructions and specific requirements.&quot;, &quot;prompt_issues&quot;: &quot;Could provide more context about the data.&quot;, &quot;response_strengths&quot;: &quot;Correct and concise code.&quot;, &quot;response_issues&quot;: &quot;Lacks explanation or comments.&quot;, &quot;prompt_rewrite&quot;: &quot;Bantu saya menyelesaikan praktikum w4 dengan mengisi ##### Your Code Here ##### dataframe = untuk read_csv dengan parameter: filename dan names adalah names. Simpan hasil read_csv dalam variabel dataframe. Berikan code yang singkat, padat, dan jelas. Sertakan penjelasan singkat tentang fungsi read_csv.&quot;, &quot;response_improvement_suggestions&quot;: &quot;Add a brief explanation of the read_csv function.&quot;, &quot;verdict&quot;: &quot;good&quot;, &quot;needs_human_review&quot;: false}"/>
    <s v="ok"/>
    <n v="4"/>
  </r>
  <r>
    <x v="25"/>
    <s v="[MODE:code]_x000a_Konteks: Saya butuh load data txt._x000a_Bahasa: phyton_x000a_Output: data = np.loadtxt('ex1data1.txt', delimiter=',')."/>
    <s v="done"/>
    <s v="import numpy as np_x000a__x000a_data = np.loadtxt('ex1data1.txt', delimiter=',')"/>
    <s v="```python_x000a_import numpy as np_x000a__x000a_data = np.loadtxt('ex1data1.txt', delimiter=',')_x000a_```"/>
    <d v="2026-04-01T14:50:07"/>
    <x v="5"/>
    <n v="0"/>
    <n v="39"/>
    <n v="23"/>
    <n v="62"/>
    <n v="119"/>
    <n v="82"/>
    <n v="3577"/>
    <n v="4"/>
    <n v="5"/>
    <n v="4"/>
    <s v="Clear context and specific request for code."/>
    <s v="Minor grammatical error in 'phyton' should be 'python'."/>
    <s v="Correct and complete code for loading data."/>
    <s v="Lacks explanation or comments for clarity."/>
    <s v="[MODE:code] Konteks: Saya butuh load data txt. Bahasa: python Output: data = np.loadtxt('ex1data1.txt', delimiter=',')."/>
    <s v="Add comments to explain the code."/>
    <s v="good"/>
    <b v="0"/>
    <s v="gpt-4o-mini"/>
    <s v="{&quot;prompt_score&quot;: 4, &quot;response_score&quot;: 5, &quot;overall_score&quot;: 4, &quot;prompt_strengths&quot;: &quot;Clear context and specific request for code.&quot;, &quot;prompt_issues&quot;: &quot;Minor grammatical error in 'phyton' should be 'python'.&quot;, &quot;response_strengths&quot;: &quot;Correct and complete code for loading data.&quot;, &quot;response_issues&quot;: &quot;Lacks explanation or comments for clarity.&quot;, &quot;prompt_rewrite&quot;: &quot;[MODE:code] Konteks: Saya butuh load data txt. Bahasa: python Output: data = np.loadtxt('ex1data1.txt', delimiter=',').&quot;, &quot;response_improvement_suggestions&quot;: &quot;Add comments to explain the code.&quot;, &quot;verdict&quot;: &quot;good&quot;, &quot;needs_human_review&quot;: false}"/>
    <s v="ok"/>
    <n v="4"/>
  </r>
  <r>
    <x v="25"/>
    <s v="[MODE:code]_x000a_bantu saya menyelesaikan paraktikum w4 dengan mengisi ##### Your Code Here #####_x000a_X = untuk Extract semua baris dan kolom ke-1 s.d. ke-7 ke dalam variabel X. berikan code yang singkat, padat, dan jelas"/>
    <s v="done"/>
    <s v="X = array[:, 0:8]"/>
    <s v="```python_x000a_X = array[:, 0:8]_x000a_```"/>
    <d v="2026-03-11T15:34:50"/>
    <x v="2"/>
    <n v="0"/>
    <n v="66"/>
    <n v="13"/>
    <n v="79"/>
    <n v="212"/>
    <n v="31"/>
    <n v="3894"/>
    <n v="4"/>
    <n v="3"/>
    <n v="3"/>
    <s v="Clear request for code with specific requirements."/>
    <s v="Could provide more context about the data structure."/>
    <s v="Concise and directly addresses the prompt."/>
    <s v="Incorrect slicing; should be 0:7 for columns 1 to 7."/>
    <s v="Bantu saya menyelesaikan praktikum w4 dengan mengisi ##### Your Code Here ##### X = untuk Extract semua baris dan kolom ke-1 s.d. ke-7 ke dalam variabel X dari array 2D. Berikan code yang singkat, padat, dan jelas."/>
    <s v="Correct the slicing to X = array[:, 0:7] for the first 7 columns."/>
    <s v="fair"/>
    <b v="0"/>
    <s v="gpt-4o-mini"/>
    <s v="{&quot;prompt_score&quot;: 4, &quot;response_score&quot;: 3, &quot;overall_score&quot;: 3, &quot;prompt_strengths&quot;: &quot;Clear request for code with specific requirements.&quot;, &quot;prompt_issues&quot;: &quot;Could provide more context about the data structure.&quot;, &quot;response_strengths&quot;: &quot;Concise and directly addresses the prompt.&quot;, &quot;response_issues&quot;: &quot;Incorrect slicing; should be 0:7 for columns 1 to 7.&quot;, &quot;prompt_rewrite&quot;: &quot;Bantu saya menyelesaikan praktikum w4 dengan mengisi ##### Your Code Here ##### X = untuk Extract semua baris dan kolom ke-1 s.d. ke-7 ke dalam variabel X dari array 2D. Berikan code yang singkat, padat, dan jelas.&quot;, &quot;response_improvement_suggestions&quot;: &quot;Correct the slicing to X = array[:, 0:7] for the first 7 columns.&quot;, &quot;verdict&quot;: &quot;fair&quot;, &quot;needs_human_review&quot;: false}"/>
    <s v="ok"/>
    <n v="3"/>
  </r>
  <r>
    <x v="25"/>
    <s v="[MODE:code]_x000a_print(housing[housing.isna().any(axis=1)].head(5)) MASIH ADA KESALAHAN BANTU PERBAIKI AGAR TIDAK TERJADI KESALAHAN DAAN BISA BERJALAN DENGAN BAIK"/>
    <s v="done"/>
    <s v="import pandas as pd_x000a_import numpy as np_x000a__x000a_# Pastikan variabel `housing` sudah ada dan bertipe DataFrame_x000a_if &quot;housing&quot; not in globals() or housing is None:_x000a_    raise NameError(&quot;Variabel `housing` belum dibuat. Jalankan dulu cell yang membaca dataset ke variabel `housing`.&quot;)_x000a_if not isinstance(housing, pd.DataFrame):_x000a_    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    print(&quot;Tidak ada baris yang mengandung nilai null.&quot;)_x000a_else:_x000a_    print(rows_with_null.head(5))"/>
    <s v="```python_x000a_import pandas as pd_x000a_import numpy as np_x000a__x000a_# Pastikan variabel `housing` sudah ada dan bertipe DataFrame_x000a_if &quot;housing&quot; not in globals() or housing is None:_x000a_    raise NameError(&quot;Variabel `housing` belum dibuat. Jalankan dulu cell yang membaca dataset ke variabel `housing`.&quot;)_x000a_if not isinstance(housing, pd.DataFrame):_x000a_    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    print(&quot;Tidak ada baris yang mengandung nilai null.&quot;)_x000a_else:_x000a_    print(rows_with_null.head(5))_x000a_```"/>
    <d v="2026-02-25T16:28:14"/>
    <x v="1"/>
    <n v="0"/>
    <n v="64"/>
    <n v="205"/>
    <n v="269"/>
    <n v="157"/>
    <n v="789"/>
    <n v="4055"/>
    <n v="3"/>
    <n v="5"/>
    <n v="4"/>
    <s v="Identifies a specific issue with the code."/>
    <s v="Lacks clarity and context for the error."/>
    <s v="Provides a comprehensive and correct solution."/>
    <s v="Could be more concise."/>
    <s v="Perbaiki kode berikut: `print(housing[housing.isna().any(axis=1)].head(5))` agar tidak terjadi kesalahan."/>
    <s v="Consider simplifying the explanation and focusing on the key changes needed."/>
    <s v="good"/>
    <b v="0"/>
    <s v="gpt-4o-mini"/>
    <s v="{&quot;prompt_score&quot;: 3, &quot;response_score&quot;: 5, &quot;overall_score&quot;: 4, &quot;prompt_strengths&quot;: &quot;Identifies a specific issue with the code.&quot;, &quot;prompt_issues&quot;: &quot;Lacks clarity and context for the error.&quot;, &quot;response_strengths&quot;: &quot;Provides a comprehensive and correct solution.&quot;, &quot;response_issues&quot;: &quot;Could be more concise.&quot;, &quot;prompt_rewrite&quot;: &quot;Perbaiki kode berikut: `print(housing[housing.isna().any(axis=1)].head(5))` agar tidak terjadi kesalahan.&quot;, &quot;response_improvement_suggestions&quot;: &quot;Consider simplifying the explanation and focusing on the key changes needed.&quot;, &quot;verdict&quot;: &quot;good&quot;, &quot;needs_human_review&quot;: false}"/>
    <s v="ok"/>
    <n v="4"/>
  </r>
  <r>
    <x v="26"/>
    <s v="[LANG:Python]_x000a_[MODE:summary_code_explanation]_x000a_Saya sedang memprediksi nilai median harga rumah menggunakan Support Vector Regression. Sekarang ini saya sedang mencoba mendapatkan informasi mengenai nilai null dari sebuah csv, saya sedang menggunakan pandas. Bagaimana cara mendapatkan informasi nilai null tersebut"/>
    <s v="done"/>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d v="2026-02-24T12:08:58"/>
    <x v="1"/>
    <n v="0"/>
    <n v="70"/>
    <n v="319"/>
    <n v="389"/>
    <n v="314"/>
    <n v="1040"/>
    <n v="635"/>
    <n v="4"/>
    <n v="5"/>
    <n v="4"/>
    <s v="Clear and specific about the task."/>
    <s v="Could provide more context on the dataset."/>
    <s v="Comprehensive, clear, and actionable code examples."/>
    <s v="None significant."/>
    <s v="[LANG:Python] [MODE:summary_code_explanation] Saya sedang memprediksi nilai median harga rumah menggunakan Support Vector Regression. Saya ingin mendapatkan informasi mengenai nilai null dari dataset CSV yang berisi data harga rumah. Bagaimana cara mendapatkan informasi nilai null tersebut?"/>
    <s v="Consider adding a brief explanation of why checking for null values is important."/>
    <s v="good"/>
    <b v="0"/>
    <s v="gpt-4o-mini"/>
    <s v="{&quot;prompt_score&quot;: 4, &quot;response_score&quot;: 5, &quot;overall_score&quot;: 4, &quot;prompt_strengths&quot;: &quot;Clear and specific about the task.&quot;, &quot;prompt_issues&quot;: &quot;Could provide more context on the dataset.&quot;, &quot;response_strengths&quot;: &quot;Comprehensive, clear, and actionable code examples.&quot;, &quot;response_issues&quot;: &quot;None significant.&quot;, &quot;prompt_rewrite&quot;: &quot;[LANG:Python] [MODE:summary_code_explanation] Saya sedang memprediksi nilai median harga rumah menggunakan Support Vector Regression. Saya ingin mendapatkan informasi mengenai nilai null dari dataset CSV yang berisi data harga rumah. Bagaimana cara mendapatkan informasi nilai null tersebut?&quot;, &quot;response_improvement_suggestions&quot;: &quot;Consider adding a brief explanation of why checking for null values is important.&quot;, &quot;verdict&quot;: &quot;good&quot;, &quot;needs_human_review&quot;: false}"/>
    <s v="ok"/>
    <n v="4"/>
  </r>
  <r>
    <x v="26"/>
    <s v="[LANG:Python]_x000a_[MODE:summary_code_explanation]_x000a_buatlah model yang merupakan model LogisticRegression dengan parameter solver adlaah liblinear. 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d v="2026-03-10T11:21:24"/>
    <x v="2"/>
    <n v="0"/>
    <n v="32"/>
    <n v="107"/>
    <n v="139"/>
    <n v="149"/>
    <n v="407"/>
    <n v="677"/>
    <n v="4"/>
    <n v="5"/>
    <n v="4"/>
    <s v="Clear and specific about the model and parameters."/>
    <s v="Minor grammatical error in 'adlaah'."/>
    <s v="Accurate, complete, and clearly explains the code."/>
    <s v="None."/>
    <s v="[LANG:Python] [MODE:summary_code_explanation] Buatlah model LogisticRegression dengan parameter solver adalah 'liblinear'. Model ="/>
    <s v="None needed; response is already strong."/>
    <s v="excellent"/>
    <b v="0"/>
    <s v="gpt-4o-mini"/>
    <s v="{&quot;prompt_score&quot;: 4, &quot;response_score&quot;: 5, &quot;overall_score&quot;: 4, &quot;prompt_strengths&quot;: &quot;Clear and specific about the model and parameters.&quot;, &quot;prompt_issues&quot;: &quot;Minor grammatical error in 'adlaah'.&quot;, &quot;response_strengths&quot;: &quot;Accurate, complete, and clearly explains the code.&quot;, &quot;response_issues&quot;: &quot;None.&quot;, &quot;prompt_rewrite&quot;: &quot;[LANG:Python] [MODE:summary_code_explanation] Buatlah model LogisticRegression dengan parameter solver adalah 'liblinear'. Model =&quot;, &quot;response_improvement_suggestions&quot;: &quot;None needed; response is already strong.&quot;, &quot;verdict&quot;: &quot;excellent&quot;, &quot;needs_human_review&quot;: false}"/>
    <s v="ok"/>
    <n v="5"/>
  </r>
  <r>
    <x v="26"/>
    <s v="[MODE:summary]_x000a_di dalam sebuah dataset diabetes yang memiliki 768 sampel dan 9 fitur, saya menemukan nilai mean paling tinggi ada pada glucosenya, dan standar deviasi terbesar ada pada insulin. Jelaskan apa arti dari kedua temuan tersebut terhadap variasi dan distribusi data."/>
    <s v="done"/>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d v="2026-03-10T12:42:54"/>
    <x v="2"/>
    <n v="0"/>
    <n v="72"/>
    <n v="224"/>
    <n v="296"/>
    <n v="276"/>
    <n v="840"/>
    <n v="796"/>
    <n v="4"/>
    <n v="5"/>
    <n v="5"/>
    <s v="Clear and specific about the dataset and findings."/>
    <s v="Could provide more context on the significance of the findings."/>
    <s v="Thorough explanation of mean and standard deviation implications."/>
    <s v="None significant; well-articulated."/>
    <s v="Jelaskan arti dari nilai mean tertinggi pada glucose dan standar deviasi terbesar pada insulin dalam konteks variasi dan distribusi data pada dataset diabetes yang memiliki 768 sampel dan 9 fitur."/>
    <s v="Consider adding examples of how these findings might impact model performance."/>
    <s v="excellent"/>
    <b v="0"/>
    <s v="gpt-4o-mini"/>
    <s v="{&quot;prompt_score&quot;: 4, &quot;response_score&quot;: 5, &quot;overall_score&quot;: 5, &quot;prompt_strengths&quot;: &quot;Clear and specific about the dataset and findings.&quot;, &quot;prompt_issues&quot;: &quot;Could provide more context on the significance of the findings.&quot;, &quot;response_strengths&quot;: &quot;Thorough explanation of mean and standard deviation implications.&quot;, &quot;response_issues&quot;: &quot;None significant; well-articulated.&quot;, &quot;prompt_rewrite&quot;: &quot;Jelaskan arti dari nilai mean tertinggi pada glucose dan standar deviasi terbesar pada insulin dalam konteks variasi dan distribusi data pada dataset diabetes yang memiliki 768 sampel dan 9 fitur.&quot;, &quot;response_improvement_suggestions&quot;: &quot;Consider adding examples of how these findings might impact model performance.&quot;, &quot;verdict&quot;: &quot;excellent&quot;, &quot;needs_human_review&quot;: false}"/>
    <s v="ok"/>
    <n v="5"/>
  </r>
  <r>
    <x v="26"/>
    <s v="[LANG:Python]_x000a_[MODE:summary]_x000a_jawablah pertanyaan pertanyaan berikut:_x000a_1. overfitting terjadi ketika_x000a_2. cross-entropy digunakan untuk"/>
    <s v="done"/>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d v="2026-04-14T10:00:52"/>
    <x v="3"/>
    <n v="0"/>
    <n v="40"/>
    <n v="94"/>
    <n v="134"/>
    <n v="131"/>
    <n v="356"/>
    <n v="1041"/>
    <n v="4"/>
    <n v="5"/>
    <n v="5"/>
    <s v="Clear and specific questions."/>
    <s v="Could provide more context on the audience or purpose."/>
    <s v="Accurate, complete, and clear explanations."/>
    <s v="None significant."/>
    <s v="[LANG:Python] [MODE:summary] Jawablah pertanyaan berikut dengan jelas: 1. Apa yang dimaksud dengan overfitting? 2. Untuk apa cross-entropy digunakan dalam machine learning?"/>
    <s v="None needed; response is already strong."/>
    <s v="excellent"/>
    <b v="0"/>
    <s v="gpt-4o-mini"/>
    <s v="{&quot;prompt_score&quot;: 4, &quot;response_score&quot;: 5, &quot;overall_score&quot;: 5, &quot;prompt_strengths&quot;: &quot;Clear and specific questions.&quot;, &quot;prompt_issues&quot;: &quot;Could provide more context on the audience or purpose.&quot;, &quot;response_strengths&quot;: &quot;Accurate, complete, and clear explanations.&quot;, &quot;response_issues&quot;: &quot;None significant.&quot;, &quot;prompt_rewrite&quot;: &quot;[LANG:Python] [MODE:summary] Jawablah pertanyaan berikut dengan jelas: 1. Apa yang dimaksud dengan overfitting? 2. Untuk apa cross-entropy digunakan dalam machine learning?&quot;, &quot;response_improvement_suggestions&quot;: &quot;None needed; response is already strong.&quot;, &quot;verdict&quot;: &quot;excellent&quot;, &quot;needs_human_review&quot;: false}"/>
    <s v="ok"/>
    <n v="5"/>
  </r>
  <r>
    <x v="26"/>
    <s v="[LANG:Python]_x000a_[MODE:summary_code_explanation]_x000a_sudah saya check lagi dari awal sampai akhir, tetapi accuracy yang saya dapat masih 11%, apakah ada yang saya salah juga diawal awalnya?"/>
    <s v="done"/>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    X, y, test_size=test_size, random_state=seed, stratify=y_x000a_)_x000a__x000a_# --- 4) Logistic Regression + scaling (sering wajib untuk performa bagus) ---_x000a_model = make_pipeline(_x000a_    StandardScaler(),_x000a_    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 NumPy index mulai dari 0. “kolom ke-7” (1-based) = index 6, bukan 7.  _x000a_   - Pastikan benar-benar kolom label. Cara cepat: cek `np.unique(y)`; kalau isinya banyak nilai kontinu (mis. 3.14, 7.22, dst) berarti itu bukan label klasifikasi._x000a__x000a_2) **Fitur belum diskalakan (scaling)**  _x000a_   - Logistic Regression sensitif terhadap skala fitur. Tanpa `StandardScaler`, performa bisa jatuh jauh.  _x000a_   - Pipeline `StandardScaler() -&gt; LogisticRegression()` biasanya meningkatkan hasil secara signifikan._x000a__x000a_3) **Masalah imbalance / baseline memang sekitar 11%**  _x000a_   - Jika ada ~9 kelas yang seimbang, tebakan acak bisa ~11%.  _x000a_   - Makanya saya tambahkan “baseline majority class” untuk membandingkan: kalau baseline juga ~11%, dataset/target Anda kemungkinan multi-class seimbang atau targetnya bukan yang diharapkan._x000a__x000a_4) **Kolom kategorikal belum di-encode**  _x000a_   -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    X, y, test_size=test_size, random_state=seed, stratify=y_x000a_)_x000a__x000a_# --- 4) Logistic Regression + scaling (sering wajib untuk performa bagus) ---_x000a_model = make_pipeline(_x000a_    StandardScaler(),_x000a_    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 NumPy index mulai dari 0. “kolom ke-7” (1-based) = index 6, bukan 7.  _x000a_   - Pastikan benar-benar kolom label. Cara cepat: cek `np.unique(y)`; kalau isinya banyak nilai kontinu (mis. 3.14, 7.22, dst) berarti itu bukan label klasifikasi._x000a__x000a_2) **Fitur belum diskalakan (scaling)**  _x000a_   - Logistic Regression sensitif terhadap skala fitur. Tanpa `StandardScaler`, performa bisa jatuh jauh.  _x000a_   - Pipeline `StandardScaler() -&gt; LogisticRegression()` biasanya meningkatkan hasil secara signifikan._x000a__x000a_3) **Masalah imbalance / baseline memang sekitar 11%**  _x000a_   - Jika ada ~9 kelas yang seimbang, tebakan acak bisa ~11%.  _x000a_   - Makanya saya tambahkan “baseline majority class” untuk membandingkan: kalau baseline juga ~11%, dataset/target Anda kemungkinan multi-class seimbang atau targetnya bukan yang diharapkan._x000a__x000a_4) **Kolom kategorikal belum di-encode**  _x000a_   -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d v="2026-03-10T11:49:43"/>
    <x v="2"/>
    <n v="0"/>
    <n v="51"/>
    <n v="917"/>
    <n v="968"/>
    <n v="182"/>
    <n v="3169"/>
    <n v="1491"/>
    <n v="4"/>
    <n v="5"/>
    <n v="5"/>
    <s v="Clear and specific about the issue with accuracy."/>
    <s v="Could provide more context about the dataset."/>
    <s v="Thorough, relevant, and provides actionable steps."/>
    <s v="Could be slightly more concise."/>
    <s v="Saya mengalami masalah dengan akurasi model Logistic Regression yang hanya 11%. Apa yang mungkin salah dalam proses awal, dan bagaimana cara memperbaikinya?"/>
    <s v="Consider summarizing key points to enhance clarity."/>
    <s v="excellent"/>
    <b v="0"/>
    <s v="gpt-4o-mini"/>
    <s v="{&quot;prompt_score&quot;: 4, &quot;response_score&quot;: 5, &quot;overall_score&quot;: 5, &quot;prompt_strengths&quot;: &quot;Clear and specific about the issue with accuracy.&quot;, &quot;prompt_issues&quot;: &quot;Could provide more context about the dataset.&quot;, &quot;response_strengths&quot;: &quot;Thorough, relevant, and provides actionable steps.&quot;, &quot;response_issues&quot;: &quot;Could be slightly more concise.&quot;, &quot;prompt_rewrite&quot;: &quot;Saya mengalami masalah dengan akurasi model Logistic Regression yang hanya 11%. Apa yang mungkin salah dalam proses awal, dan bagaimana cara memperbaikinya?&quot;, &quot;response_improvement_suggestions&quot;: &quot;Consider summarizing key points to enhance clarity.&quot;, &quot;verdict&quot;: &quot;excellent&quot;, &quot;needs_human_review&quot;: false}"/>
    <s v="ok"/>
    <n v="5"/>
  </r>
  <r>
    <x v="26"/>
    <s v="[LANG:Python]_x000a_[MODE:summary_code_explanation]_x000a_sepertinya ada yang salah, &quot;preprocessing&quot; adalah sebuah variabel yang berisi banyak pipeline dalam satu kelas ColumnTransformer."/>
    <s v="done"/>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_cols),_x000a_    (&quot;cat&quot;, categorical_pipe, cat_cols),_x000a_])_x000a__x000a_model = Pipeline([_x000a_    (&quot;preprocessing&quot;, preprocessing),_x000a_    (&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 Membagi fitur berdasarkan tipe/kelompok kolom (numerik vs kategorikal, dll.)_x000a_  -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_cols),_x000a_    (&quot;cat&quot;, categorical_pipe, cat_cols),_x000a_])_x000a__x000a_model = Pipeline([_x000a_    (&quot;preprocessing&quot;, preprocessing),_x000a_    (&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 Membagi fitur berdasarkan tipe/kelompok kolom (numerik vs kategorikal, dll.)_x000a_  -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d v="2026-02-24T12:47:48"/>
    <x v="1"/>
    <n v="0"/>
    <n v="40"/>
    <n v="596"/>
    <n v="636"/>
    <n v="175"/>
    <n v="2254"/>
    <n v="1516"/>
    <n v="4"/>
    <n v="5"/>
    <n v="4"/>
    <s v="Clear context and specific request for explanation."/>
    <s v="Could provide more detail on what specifically seems wrong."/>
    <s v="Highly relevant, correct, and comprehensive explanation with code example."/>
    <s v="Could be slightly more concise in some explanations."/>
    <s v="[LANG:Python] [MODE:summary_code_explanation] Ada yang salah dengan penggunaan variabel &quot;preprocessing&quot; dalam ColumnTransformer. Bisa jelaskan lebih detail?"/>
    <s v="Consider summarizing key points more succinctly to enhance clarity."/>
    <s v="good"/>
    <b v="0"/>
    <s v="gpt-4o-mini"/>
    <s v="{&quot;prompt_score&quot;: 4, &quot;response_score&quot;: 5, &quot;overall_score&quot;: 4, &quot;prompt_strengths&quot;: &quot;Clear context and specific request for explanation.&quot;, &quot;prompt_issues&quot;: &quot;Could provide more detail on what specifically seems wrong.&quot;, &quot;response_strengths&quot;: &quot;Highly relevant, correct, and comprehensive explanation with code example.&quot;, &quot;response_issues&quot;: &quot;Could be slightly more concise in some explanations.&quot;, &quot;prompt_rewrite&quot;: &quot;[LANG:Python] [MODE:summary_code_explanation] Ada yang salah dengan penggunaan variabel \&quot;preprocessing\&quot; dalam ColumnTransformer. Bisa jelaskan lebih detail?&quot;, &quot;response_improvement_suggestions&quot;: &quot;Consider summarizing key points more succinctly to enhance clarity.&quot;, &quot;verdict&quot;: &quot;good&quot;, &quot;needs_human_review&quot;: false}"/>
    <s v="ok"/>
    <n v="4"/>
  </r>
  <r>
    <x v="26"/>
    <s v="[LANG:Python]_x000a_[MODE:summary_code_explanation]_x000a_bagaimana cara melakukan prediksi dari model yand di train menggunakan linear regression. Menggunakan bahasa python"/>
    <s v="done"/>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d v="2026-03-03T12:03:06"/>
    <x v="6"/>
    <n v="0"/>
    <n v="36"/>
    <n v="308"/>
    <n v="344"/>
    <n v="161"/>
    <n v="1005"/>
    <n v="1792"/>
    <n v="4"/>
    <n v="5"/>
    <n v="5"/>
    <s v="Clear and specific about the task."/>
    <s v="Could specify the expected output format."/>
    <s v="Comprehensive explanation with clear code example."/>
    <s v="None."/>
    <s v="[LANG:Python] [MODE:summary_code_explanation] Bagaimana cara melakukan prediksi dari model yang di-train menggunakan linear regression dalam bahasa Python? Sertakan format output yang diharapkan."/>
    <s v="None needed; response is already excellent."/>
    <s v="excellent"/>
    <b v="0"/>
    <s v="gpt-4o-mini"/>
    <s v="{&quot;prompt_score&quot;: 4, &quot;response_score&quot;: 5, &quot;overall_score&quot;: 5, &quot;prompt_strengths&quot;: &quot;Clear and specific about the task.&quot;, &quot;prompt_issues&quot;: &quot;Could specify the expected output format.&quot;, &quot;response_strengths&quot;: &quot;Comprehensive explanation with clear code example.&quot;, &quot;response_issues&quot;: &quot;None.&quot;, &quot;prompt_rewrite&quot;: &quot;[LANG:Python] [MODE:summary_code_explanation] Bagaimana cara melakukan prediksi dari model yang di-train menggunakan linear regression dalam bahasa Python? Sertakan format output yang diharapkan.&quot;, &quot;response_improvement_suggestions&quot;: &quot;None needed; response is already excellent.&quot;, &quot;verdict&quot;: &quot;excellent&quot;, &quot;needs_human_review&quot;: false}"/>
    <s v="ok"/>
    <n v="5"/>
  </r>
  <r>
    <x v="26"/>
    <s v="[LANG:Python]_x000a_[MODE:summary_code_explanation]_x000a_saya sudah membuat grid (gridsearchCV) juga, sekarang saya ingin melatih grid menggunakan .fit. bagaimana caranya"/>
    <s v="done"/>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d v="2026-03-10T12:14:54"/>
    <x v="2"/>
    <n v="0"/>
    <n v="43"/>
    <n v="111"/>
    <n v="154"/>
    <n v="159"/>
    <n v="382"/>
    <n v="3086"/>
    <n v="4"/>
    <n v="5"/>
    <n v="5"/>
    <s v="Clear and specific request for guidance on using GridSearchCV."/>
    <s v="Could provide more context about the dataset or parameters being used."/>
    <s v="Accurate, complete, and clearly explains the fitting process with relevant code."/>
    <s v="None identified."/>
    <s v="Saya sudah membuat objek GridSearchCV. Bagaimana cara melatihnya menggunakan .fit dengan data latih saya?"/>
    <s v="Consider adding an example of the data or parameters for more context."/>
    <s v="excellent"/>
    <b v="0"/>
    <s v="gpt-4o-mini"/>
    <s v="{&quot;prompt_score&quot;: 4, &quot;response_score&quot;: 5, &quot;overall_score&quot;: 5, &quot;prompt_strengths&quot;: &quot;Clear and specific request for guidance on using GridSearchCV.&quot;, &quot;prompt_issues&quot;: &quot;Could provide more context about the dataset or parameters being used.&quot;, &quot;response_strengths&quot;: &quot;Accurate, complete, and clearly explains the fitting process with relevant code.&quot;, &quot;response_issues&quot;: &quot;None identified.&quot;, &quot;prompt_rewrite&quot;: &quot;Saya sudah membuat objek GridSearchCV. Bagaimana cara melatihnya menggunakan .fit dengan data latih saya?&quot;, &quot;response_improvement_suggestions&quot;: &quot;Consider adding an example of the data or parameters for more context.&quot;, &quot;verdict&quot;: &quot;excellent&quot;, &quot;needs_human_review&quot;: false}"/>
    <s v="ok"/>
    <n v="5"/>
  </r>
  <r>
    <x v="26"/>
    <s v="[LANG:Python]_x000a_[MODE:summary_code_explanation]_x000a_untuk task yang tadi saya sebutkan, saya ingin mengekstrak semua baris dan kolom ke-1 s.d. ke-7 ke dalam variabel x"/>
    <s v="done"/>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d v="2026-03-10T10:45:56"/>
    <x v="2"/>
    <n v="0"/>
    <n v="51"/>
    <n v="114"/>
    <n v="165"/>
    <n v="161"/>
    <n v="320"/>
    <n v="4054"/>
    <n v="4"/>
    <n v="5"/>
    <n v="4"/>
    <s v="Clear and specific about the task."/>
    <s v="Could provide more context about the data structure."/>
    <s v="Accurate, clear, and provides a correct code example."/>
    <s v="Could elaborate more on the slicing concept for beginners."/>
    <s v="[LANG:Python] [MODE:summary_code_explanation] Saya ingin mengekstrak semua baris dan kolom ke-1 s.d. ke-7 dari array NumPy ke dalam variabel x. Berikan penjelasan tentang struktur data yang digunakan."/>
    <s v="Add a brief explanation of NumPy arrays for clarity."/>
    <s v="good"/>
    <b v="0"/>
    <s v="gpt-4o-mini"/>
    <s v="{&quot;prompt_score&quot;: 4, &quot;response_score&quot;: 5, &quot;overall_score&quot;: 4, &quot;prompt_strengths&quot;: &quot;Clear and specific about the task.&quot;, &quot;prompt_issues&quot;: &quot;Could provide more context about the data structure.&quot;, &quot;response_strengths&quot;: &quot;Accurate, clear, and provides a correct code example.&quot;, &quot;response_issues&quot;: &quot;Could elaborate more on the slicing concept for beginners.&quot;, &quot;prompt_rewrite&quot;: &quot;[LANG:Python] [MODE:summary_code_explanation] Saya ingin mengekstrak semua baris dan kolom ke-1 s.d. ke-7 dari array NumPy ke dalam variabel x. Berikan penjelasan tentang struktur data yang digunakan.&quot;, &quot;response_improvement_suggestions&quot;: &quot;Add a brief explanation of NumPy arrays for clarity.&quot;, &quot;verdict&quot;: &quot;good&quot;, &quot;needs_human_review&quot;: false}"/>
    <s v="ok"/>
    <n v="4"/>
  </r>
  <r>
    <x v="26"/>
    <s v="[LANG:Python]_x000a_[MODE:summary]_x000a_jawablah pertanyaan pertanyaan ini:_x000a_1. mini-batch GD adalah kombinasi_x000a_2. fungsi MSE bersifat_x000a_3. pseudoinverse digunakan jika"/>
    <s v="done"/>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d v="2026-04-14T09:45:40"/>
    <x v="3"/>
    <n v="0"/>
    <n v="49"/>
    <n v="126"/>
    <n v="175"/>
    <n v="153"/>
    <n v="433"/>
    <n v="4447"/>
    <n v="4"/>
    <n v="5"/>
    <n v="5"/>
    <s v="Clear and specific questions."/>
    <s v="Could provide more context for better understanding."/>
    <s v="Accurate, complete, and clear answers."/>
    <s v="None significant."/>
    <s v="[LANG:Python] [MODE:summary] Jawablah pertanyaan berikut tentang konsep machine learning: 1. Apa itu mini-batch GD? 2. Apa sifat dari fungsi MSE? 3. Kapan pseudoinverse digunakan?"/>
    <s v="None needed; response is already strong."/>
    <s v="excellent"/>
    <b v="0"/>
    <s v="gpt-4o-mini"/>
    <s v="{&quot;prompt_score&quot;: 4, &quot;response_score&quot;: 5, &quot;overall_score&quot;: 5, &quot;prompt_strengths&quot;: &quot;Clear and specific questions.&quot;, &quot;prompt_issues&quot;: &quot;Could provide more context for better understanding.&quot;, &quot;response_strengths&quot;: &quot;Accurate, complete, and clear answers.&quot;, &quot;response_issues&quot;: &quot;None significant.&quot;, &quot;prompt_rewrite&quot;: &quot;[LANG:Python] [MODE:summary] Jawablah pertanyaan berikut tentang konsep machine learning: 1. Apa itu mini-batch GD? 2. Apa sifat dari fungsi MSE? 3. Kapan pseudoinverse digunakan?&quot;, &quot;response_improvement_suggestions&quot;: &quot;None needed; response is already strong.&quot;, &quot;verdict&quot;: &quot;excellent&quot;, &quot;needs_human_review&quot;: false}"/>
    <s v="ok"/>
    <n v="5"/>
  </r>
  <r>
    <x v="26"/>
    <s v="[LANG:Python]_x000a_[MODE:summary_code_explanation]_x000a_lalu bagaimana cara menghitung berapa banyak sampel dan fitur dalam sebuah dataset menggunakan describe()?"/>
    <s v="done"/>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d v="2026-03-10T10:28:21"/>
    <x v="2"/>
    <n v="0"/>
    <n v="36"/>
    <n v="274"/>
    <n v="310"/>
    <n v="152"/>
    <n v="990"/>
    <n v="4533"/>
    <n v="4"/>
    <n v="5"/>
    <n v="5"/>
    <s v="Clear and specific about the task."/>
    <s v="Could provide more context on the dataset type."/>
    <s v="Accurate, complete, and clearly explains the solution."/>
    <s v="None significant; well-structured."/>
    <s v="[LANG:Python] [MODE:summary_code_explanation] Bagaimana cara menghitung jumlah sampel dan fitur dalam dataset menggunakan describe() dalam konteks analisis data?"/>
    <s v="Consider adding examples of datasets or scenarios where this method is particularly useful."/>
    <s v="excellent"/>
    <b v="0"/>
    <s v="gpt-4o-mini"/>
    <s v="{&quot;prompt_score&quot;: 4, &quot;response_score&quot;: 5, &quot;overall_score&quot;: 5, &quot;prompt_strengths&quot;: &quot;Clear and specific about the task.&quot;, &quot;prompt_issues&quot;: &quot;Could provide more context on the dataset type.&quot;, &quot;response_strengths&quot;: &quot;Accurate, complete, and clearly explains the solution.&quot;, &quot;response_issues&quot;: &quot;None significant; well-structured.&quot;, &quot;prompt_rewrite&quot;: &quot;[LANG:Python] [MODE:summary_code_explanation] Bagaimana cara menghitung jumlah sampel dan fitur dalam dataset menggunakan describe() dalam konteks analisis data?&quot;, &quot;response_improvement_suggestions&quot;: &quot;Consider adding examples of datasets or scenarios where this method is particularly useful.&quot;, &quot;verdict&quot;: &quot;excellent&quot;, &quot;needs_human_review&quot;: false}"/>
    <s v="ok"/>
    <n v="5"/>
  </r>
  <r>
    <x v="27"/>
    <s v="[MODE:code]_x000a_Simpan semua baris dari kolom ke-7 ke dalam variabel `y`. lalu saya disuruh buat itu y = jawab y = apa"/>
    <s v="done"/>
    <s v="y = array[:, 7]"/>
    <s v="```python_x000a_y = array[:, 7]_x000a_```"/>
    <d v="2026-03-11T15:28:27"/>
    <x v="2"/>
    <n v="0"/>
    <n v="39"/>
    <n v="11"/>
    <n v="50"/>
    <n v="114"/>
    <n v="29"/>
    <n v="76"/>
    <n v="3"/>
    <n v="4"/>
    <n v="3"/>
    <s v="The prompt specifies a clear action to be taken."/>
    <s v="Lacks clarity in the expected output format and context."/>
    <s v="The response is relevant and correctly identifies the action to take."/>
    <s v="The response is incomplete and lacks clarity on how to implement the action."/>
    <s v="Simpan semua baris dari kolom ke-7 ke dalam variabel `y`. Apa format yang diharapkan untuk `y`?"/>
    <s v="Provide a more detailed explanation of how to extract the column and assign it to `y`."/>
    <s v="fair"/>
    <b v="0"/>
    <s v="gpt-4o-mini"/>
    <s v="{&quot;prompt_score&quot;: 3, &quot;response_score&quot;: 4, &quot;overall_score&quot;: 3, &quot;prompt_strengths&quot;: &quot;The prompt specifies a clear action to be taken.&quot;, &quot;prompt_issues&quot;: &quot;Lacks clarity in the expected output format and context.&quot;, &quot;response_strengths&quot;: &quot;The response is relevant and correctly identifies the action to take.&quot;, &quot;response_issues&quot;: &quot;The response is incomplete and lacks clarity on how to implement the action.&quot;, &quot;prompt_rewrite&quot;: &quot;Simpan semua baris dari kolom ke-7 ke dalam variabel `y`. Apa format yang diharapkan untuk `y`?&quot;, &quot;response_improvement_suggestions&quot;: &quot;Provide a more detailed explanation of how to extract the column and assign it to `y`.&quot;, &quot;verdict&quot;: &quot;fair&quot;, &quot;needs_human_review&quot;: false}"/>
    <s v="ok"/>
    <n v="3"/>
  </r>
  <r>
    <x v="27"/>
    <s v="[MODE:summary_code_explanation]_x000a_selanjutnya kita akan melakukan Exploratory Data Analysis (EDA)_x000a__x000a_Pada bagian ini, kita akan melakukan eksplorasi sederhana untuk memahami data sebelum melakukan preprocessing dan modeling._x000a__x000a_pertama kita harus tau struktur dari dataset_x000a_housing.shape_x000a_(16512, 9)_x000a_disini kita bisa tau, bahwa ukuran dataset adalah 1 (6512,9). yang artinya dataset memiliki 16512 data dan memiliki 9 fitur_x000a__x000a_selanjutanya kita cek tipe data dari dataset_x000a_housing.info()_x000a_anda dapat melihat_x000a__x000a_selanjutnya kita juga harus tau info untuk distribusi datanya_x000a_housing.describe()_x000a__x000a_sekarang tugasnya adalah, cari tau informasi mengenai nilai null"/>
    <s v="done"/>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    pd.DataFrame({&quot;null_count&quot;: null_count, &quot;null_pct&quot;: null_pct})_x000a_      .query(&quot;null_count &gt; 0&quot;)_x000a_      .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    pd.DataFrame({&quot;null_count&quot;: null_count, &quot;null_pct&quot;: null_pct})_x000a_      .query(&quot;null_count &gt; 0&quot;)_x000a_      .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d v="2026-02-25T16:04:26"/>
    <x v="1"/>
    <n v="0"/>
    <n v="163"/>
    <n v="360"/>
    <n v="523"/>
    <n v="643"/>
    <n v="1239"/>
    <n v="97"/>
    <n v="3"/>
    <n v="5"/>
    <n v="4"/>
    <s v="Provides a clear context for EDA."/>
    <s v="Lacks specificity in the task and has some grammatical errors."/>
    <s v="Highly relevant, correct, and complete with clear code examples."/>
    <s v="Could improve clarity by explaining code snippets more thoroughly."/>
    <s v="Jelaskan langkah-langkah EDA untuk dataset housing, termasuk cara memeriksa nilai null dan distribusi data."/>
    <s v="Add more explanations for each code snippet to enhance understanding."/>
    <s v="good"/>
    <b v="0"/>
    <s v="gpt-4o-mini"/>
    <s v="{&quot;prompt_score&quot;: 3, &quot;response_score&quot;: 5, &quot;overall_score&quot;: 4, &quot;prompt_strengths&quot;: &quot;Provides a clear context for EDA.&quot;, &quot;prompt_issues&quot;: &quot;Lacks specificity in the task and has some grammatical errors.&quot;, &quot;response_strengths&quot;: &quot;Highly relevant, correct, and complete with clear code examples.&quot;, &quot;response_issues&quot;: &quot;Could improve clarity by explaining code snippets more thoroughly.&quot;, &quot;prompt_rewrite&quot;: &quot;Jelaskan langkah-langkah EDA untuk dataset housing, termasuk cara memeriksa nilai null dan distribusi data.&quot;, &quot;response_improvement_suggestions&quot;: &quot;Add more explanations for each code snippet to enhance understanding.&quot;, &quot;verdict&quot;: &quot;good&quot;, &quot;needs_human_review&quot;: false}"/>
    <s v="ok"/>
    <n v="4"/>
  </r>
  <r>
    <x v="27"/>
    <s v="[MODE:summary]_x000a_dari jawaban yang anda telah kasih seberapa yakin anda sebutkan dalam persen untuk jawaban jawaban ini?"/>
    <s v="done"/>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d v="2026-04-15T13:26:18"/>
    <x v="3"/>
    <n v="0"/>
    <n v="32"/>
    <n v="336"/>
    <n v="368"/>
    <n v="118"/>
    <n v="974"/>
    <n v="125"/>
    <n v="3"/>
    <n v="4"/>
    <n v="4"/>
    <s v="Directly asks for confidence percentages."/>
    <s v="Lacks clarity in context and specific constraints."/>
    <s v="Provides detailed confidence levels with explanations."/>
    <s v="Could be more concise and structured."/>
    <s v="Seberapa yakin Anda terhadap jawaban-jawaban ini dalam persen? Berikan penjelasan jika perlu."/>
    <s v="Summarize the confidence levels in a table format for clarity."/>
    <s v="good"/>
    <b v="0"/>
    <s v="gpt-4o-mini"/>
    <s v="{&quot;prompt_score&quot;: 3, &quot;response_score&quot;: 4, &quot;overall_score&quot;: 4, &quot;prompt_strengths&quot;: &quot;Directly asks for confidence percentages.&quot;, &quot;prompt_issues&quot;: &quot;Lacks clarity in context and specific constraints.&quot;, &quot;response_strengths&quot;: &quot;Provides detailed confidence levels with explanations.&quot;, &quot;response_issues&quot;: &quot;Could be more concise and structured.&quot;, &quot;prompt_rewrite&quot;: &quot;Seberapa yakin Anda terhadap jawaban-jawaban ini dalam persen? Berikan penjelasan jika perlu.&quot;, &quot;response_improvement_suggestions&quot;: &quot;Summarize the confidence levels in a table format for clarity.&quot;, &quot;verdict&quot;: &quot;good&quot;, &quot;needs_human_review&quot;: false}"/>
    <s v="ok"/>
    <n v="4"/>
  </r>
  <r>
    <x v="27"/>
    <s v="[MODE:summary]_x000a_Apa tujuan imputation?_x000a_*_x000a_Mengganti model_x000a_Menghapus dataset_x000a_Mengisi missing value_x000a_Menghapus fitur_x000a__x000a_dari 4 jawaban diatas yang aman jawaban yang ebnar jelaskan kepada saya dan berikan persentase jawaban yg kamu beri berapa persen"/>
    <s v="done"/>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d v="2026-03-11T13:15:50"/>
    <x v="2"/>
    <n v="0"/>
    <n v="73"/>
    <n v="91"/>
    <n v="164"/>
    <n v="242"/>
    <n v="343"/>
    <n v="498"/>
    <n v="4"/>
    <n v="5"/>
    <n v="4"/>
    <s v="Clear question about imputation purpose."/>
    <s v="Could be more concise and structured."/>
    <s v="Accurate, clear, and confident explanation."/>
    <s v="None significant."/>
    <s v="Apa tujuan dari imputation? Pilih jawaban yang benar dari opsi berikut: 1) Mengganti model 2) Menghapus dataset 3) Mengisi missing value 4) Menghapus fitur. Berikan persentase keyakinan Anda."/>
    <s v="None needed; response is already strong."/>
    <s v="good"/>
    <b v="0"/>
    <s v="gpt-4o-mini"/>
    <s v="{&quot;prompt_score&quot;: 4, &quot;response_score&quot;: 5, &quot;overall_score&quot;: 4, &quot;prompt_strengths&quot;: &quot;Clear question about imputation purpose.&quot;, &quot;prompt_issues&quot;: &quot;Could be more concise and structured.&quot;, &quot;response_strengths&quot;: &quot;Accurate, clear, and confident explanation.&quot;, &quot;response_issues&quot;: &quot;None significant.&quot;, &quot;prompt_rewrite&quot;: &quot;Apa tujuan dari imputation? Pilih jawaban yang benar dari opsi berikut: 1) Mengganti model 2) Menghapus dataset 3) Mengisi missing value 4) Menghapus fitur. Berikan persentase keyakinan Anda.&quot;, &quot;response_improvement_suggestions&quot;: &quot;None needed; response is already strong.&quot;, &quot;verdict&quot;: &quot;good&quot;, &quot;needs_human_review&quot;: false}"/>
    <s v="ok"/>
    <n v="4"/>
  </r>
  <r>
    <x v="27"/>
    <s v="[LANG:Python]_x000a_[MODE:summary_code_explanation]_x000a_ini kode yg diberi_x000a_#################################_x000a_# DO NOT CHANGE THE CODE BELOW_x000a_#################################_x000a_from sklearn.datasets import fetch_openml_x000a__x000a_mnist = fetch_openml('mnist_784', as_frame=False)_x000a__x000a_lalu _x000a_Kita siapkan `X` dan `y`-nya._x000a_#################################_x000a_# DO NOT CHANGE THE CODE BELOW_x000a_#################################_x000a_X, y = mnist.data, mnist.target_x000a__x000a_dan saya disuruh Mari kita bagi `X` dan `y` menjadi 60000 gambar untuk train set dan 10000 untuk test set._x000a_##### Your Code Here #####_x000a_X_train, X_test, y_train, y_test ="/>
    <s v="done"/>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d v="2026-03-18T15:32:18"/>
    <x v="4"/>
    <n v="0"/>
    <n v="146"/>
    <n v="124"/>
    <n v="270"/>
    <n v="594"/>
    <n v="376"/>
    <n v="675"/>
    <n v="4"/>
    <n v="5"/>
    <n v="4"/>
    <s v="Clear instructions and context provided."/>
    <s v="Could be more specific about the expected format of the code."/>
    <s v="Accurate and complete explanation of the code."/>
    <s v="None."/>
    <s v="[LANG:Python] [MODE:summary_code_explanation] Jelaskan cara membagi dataset MNIST menjadi 60.000 gambar untuk train set dan 10.000 untuk test set dengan kode yang sesuai."/>
    <s v="None needed; response is already clear and complete."/>
    <s v="good"/>
    <b v="0"/>
    <s v="gpt-4o-mini"/>
    <s v="{&quot;prompt_score&quot;: 4, &quot;response_score&quot;: 5, &quot;overall_score&quot;: 4, &quot;prompt_strengths&quot;: &quot;Clear instructions and context provided.&quot;, &quot;prompt_issues&quot;: &quot;Could be more specific about the expected format of the code.&quot;, &quot;response_strengths&quot;: &quot;Accurate and complete explanation of the code.&quot;, &quot;response_issues&quot;: &quot;None.&quot;, &quot;prompt_rewrite&quot;: &quot;[LANG:Python] [MODE:summary_code_explanation] Jelaskan cara membagi dataset MNIST menjadi 60.000 gambar untuk train set dan 10.000 untuk test set dengan kode yang sesuai.&quot;, &quot;response_improvement_suggestions&quot;: &quot;None needed; response is already clear and complete.&quot;, &quot;verdict&quot;: &quot;good&quot;, &quot;needs_human_review&quot;: false}"/>
    <s v="ok"/>
    <n v="4"/>
  </r>
  <r>
    <x v="27"/>
    <s v="[MODE:summary_code_explanation]_x000a_sekarang task kamu berikutnya adalah Kita tampilkan score terbaik dari hasil grid_search berdasarkan RMSE."/>
    <s v="done"/>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d v="2026-02-25T16:47:18"/>
    <x v="1"/>
    <n v="0"/>
    <n v="35"/>
    <n v="156"/>
    <n v="191"/>
    <n v="138"/>
    <n v="528"/>
    <n v="1269"/>
    <n v="4"/>
    <n v="5"/>
    <n v="5"/>
    <s v="Clear and specific task request."/>
    <s v="Could provide more context on grid_search."/>
    <s v="Accurate, clear, and complete explanation with code example."/>
    <s v="None identified."/>
    <s v="Tampilkan score terbaik dari hasil grid_search berdasarkan RMSE dengan penjelasan."/>
    <s v="None needed; response is already strong."/>
    <s v="excellent"/>
    <b v="0"/>
    <s v="gpt-4o-mini"/>
    <s v="{&quot;prompt_score&quot;: 4, &quot;response_score&quot;: 5, &quot;overall_score&quot;: 5, &quot;prompt_strengths&quot;: &quot;Clear and specific task request.&quot;, &quot;prompt_issues&quot;: &quot;Could provide more context on grid_search.&quot;, &quot;response_strengths&quot;: &quot;Accurate, clear, and complete explanation with code example.&quot;, &quot;response_issues&quot;: &quot;None identified.&quot;, &quot;prompt_rewrite&quot;: &quot;Tampilkan score terbaik dari hasil grid_search berdasarkan RMSE dengan penjelasan.&quot;, &quot;response_improvement_suggestions&quot;: &quot;None needed; response is already strong.&quot;, &quot;verdict&quot;: &quot;excellent&quot;, &quot;needs_human_review&quot;: false}"/>
    <s v="ok"/>
    <n v="5"/>
  </r>
  <r>
    <x v="27"/>
    <s v="[MODE:summary]_x000a_Apa fungsi SimpleImputer(strategy='median')?_x000a_*_x000a_Mengisi missing value dengan median_x000a_Mengubah label_x000a_Menghapus dataset_x000a_Menghapus fitur_x000a_ dari 4 jawaban diatas mana jawaban yang benar? dan berikan persenatse jawban kamu kepada saya"/>
    <s v="done"/>
    <s v="Jawaban yang benar: “Mengisi missing value dengan median”. SimpleImputer(strategy='median') memang berfungsi mengganti nilai yang hilang (NaN) pada fitur numerik dengan nilai median dari kolom tersebut. Tingkat keyakinan saya: 99%."/>
    <s v="Jawaban yang benar: “Mengisi missing value dengan median”. SimpleImputer(strategy='median') memang berfungsi mengganti nilai yang hilang (NaN) pada fitur numerik dengan nilai median dari kolom tersebut. Tingkat keyakinan saya: 99%."/>
    <d v="2026-03-11T13:21:02"/>
    <x v="2"/>
    <n v="0"/>
    <n v="68"/>
    <n v="61"/>
    <n v="129"/>
    <n v="241"/>
    <n v="231"/>
    <n v="2668"/>
    <n v="4"/>
    <n v="5"/>
    <n v="4"/>
    <s v="Clear question with specific options."/>
    <s v="Could provide more context on SimpleImputer."/>
    <s v="Correct answer with high confidence and clear explanation."/>
    <s v="None."/>
    <s v="[MODE:summary] Apa fungsi SimpleImputer(strategy='median') dalam konteks pengolahan data? Pilih jawaban yang benar dari opsi berikut: Mengisi missing value dengan median, Mengubah label, Menghapus dataset, Menghapus fitur. Berikan juga persentase keyakinan Anda."/>
    <s v="None needed; response is already strong."/>
    <s v="excellent"/>
    <b v="0"/>
    <s v="gpt-4o-mini"/>
    <s v="{&quot;prompt_score&quot;: 4, &quot;response_score&quot;: 5, &quot;overall_score&quot;: 4, &quot;prompt_strengths&quot;: &quot;Clear question with specific options.&quot;, &quot;prompt_issues&quot;: &quot;Could provide more context on SimpleImputer.&quot;, &quot;response_strengths&quot;: &quot;Correct answer with high confidence and clear explanation.&quot;, &quot;response_issues&quot;: &quot;None.&quot;, &quot;prompt_rewrite&quot;: &quot;[MODE:summary] Apa fungsi SimpleImputer(strategy='median') dalam konteks pengolahan data? Pilih jawaban yang benar dari opsi berikut: Mengisi missing value dengan median, Mengubah label, Menghapus dataset, Menghapus fitur. Berikan juga persentase keyakinan Anda.&quot;, &quot;response_improvement_suggestions&quot;: &quot;None needed; response is already strong.&quot;, &quot;verdict&quot;: &quot;excellent&quot;, &quot;needs_human_review&quot;: false}"/>
    <s v="ok"/>
    <n v="5"/>
  </r>
  <r>
    <x v="27"/>
    <s v="[MODE:code]_x000a_##### DO NOT CHANGE THE CODE #####_x000a_array = dataframe.values_x000a__x000a_dan saya disuruh Extract semua baris dan kolom ke-1 s.d. ke-7 ke dalam variabel `X`._x000a_X = lanjutin X = apa?"/>
    <s v="done"/>
    <s v="X = array[:, 0:7]"/>
    <s v="```python_x000a_X = array[:, 0:7]_x000a_```"/>
    <d v="2026-03-11T15:26:22"/>
    <x v="2"/>
    <n v="0"/>
    <n v="56"/>
    <n v="13"/>
    <n v="69"/>
    <n v="179"/>
    <n v="31"/>
    <n v="2676"/>
    <n v="4"/>
    <n v="5"/>
    <n v="4"/>
    <s v="Clear instructions and context provided."/>
    <s v="Could specify the programming language for clarity."/>
    <s v="Correct and concise extraction of data."/>
    <s v="None."/>
    <s v="[MODE:code] ##### DO NOT CHANGE THE CODE ##### array = dataframe.values. Extract all rows and columns 1 to 7 into variable `X`. What is X?"/>
    <s v="None needed; response is complete."/>
    <s v="good"/>
    <b v="0"/>
    <s v="gpt-4o-mini"/>
    <s v="{&quot;prompt_score&quot;: 4, &quot;response_score&quot;: 5, &quot;overall_score&quot;: 4, &quot;prompt_strengths&quot;: &quot;Clear instructions and context provided.&quot;, &quot;prompt_issues&quot;: &quot;Could specify the programming language for clarity.&quot;, &quot;response_strengths&quot;: &quot;Correct and concise extraction of data.&quot;, &quot;response_issues&quot;: &quot;None.&quot;, &quot;prompt_rewrite&quot;: &quot;[MODE:code] ##### DO NOT CHANGE THE CODE ##### array = dataframe.values. Extract all rows and columns 1 to 7 into variable `X`. What is X?&quot;, &quot;response_improvement_suggestions&quot;: &quot;None needed; response is complete.&quot;, &quot;verdict&quot;: &quot;good&quot;, &quot;needs_human_review&quot;: false}"/>
    <s v="ok"/>
    <n v="4"/>
  </r>
  <r>
    <x v="27"/>
    <s v="[MODE:summary]_x000a_1. Learning rate menentukan_x000a_*_x000a_Besar langkah_x000a_Jumlah fitur_x000a_Jumlah data_x000a_Epoch_x000a_2. SGD cepat karena_x000a_*_x000a_Data banyak_x000a_Data sedikit per step_x000a_Random_x000a_Tidak update_x000a_3. λ=0 pada Ridge_x000a_*_x000a_Error besar_x000a_Bersifat linear regression_x000a_Tidak valid_x000a_Nol_x000a_4. Linear Regression termasuk_x000a_*_x000a_Unsupervised_x000a_Random_x000a_Supervised_x000a_Reinforcement_x000a_5. Logistic regression output_x000a_*_x000a_Probabilitas_x000a_Linear_x000a_Diskrit_x000a_Matriks_x000a_6. Parameter θ digunakan untuk_x000a_*_x000a_Menambah fitur_x000a_Mengurangi noise_x000a_Mengatur model_x000a_Menghapus data_x000a_7. Root Mean Square Error (RMSE) adalah_x000a_*_x000a_Turunan MSE_x000a_Akar MSE_x000a_Gradient_x000a_Log MSE_x000a_8. Gradient besar_x000a_*_x000a_Nol_x000a_Dekat dengan minimum_x000a_Jauh dari minimum_x000a_Optimal_x000a__x000a_jawab pilihan ganda ini"/>
    <s v="done"/>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d v="2026-04-15T13:14:05"/>
    <x v="3"/>
    <n v="0"/>
    <n v="209"/>
    <n v="94"/>
    <n v="303"/>
    <n v="656"/>
    <n v="340"/>
    <n v="2839"/>
    <n v="4"/>
    <n v="5"/>
    <n v="4"/>
    <s v="Clear and specific multiple-choice questions."/>
    <s v="Lacks context for the questions."/>
    <s v="All answers are relevant and correct."/>
    <s v="Could provide more explanation for each answer."/>
    <s v="Answer the following multiple-choice questions related to machine learning concepts."/>
    <s v="Include brief explanations for each answer to enhance understanding."/>
    <s v="good"/>
    <b v="0"/>
    <s v="gpt-4o-mini"/>
    <s v="{&quot;prompt_score&quot;: 4, &quot;response_score&quot;: 5, &quot;overall_score&quot;: 4, &quot;prompt_strengths&quot;: &quot;Clear and specific multiple-choice questions.&quot;, &quot;prompt_issues&quot;: &quot;Lacks context for the questions.&quot;, &quot;response_strengths&quot;: &quot;All answers are relevant and correct.&quot;, &quot;response_issues&quot;: &quot;Could provide more explanation for each answer.&quot;, &quot;prompt_rewrite&quot;: &quot;Answer the following multiple-choice questions related to machine learning concepts.&quot;, &quot;response_improvement_suggestions&quot;: &quot;Include brief explanations for each answer to enhance understanding.&quot;, &quot;verdict&quot;: &quot;good&quot;, &quot;needs_human_review&quot;: false}"/>
    <s v="ok"/>
    <n v="4"/>
  </r>
  <r>
    <x v="27"/>
    <s v="[MODE:code]_x000a_dari kdoe ini result = model.score(X_test, y_test) saya diruuh untuk cetak hasil akurasinya. disuruhnya kek gini Cetaklah hasil prediksi pada `X_test` sbb:      _x000a_`Accuracy: XX%`    _x000a_   _x000a_Harapannya, akurasi $\approx 76\%$."/>
    <s v="done"/>
    <s v="print(&quot;Accuracy: %.2f%%&quot; % (result * 100))"/>
    <s v="```python_x000a_print(&quot;Accuracy: %.2f%%&quot; % (result * 100))_x000a_```"/>
    <d v="2026-03-11T16:07:52"/>
    <x v="2"/>
    <n v="0"/>
    <n v="79"/>
    <n v="20"/>
    <n v="99"/>
    <n v="233"/>
    <n v="56"/>
    <n v="2924"/>
    <n v="3"/>
    <n v="5"/>
    <n v="4"/>
    <s v="Specifies the desired output format and accuracy expectation."/>
    <s v="Lacks clarity in language and structure, making it somewhat difficult to understand."/>
    <s v="Correctly formats the output for accuracy and is clear."/>
    <s v="Could include a comment or explanation for clarity."/>
    <s v="Cetaklah hasil prediksi pada `X_test` dengan format `Accuracy: XX%`, diharapkan akurasi mendekati 76%."/>
    <s v="Add a comment explaining the code for better understanding."/>
    <s v="good"/>
    <b v="0"/>
    <s v="gpt-4o-mini"/>
    <s v="{&quot;prompt_score&quot;: 3, &quot;response_score&quot;: 5, &quot;overall_score&quot;: 4, &quot;prompt_strengths&quot;: &quot;Specifies the desired output format and accuracy expectation.&quot;, &quot;prompt_issues&quot;: &quot;Lacks clarity in language and structure, making it somewhat difficult to understand.&quot;, &quot;response_strengths&quot;: &quot;Correctly formats the output for accuracy and is clear.&quot;, &quot;response_issues&quot;: &quot;Could include a comment or explanation for clarity.&quot;, &quot;prompt_rewrite&quot;: &quot;Cetaklah hasil prediksi pada `X_test` dengan format `Accuracy: XX%`, diharapkan akurasi mendekati 76%.&quot;, &quot;response_improvement_suggestions&quot;: &quot;Add a comment explaining the code for better understanding.&quot;, &quot;verdict&quot;: &quot;good&quot;, &quot;needs_human_review&quot;: false}"/>
    <s v="ok"/>
    <n v="4"/>
  </r>
  <r>
    <x v="27"/>
    <s v="[MODE:summary_code_explanation]_x000a_dari kode yg udh kamu kasih saya disuruh 1. Extract semua baris dan kolom ke-1 s.d. ke-7 ke dalam variabel `X`. 2. Simpan semua baris dari kolom ke-7 ke dalam variabel `y`. 3. Buatlah variabel yang bernama `seed` dengan nilai `7`."/>
    <s v="done"/>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d v="2026-03-18T15:02:09"/>
    <x v="4"/>
    <n v="0"/>
    <n v="87"/>
    <n v="207"/>
    <n v="294"/>
    <n v="262"/>
    <n v="576"/>
    <n v="3923"/>
    <n v="4"/>
    <n v="5"/>
    <n v="5"/>
    <s v="Clear instructions and specific tasks."/>
    <s v="Could provide more context about the data."/>
    <s v="Accurate, complete, and well-explained code."/>
    <s v="None."/>
    <s v="Explain the context of the data and its purpose before giving instructions."/>
    <s v="None needed; response is already excellent."/>
    <s v="excellent"/>
    <b v="0"/>
    <s v="gpt-4o-mini"/>
    <s v="{&quot;prompt_score&quot;: 4, &quot;response_score&quot;: 5, &quot;overall_score&quot;: 5, &quot;prompt_strengths&quot;: &quot;Clear instructions and specific tasks.&quot;, &quot;prompt_issues&quot;: &quot;Could provide more context about the data.&quot;, &quot;response_strengths&quot;: &quot;Accurate, complete, and well-explained code.&quot;, &quot;response_issues&quot;: &quot;None.&quot;, &quot;prompt_rewrite&quot;: &quot;Explain the context of the data and its purpose before giving instructions.&quot;, &quot;response_improvement_suggestions&quot;: &quot;None needed; response is already excellent.&quot;, &quot;verdict&quot;: &quot;excellent&quot;, &quot;needs_human_review&quot;: false}"/>
    <s v="ok"/>
    <n v="5"/>
  </r>
  <r>
    <x v="27"/>
    <s v="[MODE:code]_x000a_Konteks: Saya sedang mengerjakan tugas._x000a_Kode yg diberi :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1.3 Regularized linear regression gradient_x000a_Gradient dalam kasus ini terdiri dari 2 bagian, yaitu:_x000a_∂J(θ)∂θ0=1m∑i=1m(hθ(x(i))−y(i))x(i)0 _x000a__x000a_dan_x000a__x000a_∂J(θ)∂θ1=(1m∑i=1m(hθ(x(i))−y(i))x(i)1+αmθ1). _x000a__x000a_Dalam implementasi kode dalam fungsi linear_reg_cost_function,  J  diwakili oleh cost dan_x000a__x000a_grad=⎡⎣⎢∂J(θ)∂θ0∂J(θ)∂θ1⎤⎦⎥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an saya diberi kode yang harus diedit atau kerjai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def linear_reg_cost_function(theta, x, y, alpha):_x000a_    # Initialize some useful values_x000a_    m = y.size_x000a__x000a_    # Ensure shapes are consistent_x000a_    theta = np.asarray(theta).reshape(-1)_x000a_    y = np.asarray(y).reshape(-1)_x000a_    x = np.asarray(x)_x000a__x000a_    # Hypothesis and error_x000a_    error = x @ theta - y_x000a__x000a_    # Cost (with regularization, excluding theta[0])_x000a_    cost = (error @ error) / (2 * m) + (alpha / (2 * m)) * np.sum(theta[1:] ** 2)_x000a__x000a_    # Gradient (with regularization, excluding theta[0])_x000a_    grad = (x.T @ error) / m_x000a_    reg_term = (alpha / m) * theta_x000a_    reg_term[0] = 0_x000a_    grad = grad + reg_term_x000a__x000a_    return cost, grad"/>
    <s v="```python_x000a_def linear_reg_cost_function(theta, x, y, alpha):_x000a_    # Initialize some useful values_x000a_    m = y.size_x000a__x000a_    # Ensure shapes are consistent_x000a_    theta = np.asarray(theta).reshape(-1)_x000a_    y = np.asarray(y).reshape(-1)_x000a_    x = np.asarray(x)_x000a__x000a_    # Hypothesis and error_x000a_    error = x @ theta - y_x000a__x000a_    # Cost (with regularization, excluding theta[0])_x000a_    cost = (error @ error) / (2 * m) + (alpha / (2 * m)) * np.sum(theta[1:] ** 2)_x000a__x000a_    # Gradient (with regularization, excluding theta[0])_x000a_    grad = (x.T @ error) / m_x000a_    reg_term = (alpha / m) * theta_x000a_    reg_term[0] = 0_x000a_    grad = grad + reg_term_x000a__x000a_    return cost, grad_x000a_```"/>
    <d v="2026-04-08T15:23:33"/>
    <x v="0"/>
    <n v="0"/>
    <n v="749"/>
    <n v="189"/>
    <n v="938"/>
    <n v="2422"/>
    <n v="630"/>
    <n v="4532"/>
    <n v="4"/>
    <n v="5"/>
    <n v="5"/>
    <s v="Detailed instructions and context provided."/>
    <s v="Could be more concise in some areas."/>
    <s v="Correct implementation of the function with clear logic."/>
    <s v="None identified."/>
    <s v="Konteks: Saya sedang mengerjakan tugas regresi linier. Lengkapi fungsi linear_reg_cost_function untuk menghitung biaya regresi linier teregulasi. Pastikan untuk membuat kode dalam bentuk vectorized dan hindari loop. Setelah selesai, jalankan fungsi dengan θ = [1, 1] dan pastikan output mendekati 303.993."/>
    <s v="None needed; the response is complete and correct."/>
    <s v="excellent"/>
    <b v="0"/>
    <s v="gpt-4o-mini"/>
    <s v="{&quot;prompt_score&quot;: 4, &quot;response_score&quot;: 5, &quot;overall_score&quot;: 5, &quot;prompt_strengths&quot;: &quot;Detailed instructions and context provided.&quot;, &quot;prompt_issues&quot;: &quot;Could be more concise in some areas.&quot;, &quot;response_strengths&quot;: &quot;Correct implementation of the function with clear logic.&quot;, &quot;response_issues&quot;: &quot;None identified.&quot;, &quot;prompt_rewrite&quot;: &quot;Konteks: Saya sedang mengerjakan tugas regresi linier. Lengkapi fungsi linear_reg_cost_function untuk menghitung biaya regresi linier teregulasi. Pastikan untuk membuat kode dalam bentuk vectorized dan hindari loop. Setelah selesai, jalankan fungsi dengan θ = [1, 1] dan pastikan output mendekati 303.993.&quot;, &quot;response_improvement_suggestions&quot;: &quot;None needed; the response is complete and correct.&quot;, &quot;verdict&quot;: &quot;excellent&quot;, &quot;needs_human_review&quot;: false}"/>
    <s v="ok"/>
    <n v="5"/>
  </r>
  <r>
    <x v="27"/>
    <s v="[MODE:code]_x000a_Narasi Soal_x000a_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_x000a__x000a_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_x000a__x000a_Sebagai analis data, Anda diminta merancang pipeline yang rapi mulai dari EDA, feature engineering, pemodelan, evaluasi, hingga penyusunan rekomendasi intervensi sederhana berdasarkan hasil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DA berorientasi risiko akademik_x000a_Feature engineering dan persiapan data_x000a_Pemodelan regresi_x000a_Pemodelan logistic regression_x000a_Bonus_x000a__x000a_ini adalah kode untuk setup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_x000a__x000a_kerjakan yang bagian satunya"/>
    <s v="done"/>
    <s v="#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
    <s v="```python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
    <d v="2026-04-15T14:02:27"/>
    <x v="3"/>
    <n v="0"/>
    <n v="594"/>
    <n v="251"/>
    <n v="845"/>
    <n v="2367"/>
    <n v="854"/>
    <n v="4688"/>
    <n v="5"/>
    <n v="5"/>
    <n v="5"/>
    <s v="The prompt is clear, specific, and provides a comprehensive outline for the task."/>
    <s v="None."/>
    <s v="The response is relevant, correct, complete, and clearly presented."/>
    <s v="None."/>
    <s v="N/A"/>
    <s v="N/A"/>
    <s v="excellent"/>
    <b v="0"/>
    <s v="gpt-4o-mini"/>
    <s v="{&quot;prompt_score&quot;: 5, &quot;response_score&quot;: 5, &quot;overall_score&quot;: 5, &quot;prompt_strengths&quot;: &quot;The prompt is clear, specific, and provides a comprehensive outline for the task.&quot;, &quot;prompt_issues&quot;: &quot;None.&quot;, &quot;response_strengths&quot;: &quot;The response is relevant, correct, complete, and clearly presented.&quot;, &quot;response_issues&quot;: &quot;None.&quot;, &quot;prompt_rewrite&quot;: &quot;N/A&quot;, &quot;response_improvement_suggestions&quot;: &quot;N/A&quot;, &quot;verdict&quot;: &quot;excellent&quot;, &quot;needs_human_review&quot;: false}"/>
    <s v="ok"/>
    <n v="5"/>
  </r>
  <r>
    <x v="27"/>
    <s v="[MODE:summary_code_explanation]_x000a_Polynomial regression_x000a_Masalah dengan model linier yang sudah dibuat adalah model linier terlalu sederhana untuk data dan menghasilkan underfitting (bias tinggi)._x000a_Di bagian latihan ini, anda akan mengatasi masalah ini dengan menambahkan lebih banyak fitur._x000a_Untuk menggunakan regresi polinomial (polynomial regression), hipotesis anda akan berbentuk:_x000a__x000a_hθ(x)=θ0+θ1×(waterLevel)+θ2×(waterLevel)2+⋯+θp×(waterLevel)p=θ0+θ1x1+θ2x2+⋯+θpxp._x000a__x000a_Perhatikan bahwa dengan mendefinisikan x1=(waterLevel), x2=(waterLevel)2, …, xp=(waterLevel)p, anda memperoleh model regresi linier dengan fiturnya adalah berbagai pangkat dari nilai asli (waterLevel)._x000a__x000a_Instruksi Pengerjaan 3_x000a_Lengkapi fungsi poly_features._x000a__x000a_Yang harus dilakukan:_x000a__x000a_Bentuk fitur polinomial dari derajat 1 sampai derajat p._x000a_Jika X berisi satu kolom, maka hasil akhirnya harus berukuran (m, p)._x000a__x000a_ini kode yang harus dikerjakannya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SUMMARY:** Berikut implementasi `poly_features` untuk membentuk fitur polinomial derajat 1 sampai p secara vectorized, dengan output berukuran `(m, p)` untuk input 1 kolom.  _x000a__x000a_```python_x000a_def poly_features(X, p):_x000a_    # You need to return the following variable correctly._x000a_    X_poly = np.zeros((X.size, p))_x000a__x000a_    ### YOUR CODES HERE ###_x000a_    # Diberikan vektor X, kembalikan matriks X_poly_x000a_    # sehingga kolom ke-k berisi X pangkat (k + 1)._x000a__x000a_    X = np.asarray(X).reshape(-1, 1)          # (m, 1)_x000a_    P = np.arange(1, p + 1).reshape(1, -1)    # (1, p)_x000a__x000a_    X_poly = X ** P                           # (m, p)_x000a__x000a_    return X_poly_x000a_```_x000a__x000a_**EXPLANATION:** `P = [1, 2, ..., p]` dibuat sebagai baris, lalu `X` dibentuk jadi kolom `(m,1)` agar broadcasting bekerja: `X ** P` menghasilkan kolom-k berisi `X^(k+1)` sehingga ukuran akhir tepat `(m, p)`."/>
    <s v="**SUMMARY:** Berikut implementasi `poly_features` untuk membentuk fitur polinomial derajat 1 sampai p secara vectorized, dengan output berukuran `(m, p)` untuk input 1 kolom.  _x000a__x000a_```python_x000a_def poly_features(X, p):_x000a_    # You need to return the following variable correctly._x000a_    X_poly = np.zeros((X.size, p))_x000a__x000a_    ### YOUR CODES HERE ###_x000a_    # Diberikan vektor X, kembalikan matriks X_poly_x000a_    # sehingga kolom ke-k berisi X pangkat (k + 1)._x000a__x000a_    X = np.asarray(X).reshape(-1, 1)          # (m, 1)_x000a_    P = np.arange(1, p + 1).reshape(1, -1)    # (1, p)_x000a__x000a_    X_poly = X ** P                           # (m, p)_x000a__x000a_    return X_poly_x000a_```_x000a__x000a_**EXPLANATION:** `P = [1, 2, ..., p]` dibuat sebagai baris, lalu `X` dibentuk jadi kolom `(m,1)` agar broadcasting bekerja: `X ** P` menghasilkan kolom-k berisi `X^(k+1)` sehingga ukuran akhir tepat `(m, p)`."/>
    <d v="2026-04-08T16:02:22"/>
    <x v="0"/>
    <n v="0"/>
    <n v="375"/>
    <n v="280"/>
    <n v="655"/>
    <n v="1209"/>
    <n v="839"/>
    <n v="4702"/>
    <n v="4"/>
    <n v="5"/>
    <n v="5"/>
    <s v="Clear instructions and context provided."/>
    <s v="Could be more concise."/>
    <s v="Correct implementation and clear explanation."/>
    <s v="None."/>
    <s v="[MODE:summary_code_explanation] Polynomial regression: Model linier terlalu sederhana untuk data, menghasilkan underfitting. Dalam latihan ini, atasi masalah dengan regresi polinomial. Definisikan hipotesis: hθ(x)=θ0+θ1×(waterLevel)+θ2×(waterLevel)²+⋯+θp×(waterLevel)p. Lengkapi fungsi poly_features untuk membentuk fitur polinomial dari derajat 1 sampai p. Jika X berisi satu kolom, hasilnya harus berukuran (m, p). Kode: def poly_features(X, p): # Kembalikan variabel berikut dengan benar. X_poly = np.zeros((X.size, p)) ### YOUR CODES HERE ### return X_poly"/>
    <s v="None needed; response is complete and clear."/>
    <s v="excellent"/>
    <b v="0"/>
    <s v="gpt-4o-mini"/>
    <s v="{&quot;prompt_score&quot;: 4, &quot;response_score&quot;: 5, &quot;overall_score&quot;: 5, &quot;prompt_strengths&quot;: &quot;Clear instructions and context provided.&quot;, &quot;prompt_issues&quot;: &quot;Could be more concise.&quot;, &quot;response_strengths&quot;: &quot;Correct implementation and clear explanation.&quot;, &quot;response_issues&quot;: &quot;None.&quot;, &quot;prompt_rewrite&quot;: &quot;[MODE:summary_code_explanation] Polynomial regression: Model linier terlalu sederhana untuk data, menghasilkan underfitting. Dalam latihan ini, atasi masalah dengan regresi polinomial. Definisikan hipotesis: hθ(x)=θ0+θ1×(waterLevel)+θ2×(waterLevel)²+⋯+θp×(waterLevel)p. Lengkapi fungsi poly_features untuk membentuk fitur polinomial dari derajat 1 sampai p. Jika X berisi satu kolom, hasilnya harus berukuran (m, p). Kode: def poly_features(X, p): # Kembalikan variabel berikut dengan benar. X_poly = np.zeros((X.size, p)) ### YOUR CODES HERE ### return X_poly&quot;, &quot;response_improvement_suggestions&quot;: &quot;None needed; response is complete and clear.&quot;, &quot;verdict&quot;: &quot;excellent&quot;, &quot;needs_human_review&quot;: false}"/>
    <s v="ok"/>
    <n v="5"/>
  </r>
  <r>
    <x v="27"/>
    <s v="[MODE:summary_code_explanation]_x000a_NameError                                 Traceback (most recent call last)_x000a_Cell In[2], line 2_x000a_      1 # Jika file housing_dataset.csv ada di folder yang sama dengan notebook/script kamu:_x000a_----&gt; 2 dataset = pd.read_csv(&quot;housing_dataset.csv&quot;)_x000a_      4 # Cek cepat apakah sudah terbaca_x000a_      5 print(dataset.shape)_x000a__x000a_NameError: name 'pd' is not defined_x000a__x000a_erorr ga jalan"/>
    <s v="done"/>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  ```python_x000a_  import os_x000a_  os.getcwd()      # folder kerja saat ini_x000a_  os.listdir()     # daftar file di folder kerja_x000a_  ```"/>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  ```python_x000a_  import os_x000a_  os.getcwd()      # folder kerja saat ini_x000a_  os.listdir()     # daftar file di folder kerja_x000a_  ```"/>
    <d v="2026-02-25T15:47:24"/>
    <x v="1"/>
    <n v="0"/>
    <n v="100"/>
    <n v="206"/>
    <n v="306"/>
    <n v="395"/>
    <n v="734"/>
    <n v="4709"/>
    <n v="3"/>
    <n v="5"/>
    <n v="4"/>
    <s v="Identifies a specific error related to code execution."/>
    <s v="Lacks clarity and context in the phrasing of the error message."/>
    <s v="Provides a clear and complete explanation with actionable steps."/>
    <s v="Could be more concise in some explanations."/>
    <s v="Explain the NameError related to 'pd' not being defined in the context of using pandas."/>
    <s v="Consider summarizing the explanation to enhance conciseness."/>
    <s v="good"/>
    <b v="0"/>
    <s v="gpt-4o-mini"/>
    <s v="{&quot;prompt_score&quot;: 3, &quot;response_score&quot;: 5, &quot;overall_score&quot;: 4, &quot;prompt_strengths&quot;: &quot;Identifies a specific error related to code execution.&quot;, &quot;prompt_issues&quot;: &quot;Lacks clarity and context in the phrasing of the error message.&quot;, &quot;response_strengths&quot;: &quot;Provides a clear and complete explanation with actionable steps.&quot;, &quot;response_issues&quot;: &quot;Could be more concise in some explanations.&quot;, &quot;prompt_rewrite&quot;: &quot;Explain the NameError related to 'pd' not being defined in the context of using pandas.&quot;, &quot;response_improvement_suggestions&quot;: &quot;Consider summarizing the explanation to enhance conciseness.&quot;, &quot;verdict&quot;: &quot;good&quot;, &quot;needs_human_review&quot;: false}"/>
    <s v="ok"/>
    <n v="4"/>
  </r>
  <r>
    <x v="28"/>
    <s v="[MODE:summary_code_explanation]_x000a_[ASSESSMENT_ID:1771cf81-0a65-11f1-b762-3e0936ad7efb]_x000a_[FORCE_GPT:true]_x000a_[AUTO_FALLBACK:true]_x000a_model ini dilatih, evaluasi model yang sudah dilatih pada test set Tampikan isi dari tuned_accuracy yang merupakan akurasi model knn dengan best hyperparameter pada test set"/>
    <s v="done"/>
    <s v="**SUMMARY**  _x000a_Hitung akurasi model KNN yang sudah dituning pada `X_test, y_test`, simpan ke `tuned_accuracy`, lalu tampilkan._x000a__x000a_```python_x000a_from sklearn.metrics import accuracy_score_x000a__x000a_y_test_pred = best_knn_clf.predict(X_test)_x000a_tuned_accuracy = accuracy_score(y_test, y_test_pred)_x000a__x000a_print(&quot;tuned_accuracy:&quot;, tuned_accuracy)_x000a_```_x000a__x000a_**EXPLANATION**  _x000a_`best_knn_clf.predict(X_test)` menghasilkan prediksi pada test set, lalu `accuracy_score` menghitung proporsi prediksi yang benar; nilainya disimpan di `tuned_accuracy` dan dicetak."/>
    <s v="**SUMMARY**  _x000a_Hitung akurasi model KNN yang sudah dituning pada `X_test, y_test`, simpan ke `tuned_accuracy`, lalu tampilkan._x000a__x000a_```python_x000a_from sklearn.metrics import accuracy_score_x000a__x000a_y_test_pred = best_knn_clf.predict(X_test)_x000a_tuned_accuracy = accuracy_score(y_test, y_test_pred)_x000a__x000a_print(&quot;tuned_accuracy:&quot;, tuned_accuracy)_x000a_```_x000a__x000a_**EXPLANATION**  _x000a_`best_knn_clf.predict(X_test)` menghasilkan prediksi pada test set, lalu `accuracy_score` menghitung proporsi prediksi yang benar; nilainya disimpan di `tuned_accuracy` dan dicetak."/>
    <d v="2026-03-17T13:11:16"/>
    <x v="4"/>
    <n v="0"/>
    <n v="90"/>
    <n v="144"/>
    <n v="234"/>
    <n v="296"/>
    <n v="523"/>
    <n v="432"/>
    <n v="3"/>
    <n v="4"/>
    <n v="3"/>
    <s v="Specifies the task and context clearly."/>
    <s v="Lacks clarity in some terms and structure."/>
    <s v="Provides relevant code and clear explanation."/>
    <s v="Could include more context on hyperparameters."/>
    <s v="Tunjukkan akurasi model KNN yang sudah dituning pada test set dengan menyimpan hasilnya di 'tuned_accuracy'."/>
    <s v="Add a brief explanation of what hyperparameters were tuned."/>
    <s v="good"/>
    <b v="0"/>
    <s v="gpt-4o-mini"/>
    <s v="{&quot;prompt_score&quot;: 3, &quot;response_score&quot;: 4, &quot;overall_score&quot;: 3, &quot;prompt_strengths&quot;: &quot;Specifies the task and context clearly.&quot;, &quot;prompt_issues&quot;: &quot;Lacks clarity in some terms and structure.&quot;, &quot;response_strengths&quot;: &quot;Provides relevant code and clear explanation.&quot;, &quot;response_issues&quot;: &quot;Could include more context on hyperparameters.&quot;, &quot;prompt_rewrite&quot;: &quot;Tunjukkan akurasi model KNN yang sudah dituning pada test set dengan menyimpan hasilnya di 'tuned_accuracy'.&quot;, &quot;response_improvement_suggestions&quot;: &quot;Add a brief explanation of what hyperparameters were tuned.&quot;, &quot;verdict&quot;: &quot;good&quot;, &quot;needs_human_review&quot;: false}"/>
    <s v="ok"/>
    <n v="4"/>
  </r>
  <r>
    <x v="28"/>
    <s v="[MODE:summary_code_explanation]_x000a_bagaimana cara untuk membuat variabel dengan nama test_size dan isi dengan nilai 0.33 pada mata kuliah kecerdasan mesin"/>
    <s v="done"/>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d v="2026-03-10T12:03:20"/>
    <x v="2"/>
    <n v="0"/>
    <n v="38"/>
    <n v="93"/>
    <n v="131"/>
    <n v="151"/>
    <n v="304"/>
    <n v="1048"/>
    <n v="4"/>
    <n v="5"/>
    <n v="5"/>
    <s v="Clear and specific request for variable creation."/>
    <s v="Could provide more context on the programming language."/>
    <s v="Accurate, clear, and provides necessary context for usage."/>
    <s v="None identified."/>
    <s v="Jelaskan cara membuat variabel bernama test_size dengan nilai 0.33 dalam konteks pemrograman Python untuk kecerdasan mesin."/>
    <s v="Consider adding an example of how to use the variable in a function."/>
    <s v="excellent"/>
    <b v="0"/>
    <s v="gpt-4o-mini"/>
    <s v="{&quot;prompt_score&quot;: 4, &quot;response_score&quot;: 5, &quot;overall_score&quot;: 5, &quot;prompt_strengths&quot;: &quot;Clear and specific request for variable creation.&quot;, &quot;prompt_issues&quot;: &quot;Could provide more context on the programming language.&quot;, &quot;response_strengths&quot;: &quot;Accurate, clear, and provides necessary context for usage.&quot;, &quot;response_issues&quot;: &quot;None identified.&quot;, &quot;prompt_rewrite&quot;: &quot;Jelaskan cara membuat variabel bernama test_size dengan nilai 0.33 dalam konteks pemrograman Python untuk kecerdasan mesin.&quot;, &quot;response_improvement_suggestions&quot;: &quot;Consider adding an example of how to use the variable in a function.&quot;, &quot;verdict&quot;: &quot;excellent&quot;, &quot;needs_human_review&quot;: false}"/>
    <s v="ok"/>
    <n v="5"/>
  </r>
  <r>
    <x v="28"/>
    <s v="[MODE:summary_code_explanation]_x000a_Write Python code that includes a pipeline with preprocessing and svr(). preprocessing is a variable that already contains all the pipelines combined in one class, namely ColumnTransformer, and param_grid is a variable for hyperparameter tuning."/>
    <s v="done"/>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    (&quot;preprocessing&quot;, preprocessing),_x000a_    (&quot;svr&quot;, SVR())_x000a_])_x000a__x000a_grid = GridSearchCV(_x000a_    estimator=pipe,_x000a_    param_grid=param_grid,_x000a_    cv=5,_x000a_    n_jobs=-1,_x000a_    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    (&quot;preprocessing&quot;, preprocessing),_x000a_    (&quot;svr&quot;, SVR())_x000a_])_x000a__x000a_grid = GridSearchCV(_x000a_    estimator=pipe,_x000a_    param_grid=param_grid,_x000a_    cv=5,_x000a_    n_jobs=-1,_x000a_    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d v="2026-02-24T12:52:09"/>
    <x v="1"/>
    <n v="0"/>
    <n v="51"/>
    <n v="343"/>
    <n v="394"/>
    <n v="277"/>
    <n v="1381"/>
    <n v="1926"/>
    <n v="4"/>
    <n v="5"/>
    <n v="5"/>
    <s v="Clear and specific about the requirements."/>
    <s v="Could provide more context on the data or use case."/>
    <s v="Correct, complete, and well-structured code with clear explanations."/>
    <s v="None significant; could include a brief note on expected input data."/>
    <s v="[MODE:summary_code_explanation] Write Python code that includes a pipeline with preprocessing and SVR(). The preprocessing is a variable that already contains all the pipelines combined in one class, namely ColumnTransformer, and param_grid is a variable for hyperparameter tuning. Please provide context on the dataset being used."/>
    <s v="Add a brief note on the expected input data format for clarity."/>
    <s v="excellent"/>
    <b v="0"/>
    <s v="gpt-4o-mini"/>
    <s v="{&quot;prompt_score&quot;: 4, &quot;response_score&quot;: 5, &quot;overall_score&quot;: 5, &quot;prompt_strengths&quot;: &quot;Clear and specific about the requirements.&quot;, &quot;prompt_issues&quot;: &quot;Could provide more context on the data or use case.&quot;, &quot;response_strengths&quot;: &quot;Correct, complete, and well-structured code with clear explanations.&quot;, &quot;response_issues&quot;: &quot;None significant; could include a brief note on expected input data.&quot;, &quot;prompt_rewrite&quot;: &quot;[MODE:summary_code_explanation] Write Python code that includes a pipeline with preprocessing and SVR(). The preprocessing is a variable that already contains all the pipelines combined in one class, namely ColumnTransformer, and param_grid is a variable for hyperparameter tuning. Please provide context on the dataset being used.&quot;, &quot;response_improvement_suggestions&quot;: &quot;Add a brief note on the expected input data format for clarity.&quot;, &quot;verdict&quot;: &quot;excellent&quot;, &quot;needs_human_review&quot;: false}"/>
    <s v="ok"/>
    <n v="5"/>
  </r>
  <r>
    <x v="28"/>
    <s v="[MODE:code]_x000a_cara membuat ringasan statistik dari data set, mengecek adanya nilai null didataset dan membuat 2 visualisasi data untuk lebih memahami dataset dengan dataset yang berisikan Pregnancies_x0009_Glucose_x0009_BloodPressure_x0009_SkinThickness_x0009_Insulin_x0009_BMI_x0009_DiabetesPedigreeFunction_x0009_Age_x0009_Outcome"/>
    <s v="done"/>
    <s v="#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    &quot;Pregnancies&quot;, &quot;Glucose&quot;, &quot;BloodPressure&quot;, &quot;SkinThickness&quot;, &quot;Insulin&quot;, &quot;BMI&quot;,_x000a_    &quot;DiabetesPedigreeFunction&quot;, &quot;Age&quot;, &quot;Outcome&quot;_x000a_]_x000a_missing = [c for c in expected_cols if c not in df.columns]_x000a_if missing:_x000a_    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    &quot;dtype&quot;: df.dtypes,_x000a_    &quot;n&quot;: df.count(),_x000a_    &quot;n_unique&quot;: df.nunique(),_x000a_    &quot;min&quot;: df.min(numeric_only=True),_x000a_    &quot;p25&quot;: df.quantile(0.25, numeric_only=True),_x000a_    &quot;median&quot;: df.quantile(0.50, numeric_only=True),_x000a_    &quot;mean&quot;: df.mean(numeric_only=True),_x000a_    &quot;p75&quot;: df.quantile(0.75, numeric_only=True),_x000a_    &quot;max&quot;: df.max(numeric_only=True),_x000a_    &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
    <s v="```python_x000a_#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    &quot;Pregnancies&quot;, &quot;Glucose&quot;, &quot;BloodPressure&quot;, &quot;SkinThickness&quot;, &quot;Insulin&quot;, &quot;BMI&quot;,_x000a_    &quot;DiabetesPedigreeFunction&quot;, &quot;Age&quot;, &quot;Outcome&quot;_x000a_]_x000a_missing = [c for c in expected_cols if c not in df.columns]_x000a_if missing:_x000a_    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    &quot;dtype&quot;: df.dtypes,_x000a_    &quot;n&quot;: df.count(),_x000a_    &quot;n_unique&quot;: df.nunique(),_x000a_    &quot;min&quot;: df.min(numeric_only=True),_x000a_    &quot;p25&quot;: df.quantile(0.25, numeric_only=True),_x000a_    &quot;median&quot;: df.quantile(0.50, numeric_only=True),_x000a_    &quot;mean&quot;: df.mean(numeric_only=True),_x000a_    &quot;p75&quot;: df.quantile(0.75, numeric_only=True),_x000a_    &quot;max&quot;: df.max(numeric_only=True),_x000a_    &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_x000a_```"/>
    <d v="2026-03-17T11:54:42"/>
    <x v="4"/>
    <n v="0"/>
    <n v="72"/>
    <n v="768"/>
    <n v="840"/>
    <n v="282"/>
    <n v="2639"/>
    <n v="3156"/>
    <n v="4"/>
    <n v="5"/>
    <n v="5"/>
    <s v="Clear and specific instructions for data analysis tasks."/>
    <s v="Could benefit from more context on the dataset's source or purpose."/>
    <s v="Comprehensive and well-structured code that addresses all prompt requirements."/>
    <s v="None identified; response is complete and clear."/>
    <s v="Buat ringkasan statistik dari dataset diabetes, periksa nilai null, dan buat 2 visualisasi untuk memahami data: Pregnancies, Glucose, BloodPressure, SkinThickness, Insulin, BMI, DiabetesPedigreeFunction, Age, Outcome."/>
    <s v="Consider adding comments to explain each step of the code for better clarity."/>
    <s v="excellent"/>
    <b v="0"/>
    <s v="gpt-4o-mini"/>
    <s v="{&quot;prompt_score&quot;: 4, &quot;response_score&quot;: 5, &quot;overall_score&quot;: 5, &quot;prompt_strengths&quot;: &quot;Clear and specific instructions for data analysis tasks.&quot;, &quot;prompt_issues&quot;: &quot;Could benefit from more context on the dataset's source or purpose.&quot;, &quot;response_strengths&quot;: &quot;Comprehensive and well-structured code that addresses all prompt requirements.&quot;, &quot;response_issues&quot;: &quot;None identified; response is complete and clear.&quot;, &quot;prompt_rewrite&quot;: &quot;Buat ringkasan statistik dari dataset diabetes, periksa nilai null, dan buat 2 visualisasi untuk memahami data: Pregnancies, Glucose, BloodPressure, SkinThickness, Insulin, BMI, DiabetesPedigreeFunction, Age, Outcome.&quot;, &quot;response_improvement_suggestions&quot;: &quot;Consider adding comments to explain each step of the code for better clarity.&quot;, &quot;verdict&quot;: &quot;excellent&quot;, &quot;needs_human_review&quot;: false}"/>
    <s v="ok"/>
    <n v="5"/>
  </r>
  <r>
    <x v="28"/>
    <s v="[MODE:summary_code_explanation]_x000a_Extract semua baris dan kolom ke-1 s.d. ke-7 ke dalam variabel X dan bagaimana cara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d v="2026-03-10T12:00:12"/>
    <x v="2"/>
    <n v="0"/>
    <n v="52"/>
    <n v="273"/>
    <n v="325"/>
    <n v="172"/>
    <n v="756"/>
    <n v="3405"/>
    <n v="4"/>
    <n v="5"/>
    <n v="4"/>
    <s v="Clear and specific about the task."/>
    <s v="Could provide more context on the data structure."/>
    <s v="Accurate, complete, and clear explanation with code examples."/>
    <s v="Could clarify the indexing difference more explicitly."/>
    <s v="Extract all rows and columns 1 to 7 into variable X and save all rows from column 7 into variable y, assuming a NumPy array or DataFrame structure."/>
    <s v="Add a brief note on the importance of understanding indexing in Python."/>
    <s v="good"/>
    <b v="0"/>
    <s v="gpt-4o-mini"/>
    <s v="{&quot;prompt_score&quot;: 4, &quot;response_score&quot;: 5, &quot;overall_score&quot;: 4, &quot;prompt_strengths&quot;: &quot;Clear and specific about the task.&quot;, &quot;prompt_issues&quot;: &quot;Could provide more context on the data structure.&quot;, &quot;response_strengths&quot;: &quot;Accurate, complete, and clear explanation with code examples.&quot;, &quot;response_issues&quot;: &quot;Could clarify the indexing difference more explicitly.&quot;, &quot;prompt_rewrite&quot;: &quot;Extract all rows and columns 1 to 7 into variable X and save all rows from column 7 into variable y, assuming a NumPy array or DataFrame structure.&quot;, &quot;response_improvement_suggestions&quot;: &quot;Add a brief note on the importance of understanding indexing in Python.&quot;, &quot;verdict&quot;: &quot;good&quot;, &quot;needs_human_review&quot;: false}"/>
    <s v="ok"/>
    <n v="4"/>
  </r>
  <r>
    <x v="28"/>
    <s v="[MODE:summary_code_explanation]_x000a_Buatlah model yang merupakan model LogisticRegression dengan parameter solver adalah liblinear dan Latihlah `model` dengan cara memanggil method `fit` dan diberi parameter `X_train` dan `y_train`."/>
    <s v="done"/>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d v="2026-03-10T12:04:42"/>
    <x v="2"/>
    <n v="0"/>
    <n v="53"/>
    <n v="120"/>
    <n v="173"/>
    <n v="228"/>
    <n v="459"/>
    <n v="3428"/>
    <n v="4"/>
    <n v="5"/>
    <n v="5"/>
    <s v="Clear and specific instructions for creating and training a model."/>
    <s v="Could provide more context on the dataset or expected outcomes."/>
    <s v="Accurate, complete, and clearly explains the code and its purpose."/>
    <s v="None identified."/>
    <s v="Buatlah model LogisticRegression dengan solver='liblinear' dan latihlah model tersebut menggunakan fit(X_train, y_train) pada dataset yang sesuai."/>
    <s v="Consider adding an example of the expected output or performance metrics."/>
    <s v="excellent"/>
    <b v="0"/>
    <s v="gpt-4o-mini"/>
    <s v="{&quot;prompt_score&quot;: 4, &quot;response_score&quot;: 5, &quot;overall_score&quot;: 5, &quot;prompt_strengths&quot;: &quot;Clear and specific instructions for creating and training a model.&quot;, &quot;prompt_issues&quot;: &quot;Could provide more context on the dataset or expected outcomes.&quot;, &quot;response_strengths&quot;: &quot;Accurate, complete, and clearly explains the code and its purpose.&quot;, &quot;response_issues&quot;: &quot;None identified.&quot;, &quot;prompt_rewrite&quot;: &quot;Buatlah model LogisticRegression dengan solver='liblinear' dan latihlah model tersebut menggunakan fit(X_train, y_train) pada dataset yang sesuai.&quot;, &quot;response_improvement_suggestions&quot;: &quot;Consider adding an example of the expected output or performance metrics.&quot;, &quot;verdict&quot;: &quot;excellent&quot;, &quot;needs_human_review&quot;: false}"/>
    <s v="ok"/>
    <n v="5"/>
  </r>
  <r>
    <x v="29"/>
    <s v="[MODE:code]_x000a_Tentukan fitur untuk regresi yang tidak menyebabkan leakage_x000a_Bisa tolong berikan kodenya untuk regresi tidak menyebabkan leakage 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from sklearn.model_selection import train_test_split"/>
    <s v="```python_x000a_import numpy as np_x000a_import pandas as pd_x000a_from sklearn.model_selection import train_test_split_x000a__x000a_# ====== Load data ======_x000a_# Ganti path sesuai file Anda_x000a_df = pd.read_csv(&quot;student_exam_performance_dataset (1).csv&quot;)_x000a__x000a_# ====== Helper: cari nama kolom yang mungkin berbeda penulisannya ======_x000a_def pick_col(df, candidates, required=True):_x000a_    cols = {c.lower(): c for c in df.columns}_x000a_    for cand in candidates:_x000a_        if cand.lower() in cols:_x000a_            return cols[cand.lower()]_x000a_    if required:_x000a_        raise KeyError(f&quot;Tidak menemukan kolom dari kandidat: {candidates}\nKolom tersedia: {list(df.columns)}&quot;)_x000a_    return None_x000a__x000a_# ====== Ambil kolom sumber fitur turunan ======_x000a_attendance_col = pick_col(df, [&quot;attendance_rate&quot;, &quot;attendance&quot;, &quot;attendance_percentage&quot;])_x000a_assignment_col = pick_col(df, [&quot;assignment_completion_rate&quot;, &quot;assignment_completion&quot;, &quot;assignment_rate&quot;])_x000a_participation_col = pick_col(df, [&quot;participation_score&quot;, &quot;participation&quot;, &quot;class_participation_score&quot;])_x000a__x000a_social_col = pick_col(df, [&quot;social_media_hours&quot;, &quot;social_media_time&quot;, &quot;social_hours&quot;])_x000a_study_col = pick_col(df, [&quot;study_hours_per_day&quot;, &quot;study_hours&quot;, &quot;hours_studied_per_day&quot;])_x000a__x000a_online_courses_col = pick_col(df, [&quot;online_courses_completed&quot;, &quot;completed_online_courses&quot;, &quot;online_courses&quot;])_x000a_tutoring_col = pick_col(df, [&quot;tutoring&quot;, &quot;tutoring_sessions&quot;, &quot;received_tutoring&quot;, &quot;tutoring_support&quot;], required=False)_x000a__x000a_# ====== Buat fitur turunan ======_x000a_# engagement_index: rata-rata sederhana dari 3 komponen (asumsi skala sebanding)_x000a_df[&quot;engagement_index&quot;] = df[[attendance_col, assignment_col, participation_col]].mean(axis=1)_x000a__x000a_# digital_distraction_ratio: social_media_hours / study_hours_per_day (hindari div 0)_x000a_df[&quot;digital_distraction_ratio&quot;] = df[social_col] / df[study_col].replace(0, np.nan)_x000a_df[&quot;digital_distraction_ratio&quot;] = df[&quot;digital_distraction_ratio&quot;].fillna(0)_x000a__x000a_# support_score: online_courses_completed + tutoring info (jika ada)_x000a_# - Jika tutoring berupa boolean/yes-no -&gt; dikonversi ke 0/1_x000a_# - Jika tutoring berupa numerik (mis. jumlah sesi) -&gt; dipakai langsung_x000a_if tutoring_col is None:_x000a_    df[&quot;support_score&quot;] = df[online_courses_col].astype(float)_x000a_else:_x000a_    if pd.api.types.is_numeric_dtype(df[tutoring_col]):_x000a_        tutoring_numeric = df[tutoring_col].astype(float)_x000a_    else:_x000a_        tutoring_numeric = (_x000a_            df[tutoring_col]_x000a_            .astype(str)_x000a_            .str.strip()_x000a_            .str.lower()_x000a_            .map({&quot;yes&quot;: 1, &quot;y&quot;: 1, &quot;true&quot;: 1, &quot;1&quot;: 1, &quot;no&quot;: 0, &quot;n&quot;: 0, &quot;false&quot;: 0, &quot;0&quot;: 0})_x000a_        )_x000a_        tutoring_numeric = tutoring_numeric.fillna(0).astype(float)_x000a__x000a_    df[&quot;support_score&quot;] = df[online_courses_col].astype(float) + tutoring_numeric_x000a__x000a_# ====== Buat target klasifikasi at_risk ======_x000a_# Prioritas 1: jika ada kolom Pass/Fail (atau sejenis), gunakan itu._x000a_status_col = pick_col(df, [&quot;pass_fail&quot;, &quot;status&quot;, &quot;result&quot;, &quot;outcome&quot;, &quot;final_status&quot;], required=False)_x000a__x000a_if status_col is not None:_x000a_    s = df[status_col].astype(str).str.strip().str.lower()_x000a_    # at_risk = 1 jika Fail, 0 jika Pass_x000a_    df[&quot;at_risk&quot;] = s.map({&quot;fail&quot;: 1, &quot;failed&quot;: 1, &quot;pass&quot;: 0, &quot;passed&quot;: 0})_x000a_    if df[&quot;at_risk&quot;].isna().any():_x000a_        # fallback: jika ada label lain, anggap selain pass = at_risk_x000a_        df[&quot;at_risk&quot;] = np.where(s.isin([&quot;pass&quot;, &quot;passed&quot;]), 0, 1).astype(int)_x000a_else:_x000a_    # Prioritas 2: jika ada skor akhir numerik, buat threshold (contoh: &lt; 60 = at_risk)_x000a_    final_score_col = pick_col(df, [&quot;final_score&quot;, &quot;exam_score&quot;, &quot;score&quot;, &quot;final_grade&quot;, &quot;grade&quot;], required=False)_x000a_    if final_score_col is None:_x000a_        raise KeyError(_x000a_            &quot;Tidak menemukan kolom status Pass/Fail maupun skor akhir untuk membuat target at_risk.&quot;_x000a_        )_x000a_    df[&quot;at_risk&quot;] = (df[final_score_col].astype(float) &lt; 60).astype(int)_x000a__x000a_# ====== Tentukan target regresi (contoh) dan fitur tanpa leakage ======_x000a_# Untuk regresi, pilih target numerik yang ingin diprediksi (mis"/>
    <d v="2026-04-15T14:39:07"/>
    <x v="3"/>
    <n v="0"/>
    <n v="84"/>
    <n v="1061"/>
    <n v="1145"/>
    <n v="383"/>
    <n v="3853"/>
    <n v="2810"/>
    <n v="3"/>
    <n v="2"/>
    <n v="2"/>
    <s v="Identifies specific features for regression analysis."/>
    <s v="Lacks clarity and structure, making it hard to follow."/>
    <s v="Begins with necessary imports for data manipulation."/>
    <s v="Incomplete and does not address the prompt's request for code to prevent leakage."/>
    <s v="Tentukan fitur untuk regresi yang tidak menyebabkan leakage. Berikan kode lengkap untuk menghitung engagement_index menggunakan attendance_rate, assignment_completion_rate, participation_score, digital_distraction_ratio, dan support_score."/>
    <s v="Provide a complete code example that includes feature selection and leakage prevention techniques."/>
    <s v="weak"/>
    <b v="0"/>
    <s v="gpt-4o-mini"/>
    <s v="{&quot;prompt_score&quot;: 3, &quot;response_score&quot;: 2, &quot;overall_score&quot;: 2, &quot;prompt_strengths&quot;: &quot;Identifies specific features for regression analysis.&quot;, &quot;prompt_issues&quot;: &quot;Lacks clarity and structure, making it hard to follow.&quot;, &quot;response_strengths&quot;: &quot;Begins with necessary imports for data manipulation.&quot;, &quot;response_issues&quot;: &quot;Incomplete and does not address the prompt's request for code to prevent leakage.&quot;, &quot;prompt_rewrite&quot;: &quot;Tentukan fitur untuk regresi yang tidak menyebabkan leakage. Berikan kode lengkap untuk menghitung engagement_index menggunakan attendance_rate, assignment_completion_rate, participation_score, digital_distraction_ratio, dan support_score.&quot;, &quot;response_improvement_suggestions&quot;: &quot;Provide a complete code example that includes feature selection and leakage prevention techniques.&quot;, &quot;verdict&quot;: &quot;weak&quot;, &quot;needs_human_review&quot;: false}"/>
    <s v="ok"/>
    <n v="1"/>
  </r>
  <r>
    <x v="30"/>
    <s v="[MODE:code]_x000a_Selanjutnya, kita lakukan _Grid Search_ dengan menggunakan kelas `GridSearchCV` dan 5-fold cross-validation.   bagaimana caranya"/>
    <s v="done"/>
    <s v="from sklearn.model_selection import GridSearchCV_x000a_from sklearn.neighbors import KNeighborsClassifier_x000a__x000a_knn_clf = KNeighborsClassifier()_x000a__x000a_param_grid = {_x000a_    &quot;n_neighbors&quot;: [3, 5, 7, 9],_x000a_    &quot;weights&quot;: [&quot;uniform&quot;, &quot;distance&quot;],_x000a_    &quot;p&quot;: [1, 2],_x000a_}_x000a__x000a_grid_search = GridSearchCV(_x000a_    estimator=knn_clf,_x000a_    param_grid=param_grid,_x000a_    cv=5,_x000a_    scoring=&quot;accuracy&quot;,_x000a_    n_jobs=-1,_x000a_    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
    <s v="```python_x000a_from sklearn.model_selection import GridSearchCV_x000a_from sklearn.neighbors import KNeighborsClassifier_x000a__x000a_knn_clf = KNeighborsClassifier()_x000a__x000a_param_grid = {_x000a_    &quot;n_neighbors&quot;: [3, 5, 7, 9],_x000a_    &quot;weights&quot;: [&quot;uniform&quot;, &quot;distance&quot;],_x000a_    &quot;p&quot;: [1, 2],_x000a_}_x000a__x000a_grid_search = GridSearchCV(_x000a_    estimator=knn_clf,_x000a_    param_grid=param_grid,_x000a_    cv=5,_x000a_    scoring=&quot;accuracy&quot;,_x000a_    n_jobs=-1,_x000a_    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_x000a_```"/>
    <d v="2026-03-17T13:06:26"/>
    <x v="4"/>
    <n v="0"/>
    <n v="39"/>
    <n v="167"/>
    <n v="206"/>
    <n v="140"/>
    <n v="634"/>
    <n v="1115"/>
    <n v="4"/>
    <n v="5"/>
    <n v="5"/>
    <s v="Clear and specific about using GridSearchCV."/>
    <s v="Could provide more context on the dataset or model."/>
    <s v="Correct implementation of GridSearchCV with clear code."/>
    <s v="None significant; could include comments for clarity."/>
    <s v="Bagaimana cara melakukan _Grid Search_ dengan `GridSearchCV` dan 5-fold cross-validation pada model KNN?"/>
    <s v="Add comments in the code to explain each step."/>
    <s v="excellent"/>
    <b v="0"/>
    <s v="gpt-4o-mini"/>
    <s v="{&quot;prompt_score&quot;: 4, &quot;response_score&quot;: 5, &quot;overall_score&quot;: 5, &quot;prompt_strengths&quot;: &quot;Clear and specific about using GridSearchCV.&quot;, &quot;prompt_issues&quot;: &quot;Could provide more context on the dataset or model.&quot;, &quot;response_strengths&quot;: &quot;Correct implementation of GridSearchCV with clear code.&quot;, &quot;response_issues&quot;: &quot;None significant; could include comments for clarity.&quot;, &quot;prompt_rewrite&quot;: &quot;Bagaimana cara melakukan _Grid Search_ dengan `GridSearchCV` dan 5-fold cross-validation pada model KNN?&quot;, &quot;response_improvement_suggestions&quot;: &quot;Add comments in the code to explain each step.&quot;, &quot;verdict&quot;: &quot;excellent&quot;, &quot;needs_human_review&quot;: false}"/>
    <s v="ok"/>
    <n v="5"/>
  </r>
  <r>
    <x v="30"/>
    <s v="[MODE:summary_code_explanation]_x000a_saya sudah menggambarkan kurva precission vs recall, lalu diminta untuk menghitung ROC Area Under Curve (AUC). bagaimana caranya"/>
    <s v="done"/>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d v="2026-03-17T12:43:39"/>
    <x v="4"/>
    <n v="0"/>
    <n v="43"/>
    <n v="235"/>
    <n v="278"/>
    <n v="160"/>
    <n v="775"/>
    <n v="2361"/>
    <n v="4"/>
    <n v="5"/>
    <n v="5"/>
    <s v="Clear and specific request for ROC AUC calculation."/>
    <s v="Could provide more context on the data used."/>
    <s v="Accurate, complete, and clear explanation with code example."/>
    <s v="None significant; very helpful."/>
    <s v="Saya sudah menggambarkan kurva precision vs recall. Bagaimana cara menghitung ROC Area Under Curve (AUC) untuk model saya dengan data yang ada?"/>
    <s v="None; response is already comprehensive."/>
    <s v="excellent"/>
    <b v="0"/>
    <s v="gpt-4o-mini"/>
    <s v="{&quot;prompt_score&quot;: 4, &quot;response_score&quot;: 5, &quot;overall_score&quot;: 5, &quot;prompt_strengths&quot;: &quot;Clear and specific request for ROC AUC calculation.&quot;, &quot;prompt_issues&quot;: &quot;Could provide more context on the data used.&quot;, &quot;response_strengths&quot;: &quot;Accurate, complete, and clear explanation with code example.&quot;, &quot;response_issues&quot;: &quot;None significant; very helpful.&quot;, &quot;prompt_rewrite&quot;: &quot;Saya sudah menggambarkan kurva precision vs recall. Bagaimana cara menghitung ROC Area Under Curve (AUC) untuk model saya dengan data yang ada?&quot;, &quot;response_improvement_suggestions&quot;: &quot;None; response is already comprehensive.&quot;, &quot;verdict&quot;: &quot;excellent&quot;, &quot;needs_human_review&quot;: false}"/>
    <s v="ok"/>
    <n v="5"/>
  </r>
  <r>
    <x v="30"/>
    <s v="[MODE:summary_code_explanation]_x000a_Diberikan sebuah studi kasus yang akan mengerjakan Variasi A: Optimasi Gradient Descent untuk regresi linier multivariat (2 fitur). Fokus utama variasi ini adalah memahami dampak feature scaling, learning rate (eta), dan jumlah iterasi terhadap konvergensi. diminta untuk:_x000a_    # 1. Hitung mean tiap fitur ke dalam variabel mu_x000a_    # 2. Hitung standar deviasi tiap fitur ke dalam variabel sigma_x000a_    # 3. Lakukan normalisasi: X_norm = (X - mu) / sigma"/>
    <s v="done"/>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d v="2026-03-31T11:31:25"/>
    <x v="5"/>
    <n v="0"/>
    <n v="142"/>
    <n v="270"/>
    <n v="412"/>
    <n v="480"/>
    <n v="835"/>
    <n v="3306"/>
    <n v="4"/>
    <n v="5"/>
    <n v="4"/>
    <s v="Clear instructions and specific tasks."/>
    <s v="Could provide more context on the dataset."/>
    <s v="Accurate, complete, and well-explained code."/>
    <s v="Could include a brief explanation of gradient descent."/>
    <s v="Diberikan studi kasus untuk Variasi A: Optimasi Gradient Descent pada regresi linier multivariat (2 fitur). Fokus pada dampak feature scaling, learning rate, dan iterasi. Hitung mean dan standar deviasi tiap fitur, lalu normalisasi data. Berikan konteks tentang dataset yang digunakan."/>
    <s v="Add a brief explanation of how gradient descent works and why feature scaling is important."/>
    <s v="good"/>
    <b v="0"/>
    <s v="gpt-4o-mini"/>
    <s v="{&quot;prompt_score&quot;: 4, &quot;response_score&quot;: 5, &quot;overall_score&quot;: 4, &quot;prompt_strengths&quot;: &quot;Clear instructions and specific tasks.&quot;, &quot;prompt_issues&quot;: &quot;Could provide more context on the dataset.&quot;, &quot;response_strengths&quot;: &quot;Accurate, complete, and well-explained code.&quot;, &quot;response_issues&quot;: &quot;Could include a brief explanation of gradient descent.&quot;, &quot;prompt_rewrite&quot;: &quot;Diberikan studi kasus untuk Variasi A: Optimasi Gradient Descent pada regresi linier multivariat (2 fitur). Fokus pada dampak feature scaling, learning rate, dan iterasi. Hitung mean dan standar deviasi tiap fitur, lalu normalisasi data. Berikan konteks tentang dataset yang digunakan.&quot;, &quot;response_improvement_suggestions&quot;: &quot;Add a brief explanation of how gradient descent works and why feature scaling is important.&quot;, &quot;verdict&quot;: &quot;good&quot;, &quot;needs_human_review&quot;: false}"/>
    <s v="ok"/>
    <n v="4"/>
  </r>
  <r>
    <x v="30"/>
    <s v="[MODE:summary_code_explanation]_x000a_Kita akan mencoba classifier yang lain, yaitu `RandomForestClassifier`.      _x000a_Gunakan `random_state` yang bernilai `42` sebagai argumen. bagaimana caranya"/>
    <s v="done"/>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d v="2026-03-17T12:44:50"/>
    <x v="4"/>
    <n v="0"/>
    <n v="48"/>
    <n v="108"/>
    <n v="156"/>
    <n v="186"/>
    <n v="462"/>
    <n v="4848"/>
    <n v="4"/>
    <n v="5"/>
    <n v="4"/>
    <s v="Clear and specific request for using RandomForestClassifier."/>
    <s v="Could provide more context on the previous model for better understanding."/>
    <s v="Correct, complete, and clearly explains the use of random_state."/>
    <s v="None significant; could include a brief example of cross_val_predict usage."/>
    <s v="Bagaimana cara menggunakan `RandomForestClassifier` dengan `random_state=42` dan contoh penggunaannya seperti model sebelumnya?"/>
    <s v="Add a brief example of how to use the model with cross_val_predict."/>
    <s v="good"/>
    <b v="0"/>
    <s v="gpt-4o-mini"/>
    <s v="{&quot;prompt_score&quot;: 4, &quot;response_score&quot;: 5, &quot;overall_score&quot;: 4, &quot;prompt_strengths&quot;: &quot;Clear and specific request for using RandomForestClassifier.&quot;, &quot;prompt_issues&quot;: &quot;Could provide more context on the previous model for better understanding.&quot;, &quot;response_strengths&quot;: &quot;Correct, complete, and clearly explains the use of random_state.&quot;, &quot;response_issues&quot;: &quot;None significant; could include a brief example of cross_val_predict usage.&quot;, &quot;prompt_rewrite&quot;: &quot;Bagaimana cara menggunakan `RandomForestClassifier` dengan `random_state=42` dan contoh penggunaannya seperti model sebelumnya?&quot;, &quot;response_improvement_suggestions&quot;: &quot;Add a brief example of how to use the model with cross_val_predict.&quot;, &quot;verdict&quot;: &quot;good&quot;, &quot;needs_human_review&quot;: false}"/>
    <s v="ok"/>
    <n v="4"/>
  </r>
  <r>
    <x v="30"/>
    <s v="[MODE:summary_code_explanation]_x000a_aku tadi nulis kode ini_x000a_from sklearn.impute import SimpleImputer_x000a__x000a_SEED = 42_x000a__x000a_numeric_features = X_train.select_dtypes(include=[&quot;number&quot;]).columns.tolist()_x000a__x000a_categorical_features = X_train.select_dtypes(exclude=[&quot;number&quot;]).columns.tolist()_x000a__x000a_X_train[categorical_features] = X_train[categorical_features].astype(str)_x000a_X_test[categorical_features] = X_test[categorical_features].astype(str)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_x000a_    pipe.fit(X_train, y_reg_train)_x000a_    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_x000a__x000a_muncul error TypeError: got an unexpected keyword argument 'squared' solusinya apa?"/>
    <s v="done"/>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d v="2026-04-14T11:16:19"/>
    <x v="3"/>
    <n v="0"/>
    <n v="427"/>
    <n v="253"/>
    <n v="680"/>
    <n v="1739"/>
    <n v="847"/>
    <n v="4893"/>
    <n v="4"/>
    <n v="5"/>
    <n v="4"/>
    <s v="Clear and specific about the error and context."/>
    <s v="Could provide more context on the code's purpose."/>
    <s v="Accurate, complete, and actionable solution provided."/>
    <s v="Could include more details on upgrading scikit-learn."/>
    <s v="[MODE:summary_code_explanation] Saya mengalami error saat menjalankan kode ini yang menggunakan scikit-learn. Kode ini bertujuan untuk memproses data dan mengevaluasi model regresi. Error yang muncul adalah TypeError: got an unexpected keyword argument 'squared'. Apa solusinya?"/>
    <s v="Add more context on the implications of upgrading scikit-learn and potential compatibility issues."/>
    <s v="good"/>
    <b v="0"/>
    <s v="gpt-4o-mini"/>
    <s v="{&quot;prompt_score&quot;: 4, &quot;response_score&quot;: 5, &quot;overall_score&quot;: 4, &quot;prompt_strengths&quot;: &quot;Clear and specific about the error and context.&quot;, &quot;prompt_issues&quot;: &quot;Could provide more context on the code's purpose.&quot;, &quot;response_strengths&quot;: &quot;Accurate, complete, and actionable solution provided.&quot;, &quot;response_issues&quot;: &quot;Could include more details on upgrading scikit-learn.&quot;, &quot;prompt_rewrite&quot;: &quot;[MODE:summary_code_explanation] Saya mengalami error saat menjalankan kode ini yang menggunakan scikit-learn. Kode ini bertujuan untuk memproses data dan mengevaluasi model regresi. Error yang muncul adalah TypeError: got an unexpected keyword argument 'squared'. Apa solusinya?&quot;, &quot;response_improvement_suggestions&quot;: &quot;Add more context on the implications of upgrading scikit-learn and potential compatibility issues.&quot;, &quot;verdict&quot;: &quot;good&quot;, &quot;needs_human_review&quot;: false}"/>
    <s v="ok"/>
    <n v="4"/>
  </r>
  <r>
    <x v="31"/>
    <s v="[MODE:summary]_x000a_jadi pada asumsi GD adalah cost turun tiap iterasi. apakah pada pernyataan tersebut benar atau salah?"/>
    <s v="done"/>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d v="2026-04-15T13:09:51"/>
    <x v="3"/>
    <n v="0"/>
    <n v="33"/>
    <n v="103"/>
    <n v="136"/>
    <n v="116"/>
    <n v="347"/>
    <n v="176"/>
    <n v="3"/>
    <n v="4"/>
    <n v="4"/>
    <s v="The prompt is clear and specific about the topic."/>
    <s v="Lacks context on GD and its implications."/>
    <s v="The response is relevant, correct, and provides a complete explanation."/>
    <s v="Could be clearer in explaining conditions under which cost may not decrease."/>
    <s v="[MODE:summary] Apakah benar bahwa pada setiap iterasi GD (gradient descent), biaya (cost) selalu menurun? Jelaskan kondisi yang mempengaruhi hal ini."/>
    <s v="Clarify the conditions under which cost may not decrease and provide examples."/>
    <s v="good"/>
    <b v="0"/>
    <s v="gpt-4o-mini"/>
    <s v="{&quot;prompt_score&quot;: 3, &quot;response_score&quot;: 4, &quot;overall_score&quot;: 4, &quot;prompt_strengths&quot;: &quot;The prompt is clear and specific about the topic.&quot;, &quot;prompt_issues&quot;: &quot;Lacks context on GD and its implications.&quot;, &quot;response_strengths&quot;: &quot;The response is relevant, correct, and provides a complete explanation.&quot;, &quot;response_issues&quot;: &quot;Could be clearer in explaining conditions under which cost may not decrease.&quot;, &quot;prompt_rewrite&quot;: &quot;[MODE:summary] Apakah benar bahwa pada setiap iterasi GD (gradient descent), biaya (cost) selalu menurun? Jelaskan kondisi yang mempengaruhi hal ini.&quot;, &quot;response_improvement_suggestions&quot;: &quot;Clarify the conditions under which cost may not decrease and provide examples.&quot;, &quot;verdict&quot;: &quot;good&quot;, &quot;needs_human_review&quot;: false}"/>
    <s v="ok"/>
    <n v="4"/>
  </r>
  <r>
    <x v="31"/>
    <s v="[MODE:code]_x000a_Tampilkan distribusi awal kolom `pass_fail` dan `grade_category` Bahasa: [Python]. Input: [struktur data ]. Output: [format hasil yang diharapkan]. Batasan: [kompleksitas, library, style]. Output diminta: kode runnable."/>
    <s v="done"/>
    <s v="import pandas as pd_x000a__x000a_file_path = &quot;student_exam_performance_dataset (1).csv&quot;_x000a_df = pd.read_csv(file_path)_x000a__x000a_for col in [&quot;pass_fail&quot;, &quot;grade_category&quot;]:_x000a_    if col in df.columns:_x000a_        print(f&quot;\nDistribusi awal kolom '{col}' (count):&quot;)_x000a_        print(df[col].value_counts(dropna=False))_x000a__x000a_        print(f&quot;\nDistribusi awal kolom '{col}' (proporsi):&quot;)_x000a_        print(df[col].value_counts(dropna=False, normalize=True))_x000a_    else:_x000a_        print(f&quot;\nKolom '{col}' tidak ditemukan di dataset. Kolom yang tersedia: {list(df.columns)}&quot;)"/>
    <s v="```python_x000a_import pandas as pd_x000a__x000a_file_path = &quot;student_exam_performance_dataset (1).csv&quot;_x000a_df = pd.read_csv(file_path)_x000a__x000a_for col in [&quot;pass_fail&quot;, &quot;grade_category&quot;]:_x000a_    if col in df.columns:_x000a_        print(f&quot;\nDistribusi awal kolom '{col}' (count):&quot;)_x000a_        print(df[col].value_counts(dropna=False))_x000a__x000a_        print(f&quot;\nDistribusi awal kolom '{col}' (proporsi):&quot;)_x000a_        print(df[col].value_counts(dropna=False, normalize=True))_x000a_    else:_x000a_        print(f&quot;\nKolom '{col}' tidak ditemukan di dataset. Kolom yang tersedia: {list(df.columns)}&quot;)_x000a_```"/>
    <d v="2026-04-15T14:11:29"/>
    <x v="3"/>
    <n v="0"/>
    <n v="66"/>
    <n v="145"/>
    <n v="211"/>
    <n v="231"/>
    <n v="538"/>
    <n v="342"/>
    <n v="4"/>
    <n v="4"/>
    <n v="4"/>
    <s v="Clear and specific about the task and expected output."/>
    <s v="Could provide more detail on the expected format of the output."/>
    <s v="Correctly implements the requested functionality and handles missing columns."/>
    <s v="Could improve clarity by adding comments and ensuring the code is runnable without modification."/>
    <s v="[MODE:code] Tampilkan distribusi awal kolom `pass_fail` dan `grade_category` dalam format tabel. Bahasa: [Python]. Input: [struktur data dalam format CSV]. Output: [tabel distribusi dan proporsi]. Batasan: [gunakan pandas, kode harus runnable]."/>
    <s v="Add comments to explain each part of the code and ensure the file path is adaptable."/>
    <s v="good"/>
    <b v="0"/>
    <s v="gpt-4o-mini"/>
    <s v="{&quot;prompt_score&quot;: 4, &quot;response_score&quot;: 4, &quot;overall_score&quot;: 4, &quot;prompt_strengths&quot;: &quot;Clear and specific about the task and expected output.&quot;, &quot;prompt_issues&quot;: &quot;Could provide more detail on the expected format of the output.&quot;, &quot;response_strengths&quot;: &quot;Correctly implements the requested functionality and handles missing columns.&quot;, &quot;response_issues&quot;: &quot;Could improve clarity by adding comments and ensuring the code is runnable without modification.&quot;, &quot;prompt_rewrite&quot;: &quot;[MODE:code] Tampilkan distribusi awal kolom `pass_fail` dan `grade_category` dalam format tabel. Bahasa: [Python]. Input: [struktur data dalam format CSV]. Output: [tabel distribusi dan proporsi]. Batasan: [gunakan pandas, kode harus runnable].&quot;, &quot;response_improvement_suggestions&quot;: &quot;Add comments to explain each part of the code and ensure the file path is adaptable.&quot;, &quot;verdict&quot;: &quot;good&quot;, &quot;needs_human_review&quot;: false}"/>
    <s v="ok"/>
    <n v="4"/>
  </r>
  <r>
    <x v="31"/>
    <s v="[MODE:code]_x000a_selanjutnya tampilkan Distribusi Fitur Berdasarkan Class. gunakan libari sns dengan atribut boxplot."/>
    <s v="done"/>
    <s v="import seaborn as sns_x000a_import matplotlib.pyplot as plt_x000a__x000a_# rapikan nama kolom_x000a_dataframe.columns = dataframe.columns.str.strip()_x000a__x000a_# tentukan kolom class (hue/x)_x000a_if &quot;class&quot; in dataframe.columns:_x000a_    class_col = &quot;class&quot;_x000a_else:_x000a_    candidates = [c for c in dataframe.columns if c.lower().strip() == &quot;class&quot;]_x000a_    if not candidates:_x000a_        raise KeyError(f&quot;Kolom 'class' tidak ditemukan. Kolom yang tersedia: {list(dataframe.columns)}&quot;)_x000a_    class_col = candidates[0]_x000a__x000a_# ambil fitur numerik selain class_x000a_num_cols = dataframe.select_dtypes(include=&quot;number&quot;).columns.tolist()_x000a_feature_cols = [c for c in num_cols if c != class_col]_x000a__x000a_if not feature_cols:_x000a_    raise ValueError(&quot;Tidak ada fitur numerik untuk dibuat boxplot.&quot;)_x000a__x000a_# plot boxplot per fitur berdasarkan class_x000a_n = len(feature_cols)_x000a_fig, axes = plt.subplots(nrows=n, ncols=1, figsize=(10, 3.2 * n), constrained_layout=True)_x000a__x000a_if n == 1:_x000a_    axes = [axes]_x000a__x000a_for ax, col in zip(axes, feature_cols):_x000a_    sns.boxplot(data=dataframe, x=class_col, y=col, ax=ax)_x000a_    ax.set_title(f&quot;Distribusi {col} berdasarkan {class_col}&quot;)_x000a_    ax.set_xlabel(class_col)_x000a_    ax.set_ylabel(col)_x000a__x000a_plt.show()"/>
    <s v="```python_x000a_import seaborn as sns_x000a_import matplotlib.pyplot as plt_x000a__x000a_# rapikan nama kolom_x000a_dataframe.columns = dataframe.columns.str.strip()_x000a__x000a_# tentukan kolom class (hue/x)_x000a_if &quot;class&quot; in dataframe.columns:_x000a_    class_col = &quot;class&quot;_x000a_else:_x000a_    candidates = [c for c in dataframe.columns if c.lower().strip() == &quot;class&quot;]_x000a_    if not candidates:_x000a_        raise KeyError(f&quot;Kolom 'class' tidak ditemukan. Kolom yang tersedia: {list(dataframe.columns)}&quot;)_x000a_    class_col = candidates[0]_x000a__x000a_# ambil fitur numerik selain class_x000a_num_cols = dataframe.select_dtypes(include=&quot;number&quot;).columns.tolist()_x000a_feature_cols = [c for c in num_cols if c != class_col]_x000a__x000a_if not feature_cols:_x000a_    raise ValueError(&quot;Tidak ada fitur numerik untuk dibuat boxplot.&quot;)_x000a__x000a_# plot boxplot per fitur berdasarkan class_x000a_n = len(feature_cols)_x000a_fig, axes = plt.subplots(nrows=n, ncols=1, figsize=(10, 3.2 * n), constrained_layout=True)_x000a__x000a_if n == 1:_x000a_    axes = [axes]_x000a__x000a_for ax, col in zip(axes, feature_cols):_x000a_    sns.boxplot(data=dataframe, x=class_col, y=col, ax=ax)_x000a_    ax.set_title(f&quot;Distribusi {col} berdasarkan {class_col}&quot;)_x000a_    ax.set_xlabel(class_col)_x000a_    ax.set_ylabel(col)_x000a__x000a_plt.show()_x000a_```"/>
    <d v="2026-03-18T14:56:38"/>
    <x v="4"/>
    <n v="0"/>
    <n v="31"/>
    <n v="308"/>
    <n v="339"/>
    <n v="112"/>
    <n v="1138"/>
    <n v="389"/>
    <n v="4"/>
    <n v="5"/>
    <n v="5"/>
    <s v="Clear and specific about the task."/>
    <s v="Could provide more context on the dataset."/>
    <s v="Correctly implements the requested functionality with clarity."/>
    <s v="None significant; well-structured code."/>
    <s v="Tampilkan distribusi fitur numerik berdasarkan kolom 'class' menggunakan seaborn boxplot pada dataset yang diberikan."/>
    <s v="Consider adding comments to explain each step of the code for better clarity."/>
    <s v="excellent"/>
    <b v="0"/>
    <s v="gpt-4o-mini"/>
    <s v="{&quot;prompt_score&quot;: 4, &quot;response_score&quot;: 5, &quot;overall_score&quot;: 5, &quot;prompt_strengths&quot;: &quot;Clear and specific about the task.&quot;, &quot;prompt_issues&quot;: &quot;Could provide more context on the dataset.&quot;, &quot;response_strengths&quot;: &quot;Correctly implements the requested functionality with clarity.&quot;, &quot;response_issues&quot;: &quot;None significant; well-structured code.&quot;, &quot;prompt_rewrite&quot;: &quot;Tampilkan distribusi fitur numerik berdasarkan kolom 'class' menggunakan seaborn boxplot pada dataset yang diberikan.&quot;, &quot;response_improvement_suggestions&quot;: &quot;Consider adding comments to explain each step of the code for better clarity.&quot;, &quot;verdict&quot;: &quot;excellent&quot;, &quot;needs_human_review&quot;: false}"/>
    <s v="ok"/>
    <n v="5"/>
  </r>
  <r>
    <x v="31"/>
    <s v="[MODE:summary]_x000a_dari semua fungsi lasso. apa yang akan dihasilkan dari lasso tersebut? a. seleksi fitur b. overfit c. random d. semua fitur aktif?"/>
    <s v="done"/>
    <s v="Lasso menghasilkan a. seleksi fitur, karena regularisasi L1 dapat membuat sebagian koefisien menjadi tepat 0 sehingga fitur-fitur tersebut “dimatikan.”"/>
    <s v="Lasso menghasilkan a. seleksi fitur, karena regularisasi L1 dapat membuat sebagian koefisien menjadi tepat 0 sehingga fitur-fitur tersebut “dimatikan.”"/>
    <d v="2026-04-15T13:22:45"/>
    <x v="3"/>
    <n v="0"/>
    <n v="45"/>
    <n v="44"/>
    <n v="89"/>
    <n v="145"/>
    <n v="151"/>
    <n v="916"/>
    <n v="4"/>
    <n v="5"/>
    <n v="4"/>
    <s v="Clear and specific question about lasso functions."/>
    <s v="Could provide more context on lasso's application."/>
    <s v="Accurate and clear explanation of lasso's effect."/>
    <s v="Could elaborate on implications of feature selection."/>
    <s v="[MODE:summary] Apa hasil utama dari penggunaan lasso dalam analisis regresi? a. seleksi fitur b. overfit c. random d. semua fitur aktif?"/>
    <s v="Include examples of how feature selection impacts model performance."/>
    <s v="good"/>
    <b v="0"/>
    <s v="gpt-4o-mini"/>
    <s v="{&quot;prompt_score&quot;: 4, &quot;response_score&quot;: 5, &quot;overall_score&quot;: 4, &quot;prompt_strengths&quot;: &quot;Clear and specific question about lasso functions.&quot;, &quot;prompt_issues&quot;: &quot;Could provide more context on lasso's application.&quot;, &quot;response_strengths&quot;: &quot;Accurate and clear explanation of lasso's effect.&quot;, &quot;response_issues&quot;: &quot;Could elaborate on implications of feature selection.&quot;, &quot;prompt_rewrite&quot;: &quot;[MODE:summary] Apa hasil utama dari penggunaan lasso dalam analisis regresi? a. seleksi fitur b. overfit c. random d. semua fitur aktif?&quot;, &quot;response_improvement_suggestions&quot;: &quot;Include examples of how feature selection impacts model performance.&quot;, &quot;verdict&quot;: &quot;good&quot;, &quot;needs_human_review&quot;: false}"/>
    <s v="ok"/>
    <n v="4"/>
  </r>
  <r>
    <x v="31"/>
    <s v="[LANG:Python]_x000a_[MODE:code]_x000a_berdasarkan hasil statik, apa pengaruh mean dan std(standar deviasi data) terhadap variasi dan distribusi data"/>
    <s v="done"/>
    <s v="import numpy as np_x000a_import pandas as pd_x000a__x000a_def explain_mean_std_effect(stats: pd.DataFrame) -&gt; pd.DataFrame:_x000a_    &quot;&quot;&quot;_x000a_    Input: DataFrame hasil df.describe() (kolom: count, mean, std, min, 25%, 50%, 75%, max)_x000a_    Output: DataFrame ringkas yang menjelaskan pengaruh mean &amp; std terhadap variasi/distribusi._x000a_    &quot;&quot;&quot;_x000a_    out = pd.DataFrame(index=stats.index)_x000a__x000a_    mean = stats[&quot;mean&quot;].astype(float)_x000a_    std = stats[&quot;std&quot;].astype(float)_x000a__x000a_    out[&quot;mean&quot;] = mean_x000a_    out[&quot;std&quot;] = std_x000a__x000a_    # Koefisien variasi: ukuran variasi relatif terhadap mean (semakin besar =&gt; semakin bervariasi)_x000a_    out[&quot;cv(std/mean)&quot;] = (std / mean.replace(0, np.nan)).abs()_x000a__x000a_    # Rentang dan IQR untuk konteks sebaran_x000a_    if {&quot;min&quot;, &quot;max&quot;, &quot;25%&quot;, &quot;75%&quot;}.issubset(stats.columns):_x000a_        out[&quot;range(max-min)&quot;] = (stats[&quot;max&quot;] - stats[&quot;min&quot;]).astype(float)_x000a_        out[&quot;IQR(75%-25%)&quot;] = (stats[&quot;75%&quot;] - stats[&quot;25%&quot;]).astype(float)_x000a__x000a_    # Z-score untuk min/max: seberapa jauh ekor dari mean dalam satuan std (indikasi outlier/ekor panjang)_x000a_    out[&quot;z_min&quot;] = (stats[&quot;min&quot;] - mean) / std.replace(0, np.nan)_x000a_    out[&quot;z_max&quot;] = (stats[&quot;max&quot;] - mean) / std.replace(0, np.nan)_x000a__x000a_    # Interpretasi variasi berdasarkan CV_x000a_    def var_label(cv):_x000a_        if pd.isna(cv):_x000a_            return &quot;mean=0 (CV tidak terdefinisi)&quot;_x000a_        if cv &lt; 0.10:_x000a_            return &quot;variasi sangat rendah (data rapat di sekitar mean)&quot;_x000a_        if cv &lt; 0.30:_x000a_            return &quot;variasi rendah–sedang&quot;_x000a_        if cv &lt; 0.60:_x000a_            return &quot;variasi sedang–tinggi&quot;_x000a_        return &quot;variasi sangat tinggi (sebaran lebar relatif terhadap mean)&quot;_x000a__x000a_    out[&quot;interpretasi_variasi&quot;] = out[&quot;cv(std/mean)&quot;].apply(var_label)_x000a__x000a_    # Interpretasi distribusi/ekor berdasarkan z_min/z_max_x000a_    def tail_label(zmin, zmax):_x000a_        if pd.isna(zmin) or pd.isna(zmax):_x000a_            return &quot;std=0 atau NaN (tidak bisa menilai ekor)&quot;_x000a_        far = max(abs(zmin), abs(zmax))_x000a_        if far &lt;= 2:_x000a_            return &quot;sebaran relatif terkonsentrasi (ekor tidak ekstrem)&quot;_x000a_        if far &lt;= 3:_x000a_            return &quot;ada nilai cukup jauh dari mean (potensi outlier ringan)&quot;_x000a_        return &quot;ada nilai sangat jauh dari mean (potensi outlier/ekor panjang)&quot;_x000a__x000a_    out[&quot;interpretasi_ekor&quot;] = [_x000a_        tail_label(a, b) for a, b in zip(out[&quot;z_min&quot;], out[&quot;z_max&quot;])_x000a_    ]_x000a__x000a_    return out_x000a__x000a_# Contoh pemakaian (sesuaikan df Anda):_x000a_if __name__ == &quot;__main__&quot;:_x000a_    filename = &quot;pima-indians-diabetes.data.csv&quot;_x000a_    names = [&quot;preg&quot;,&quot;plas&quot;,&quot;pres&quot;,&quot;skin&quot;,&quot;test&quot;,&quot;mass&quot;,&quot;pedi&quot;,&quot;age&quot;,&quot;class&quot;]_x000a_    df = pd.read_csv(filename, names=names)_x000a__x000a_    stats = df.describe(include=&quot;all&quot;).T_x000a_    summary = explain_mean_std_effect(stats)_x000a__x000a_    # Inti pengaruh mean &amp; std:_x000a_    # - mean: pusat/posisi distribusi (nilai tipikal)_x000a_    # - std: lebar sebaran (variasi absolut); makin besar std =&gt; data makin menyebar_x000a_    # - cv: variasi relatif; membandingkan sebaran antar fitur dengan skala berbeda_x000a_    # - z_min/z_max: indikasi ekor/outlier relatif terhadap std_x000a__x000a_    pd.set_option(&quot;display.max_columns&quot;, None)_x000a_    print(summary)"/>
    <s v="```python_x000a_import numpy as np_x000a_import pandas as pd_x000a__x000a_def explain_mean_std_effect(stats: pd.DataFrame) -&gt; pd.DataFrame:_x000a_    &quot;&quot;&quot;_x000a_    Input: DataFrame hasil df.describe() (kolom: count, mean, std, min, 25%, 50%, 75%, max)_x000a_    Output: DataFrame ringkas yang menjelaskan pengaruh mean &amp; std terhadap variasi/distribusi._x000a_    &quot;&quot;&quot;_x000a_    out = pd.DataFrame(index=stats.index)_x000a__x000a_    mean = stats[&quot;mean&quot;].astype(float)_x000a_    std = stats[&quot;std&quot;].astype(float)_x000a__x000a_    out[&quot;mean&quot;] = mean_x000a_    out[&quot;std&quot;] = std_x000a__x000a_    # Koefisien variasi: ukuran variasi relatif terhadap mean (semakin besar =&gt; semakin bervariasi)_x000a_    out[&quot;cv(std/mean)&quot;] = (std / mean.replace(0, np.nan)).abs()_x000a__x000a_    # Rentang dan IQR untuk konteks sebaran_x000a_    if {&quot;min&quot;, &quot;max&quot;, &quot;25%&quot;, &quot;75%&quot;}.issubset(stats.columns):_x000a_        out[&quot;range(max-min)&quot;] = (stats[&quot;max&quot;] - stats[&quot;min&quot;]).astype(float)_x000a_        out[&quot;IQR(75%-25%)&quot;] = (stats[&quot;75%&quot;] - stats[&quot;25%&quot;]).astype(float)_x000a__x000a_    # Z-score untuk min/max: seberapa jauh ekor dari mean dalam satuan std (indikasi outlier/ekor panjang)_x000a_    out[&quot;z_min&quot;] = (stats[&quot;min&quot;] - mean) / std.replace(0, np.nan)_x000a_    out[&quot;z_max&quot;] = (stats[&quot;max&quot;] - mean) / std.replace(0, np.nan)_x000a__x000a_    # Interpretasi variasi berdasarkan CV_x000a_    def var_label(cv):_x000a_        if pd.isna(cv):_x000a_            return &quot;mean=0 (CV tidak terdefinisi)&quot;_x000a_        if cv &lt; 0.10:_x000a_            return &quot;variasi sangat rendah (data rapat di sekitar mean)&quot;_x000a_        if cv &lt; 0.30:_x000a_            return &quot;variasi rendah–sedang&quot;_x000a_        if cv &lt; 0.60:_x000a_            return &quot;variasi sedang–tinggi&quot;_x000a_        return &quot;variasi sangat tinggi (sebaran lebar relatif terhadap mean)&quot;_x000a__x000a_    out[&quot;interpretasi_variasi&quot;] = out[&quot;cv(std/mean)&quot;].apply(var_label)_x000a__x000a_    # Interpretasi distribusi/ekor berdasarkan z_min/z_max_x000a_    def tail_label(zmin, zmax):_x000a_        if pd.isna(zmin) or pd.isna(zmax):_x000a_            return &quot;std=0 atau NaN (tidak bisa menilai ekor)&quot;_x000a_        far = max(abs(zmin), abs(zmax))_x000a_        if far &lt;= 2:_x000a_            return &quot;sebaran relatif terkonsentrasi (ekor tidak ekstrem)&quot;_x000a_        if far &lt;= 3:_x000a_            return &quot;ada nilai cukup jauh dari mean (potensi outlier ringan)&quot;_x000a_        return &quot;ada nilai sangat jauh dari mean (potensi outlier/ekor panjang)&quot;_x000a__x000a_    out[&quot;interpretasi_ekor&quot;] = [_x000a_        tail_label(a, b) for a, b in zip(out[&quot;z_min&quot;], out[&quot;z_max&quot;])_x000a_    ]_x000a__x000a_    return out_x000a__x000a_# Contoh pemakaian (sesuaikan df Anda):_x000a_if __name__ == &quot;__main__&quot;:_x000a_    filename = &quot;pima-indians-diabetes.data.csv&quot;_x000a_    names = [&quot;preg&quot;,&quot;plas&quot;,&quot;pres&quot;,&quot;skin&quot;,&quot;test&quot;,&quot;mass&quot;,&quot;pedi&quot;,&quot;age&quot;,&quot;class&quot;]_x000a_    df = pd.read_csv(filename, names=names)_x000a__x000a_    stats = df.describe(include=&quot;all&quot;).T_x000a_    summary = explain_mean_std_effect(stats)_x000a__x000a_    # Inti pengaruh mean &amp; std:_x000a_    # - mean: pusat/posisi distribusi (nilai tipikal)_x000a_    # - std: lebar sebaran (variasi absolut); makin besar std =&gt; data makin menyebar_x000a_    # - cv: variasi relatif; membandingkan sebaran antar fitur dengan skala berbeda_x000a_    # - z_min/z_max: indikasi ekor/outlier relatif terhadap std_x000a__x000a_    pd.set_option(&quot;display.max_columns&quot;, None)_x000a_    print(summary)_x000a_```"/>
    <d v="2026-03-11T15:41:13"/>
    <x v="2"/>
    <n v="0"/>
    <n v="40"/>
    <n v="896"/>
    <n v="936"/>
    <n v="136"/>
    <n v="3007"/>
    <n v="1346"/>
    <n v="4"/>
    <n v="5"/>
    <n v="5"/>
    <s v="Clear and specific about the statistical concepts."/>
    <s v="Could provide more context on the dataset or application."/>
    <s v="Comprehensive explanation with relevant code and comments."/>
    <s v="None significant; well-structured and informative."/>
    <s v="[LANG:Python] [MODE:code] Jelaskan pengaruh mean dan standar deviasi terhadap variasi dan distribusi data dalam konteks analisis statistik."/>
    <s v="Consider adding examples of output or visualizations to enhance understanding."/>
    <s v="excellent"/>
    <b v="0"/>
    <s v="gpt-4o-mini"/>
    <s v="{&quot;prompt_score&quot;: 4, &quot;response_score&quot;: 5, &quot;overall_score&quot;: 5, &quot;prompt_strengths&quot;: &quot;Clear and specific about the statistical concepts.&quot;, &quot;prompt_issues&quot;: &quot;Could provide more context on the dataset or application.&quot;, &quot;response_strengths&quot;: &quot;Comprehensive explanation with relevant code and comments.&quot;, &quot;response_issues&quot;: &quot;None significant; well-structured and informative.&quot;, &quot;prompt_rewrite&quot;: &quot;[LANG:Python] [MODE:code] Jelaskan pengaruh mean dan standar deviasi terhadap variasi dan distribusi data dalam konteks analisis statistik.&quot;, &quot;response_improvement_suggestions&quot;: &quot;Consider adding examples of output or visualizations to enhance understanding.&quot;, &quot;verdict&quot;: &quot;excellent&quot;, &quot;needs_human_review&quot;: false}"/>
    <s v="ok"/>
    <n v="5"/>
  </r>
  <r>
    <x v="31"/>
    <s v="[MODE:summary_code_explanation]_x000a_# Tulis jawaban Anda di sini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ada error karena name 'y_pred_reg_train' is not defined (generate with ChatGPT)"/>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d v="2026-04-15T14:46:03"/>
    <x v="3"/>
    <n v="0"/>
    <n v="621"/>
    <n v="1036"/>
    <n v="1657"/>
    <n v="2379"/>
    <n v="3993"/>
    <n v="1493"/>
    <n v="3"/>
    <n v="4"/>
    <n v="4"/>
    <s v="Provides a detailed code context and specific error scenario."/>
    <s v="Could be clearer in specifying the expected output format."/>
    <s v="Addresses the error correctly and provides a comprehensive solution."/>
    <s v="Response is lengthy and could be more concise."/>
    <s v="[MODE:summary_code_explanation] # Explain the error related to 'y_pred_reg_train' and provide a solution with code examples."/>
    <s v="Summarize the solution more succinctly and highlight key steps."/>
    <s v="good"/>
    <b v="0"/>
    <s v="gpt-4o-mini"/>
    <s v="{&quot;prompt_score&quot;: 3, &quot;response_score&quot;: 4, &quot;overall_score&quot;: 4, &quot;prompt_strengths&quot;: &quot;Provides a detailed code context and specific error scenario.&quot;, &quot;prompt_issues&quot;: &quot;Could be clearer in specifying the expected output format.&quot;, &quot;response_strengths&quot;: &quot;Addresses the error correctly and provides a comprehensive solution.&quot;, &quot;response_issues&quot;: &quot;Response is lengthy and could be more concise.&quot;, &quot;prompt_rewrite&quot;: &quot;[MODE:summary_code_explanation] # Explain the error related to 'y_pred_reg_train' and provide a solution with code examples.&quot;, &quot;response_improvement_suggestions&quot;: &quot;Summarize the solution more succinctly and highlight key steps.&quot;, &quot;verdict&quot;: &quot;good&quot;, &quot;needs_human_review&quot;: false}"/>
    <s v="ok"/>
    <n v="4"/>
  </r>
  <r>
    <x v="31"/>
    <s v="[MODE:summary_code_explanation]_x000a_[ASSESSMENT_ID:1771cf8e-0a65-11f1-b762-3e0936ad7efb]_x000a_[FORCE_GPT:true]_x000a_[AUTO_FALLBACK:tru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SUMMARY**  _x000a_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_x000a_# Load + asumsi fitur engineering sudah dibuat_x000a_# (Jika sudah ada df dari bagian sebelumnya, Anda bisa hapus bagian load ini)_x000a_# =========================_x000a_df = pd.read_csv(&quot;student_exam_performance_dataset (1).csv&quot;)_x000a__x000a_# --- Jika fitur engineering belum ada, buat di sini (aman untuk dijalankan ulang) ---_x000a_if not set([&quot;engagement_index&quot;, &quot;digital_distraction_ratio&quot;, &quot;support_score&quot;]).issubset(df.columns):_x000a_    df[&quot;engagement_index&quot;] = (_x000a_        df[&quot;attendance_rate&quot;].astype(float)_x000a_        + df[&quot;assignment_completion_rate&quot;].astype(float)_x000a_        + df[&quot;participation_score&quot;].astype(float)_x000a_    ) / 3.0_x000a__x000a_    study = df[&quot;study_hours_per_day&quot;].astype(float).replace(0, np.nan)_x000a_    social = df[&quot;social_media_hours&quot;].astype(float)_x000a_    df[&quot;digital_distraction_ratio&quot;] = (social / study).fillna(np.inf)_x000a_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_x000a_    df[&quot;support_score&quot;] = df[&quot;online_courses_completed&quot;].astype(float) + tutoring_bin.astype(float)_x000a__x000a_# =========================_x000a_# Target klasifikasi: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Predicted_final_exam_score_x000a_# Catatan: idealnya ini berasal dari Bagian 4 (prediksi model regresi)._x000a_# Jika belum ada, fallback: gunakan final_exam_score asli sebagai placeholder (TIDAK disarankan untuk evaluasi fair)._x000a_# =========================_x000a_if &quot;predicted_final_exam_score&quot; not in df.columns:_x000a_    if &quot;final_exam_score&quot; in df.columns:_x000a_        print(&quot;WARNING: 'predicted_final_exam_score' belum ada. &quot;_x000a_              &quot;Kode memakai 'final_exam_score' sebagai placeholder (ini menyebabkan leakage). &quot;_x000a_              &quot;Sebaiknya isi kolom ini dari prediksi model regresi Bagian 4.&quot;)_x000a_        df[&quot;predicted_final_exam_score&quot;] = df[&quot;final_exam_score&quot;].astype(float)_x000a_    else:_x000a_        raise ValueError(&quot;Tidak ada kolom predicted_final_exam_score maupun final_exam_score.&quot;)_x000a__x000a_# =========================_x000a_# Train-test split (80:20)_x000a_# =========================_x000a_train_idx, test_idx = train_test_split(_x000a_    df.index, test_size=0.2, random_state=42, stratify=df[&quot;at_risk&quot;]_x000a_)_x000a__x000a_df_train = df.loc[train_idx].copy()_x000a_df_test = df.loc[test_idx].copy()_x000a__x000a_y_train = df_train[&quot;at_risk&quot;].astype(int)_x000a_y_test = df_test[&quot;at_risk&quot;].astype(int)_x000a__x000a_# =========================_x000a_# Helper evaluasi_x000a_# =========================_x000a_def evaluate(name, y_true, y_pred):_x000a_    cm = confusion_matrix(y_true, y_pred)_x000a_    acc = accuracy_score(y_true, y_pred)_x000a_    prec = precision_score(y_true, y_pred, zero_division=0)_x000a_    rec = recall_score(y_true, y_pred, zero_division=0"/>
    <s v="**SUMMARY**  _x000a_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_x000a_# Load + asumsi fitur engineering sudah dibuat_x000a_# (Jika sudah ada df dari bagian sebelumnya, Anda bisa hapus bagian load ini)_x000a_# =========================_x000a_df = pd.read_csv(&quot;student_exam_performance_dataset (1).csv&quot;)_x000a__x000a_# --- Jika fitur engineering belum ada, buat di sini (aman untuk dijalankan ulang) ---_x000a_if not set([&quot;engagement_index&quot;, &quot;digital_distraction_ratio&quot;, &quot;support_score&quot;]).issubset(df.columns):_x000a_    df[&quot;engagement_index&quot;] = (_x000a_        df[&quot;attendance_rate&quot;].astype(float)_x000a_        + df[&quot;assignment_completion_rate&quot;].astype(float)_x000a_        + df[&quot;participation_score&quot;].astype(float)_x000a_    ) / 3.0_x000a__x000a_    study = df[&quot;study_hours_per_day&quot;].astype(float).replace(0, np.nan)_x000a_    social = df[&quot;social_media_hours&quot;].astype(float)_x000a_    df[&quot;digital_distraction_ratio&quot;] = (social / study).fillna(np.inf)_x000a_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_x000a_    df[&quot;support_score&quot;] = df[&quot;online_courses_completed&quot;].astype(float) + tutoring_bin.astype(float)_x000a__x000a_# =========================_x000a_# Target klasifikasi: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Predicted_final_exam_score_x000a_# Catatan: idealnya ini berasal dari Bagian 4 (prediksi model regresi)._x000a_# Jika belum ada, fallback: gunakan final_exam_score asli sebagai placeholder (TIDAK disarankan untuk evaluasi fair)._x000a_# =========================_x000a_if &quot;predicted_final_exam_score&quot; not in df.columns:_x000a_    if &quot;final_exam_score&quot; in df.columns:_x000a_        print(&quot;WARNING: 'predicted_final_exam_score' belum ada. &quot;_x000a_              &quot;Kode memakai 'final_exam_score' sebagai placeholder (ini menyebabkan leakage). &quot;_x000a_              &quot;Sebaiknya isi kolom ini dari prediksi model regresi Bagian 4.&quot;)_x000a_        df[&quot;predicted_final_exam_score&quot;] = df[&quot;final_exam_score&quot;].astype(float)_x000a_    else:_x000a_        raise ValueError(&quot;Tidak ada kolom predicted_final_exam_score maupun final_exam_score.&quot;)_x000a__x000a_# =========================_x000a_# Train-test split (80:20)_x000a_# =========================_x000a_train_idx, test_idx = train_test_split(_x000a_    df.index, test_size=0.2, random_state=42, stratify=df[&quot;at_risk&quot;]_x000a_)_x000a__x000a_df_train = df.loc[train_idx].copy()_x000a_df_test = df.loc[test_idx].copy()_x000a__x000a_y_train = df_train[&quot;at_risk&quot;].astype(int)_x000a_y_test = df_test[&quot;at_risk&quot;].astype(int)_x000a__x000a_# =========================_x000a_# Helper evaluasi_x000a_# =========================_x000a_def evaluate(name, y_true, y_pred):_x000a_    cm = confusion_matrix(y_true, y_pred)_x000a_    acc = accuracy_score(y_true, y_pred)_x000a_    prec = precision_score(y_true, y_pred, zero_division=0)_x000a_    rec = recall_score(y_true, y_pred, zero_division=0"/>
    <d v="2026-04-15T14:44:23"/>
    <x v="3"/>
    <n v="0"/>
    <n v="157"/>
    <n v="1046"/>
    <n v="1203"/>
    <n v="518"/>
    <n v="4117"/>
    <n v="1509"/>
    <n v="4"/>
    <n v="4"/>
    <n v="4"/>
    <s v="Clear and specific instructions for modeling scenarios."/>
    <s v="Could provide more context on the dataset and expected output format."/>
    <s v="Relevant code provided with clear explanations of each step."/>
    <s v="Response is incomplete and cuts off before finishing the evaluation function."/>
    <s v="Build two logistic regression models to predict 'at_risk': 1. Scenario A: using only 'predicted_final_exam_score'. 2. Scenario B: using 'predicted_final_exam_score' plus additional engineered features. Display confusion matrix, accuracy, precision, recall, and F1-score for each scenario. Provide context on the dataset used."/>
    <s v="Complete the response by finishing the evaluation function and including the output of the metrics for both scenarios."/>
    <s v="good"/>
    <b v="0"/>
    <s v="gpt-4o-mini"/>
    <s v="{&quot;prompt_score&quot;: 4, &quot;response_score&quot;: 4, &quot;overall_score&quot;: 4, &quot;prompt_strengths&quot;: &quot;Clear and specific instructions for modeling scenarios.&quot;, &quot;prompt_issues&quot;: &quot;Could provide more context on the dataset and expected output format.&quot;, &quot;response_strengths&quot;: &quot;Relevant code provided with clear explanations of each step.&quot;, &quot;response_issues&quot;: &quot;Response is incomplete and cuts off before finishing the evaluation function.&quot;, &quot;prompt_rewrite&quot;: &quot;Build two logistic regression models to predict 'at_risk': 1. Scenario A: using only 'predicted_final_exam_score'. 2. Scenario B: using 'predicted_final_exam_score' plus additional engineered features. Display confusion matrix, accuracy, precision, recall, and F1-score for each scenario. Provide context on the dataset used.&quot;, &quot;response_improvement_suggestions&quot;: &quot;Complete the response by finishing the evaluation function and including the output of the metrics for both scenarios.&quot;, &quot;verdict&quot;: &quot;good&quot;, &quot;needs_human_review&quot;: false}"/>
    <s v="ok"/>
    <n v="4"/>
  </r>
  <r>
    <x v="31"/>
    <s v="[LANG:Python]_x000a_[MODE:code]_x000a_ok, sekarang code telah membaca file csv khususnya pada file housing_labels.csv . dan sekarang kita harus mencari nilai null. pada pandas, perintah apa yang diperlukan untuk menggunakannya? housing_labels.info()? housing_labels.describe()? atau apa"/>
    <s v="done"/>
    <s v="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
    <s v="```python_x000a_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_x000a_```"/>
    <d v="2026-02-25T16:03:49"/>
    <x v="1"/>
    <n v="0"/>
    <n v="70"/>
    <n v="169"/>
    <n v="239"/>
    <n v="274"/>
    <n v="634"/>
    <n v="1694"/>
    <n v="4"/>
    <n v="5"/>
    <n v="5"/>
    <s v="Clear context and specific question about handling null values in pandas."/>
    <s v="Could be slightly more concise."/>
    <s v="Provides correct and complete code with explanations for handling null values."/>
    <s v="None significant; response is thorough."/>
    <s v="Apa perintah di pandas untuk mencari nilai null dalam file housing_labels.csv yang telah dibaca?"/>
    <s v="None; response is already comprehensive."/>
    <s v="excellent"/>
    <b v="0"/>
    <s v="gpt-4o-mini"/>
    <s v="{&quot;prompt_score&quot;: 4, &quot;response_score&quot;: 5, &quot;overall_score&quot;: 5, &quot;prompt_strengths&quot;: &quot;Clear context and specific question about handling null values in pandas.&quot;, &quot;prompt_issues&quot;: &quot;Could be slightly more concise.&quot;, &quot;response_strengths&quot;: &quot;Provides correct and complete code with explanations for handling null values.&quot;, &quot;response_issues&quot;: &quot;None significant; response is thorough.&quot;, &quot;prompt_rewrite&quot;: &quot;Apa perintah di pandas untuk mencari nilai null dalam file housing_labels.csv yang telah dibaca?&quot;, &quot;response_improvement_suggestions&quot;: &quot;None; response is already comprehensive.&quot;, &quot;verdict&quot;: &quot;excellent&quot;, &quot;needs_human_review&quot;: false}"/>
    <s v="ok"/>
    <n v="5"/>
  </r>
  <r>
    <x v="31"/>
    <s v="[MODE:code]_x000a_buatkan saya sebuah code dari code yang sudah ada sebelumnya, sekarang buatkan saya code dengan menampilkan best hyperparameter dari hasil Grid Search."/>
    <s v="done"/>
    <s v="print(grid_search.best_params_)"/>
    <s v="```python_x000a_print(grid_search.best_params_)_x000a_```"/>
    <d v="2026-03-18T16:11:56"/>
    <x v="4"/>
    <n v="0"/>
    <n v="38"/>
    <n v="10"/>
    <n v="48"/>
    <n v="163"/>
    <n v="45"/>
    <n v="1958"/>
    <n v="3"/>
    <n v="4"/>
    <n v="4"/>
    <s v="The prompt is clear about the desired output."/>
    <s v="Lacks specificity regarding the programming language and context of the existing code."/>
    <s v="The response is relevant and correctly shows how to access best hyperparameters."/>
    <s v="The response is too brief and lacks context or explanation."/>
    <s v="Buatkan saya sebuah kode Python yang menampilkan best hyperparameter dari hasil Grid Search yang sudah ada."/>
    <s v="Add context or explanation about the code and its usage."/>
    <s v="good"/>
    <b v="0"/>
    <s v="gpt-4o-mini"/>
    <s v="{&quot;prompt_score&quot;: 3, &quot;response_score&quot;: 4, &quot;overall_score&quot;: 4, &quot;prompt_strengths&quot;: &quot;The prompt is clear about the desired output.&quot;, &quot;prompt_issues&quot;: &quot;Lacks specificity regarding the programming language and context of the existing code.&quot;, &quot;response_strengths&quot;: &quot;The response is relevant and correctly shows how to access best hyperparameters.&quot;, &quot;response_issues&quot;: &quot;The response is too brief and lacks context or explanation.&quot;, &quot;prompt_rewrite&quot;: &quot;Buatkan saya sebuah kode Python yang menampilkan best hyperparameter dari hasil Grid Search yang sudah ada.&quot;, &quot;response_improvement_suggestions&quot;: &quot;Add context or explanation about the code and its usage.&quot;, &quot;verdict&quot;: &quot;good&quot;, &quot;needs_human_review&quot;: false}"/>
    <s v="ok"/>
    <n v="4"/>
  </r>
  <r>
    <x v="31"/>
    <s v="[MODE:code]_x000a_nice code cocok, lalu saya membuat fungsi add_intercept dengan parameter X_1d lalu saya ingin membuat sebuah fungsi compute_cost dengan parameter X,y,theta dimana m = y.size. lalu aku ingin kamu membuat isi dalam fungsi tersebut yaitu menghitung MSE cost e=Xθ-y"/>
    <s v="done"/>
    <s v="import numpy as np_x000a__x000a_def add_intercept(X_1d):_x000a_    X_1d = np.asarray(X_1d).reshape(-1)_x000a_    return np.c_[np.ones(X_1d.shape[0]), X_1d]_x000a__x000a_def compute_cost(X, y, theta):_x000a_    X = np.asarray(X)_x000a_    y = np.asarray(y).reshape(-1)_x000a_    theta = np.asarray(theta).reshape(-1)_x000a__x000a_    m = y.size_x000a_    e = X @ theta - y_x000a_    cost = (e @ e) / (2 * m)_x000a_    return cost"/>
    <s v="```python_x000a_import numpy as np_x000a__x000a_def add_intercept(X_1d):_x000a_    X_1d = np.asarray(X_1d).reshape(-1)_x000a_    return np.c_[np.ones(X_1d.shape[0]), X_1d]_x000a__x000a_def compute_cost(X, y, theta):_x000a_    X = np.asarray(X)_x000a_    y = np.asarray(y).reshape(-1)_x000a_    theta = np.asarray(theta).reshape(-1)_x000a__x000a_    m = y.size_x000a_    e = X @ theta - y_x000a_    cost = (e @ e) / (2 * m)_x000a_    return cost_x000a_```"/>
    <d v="2026-04-01T15:03:15"/>
    <x v="5"/>
    <n v="0"/>
    <n v="71"/>
    <n v="126"/>
    <n v="197"/>
    <n v="273"/>
    <n v="358"/>
    <n v="1999"/>
    <n v="3"/>
    <n v="4"/>
    <n v="4"/>
    <s v="The prompt specifies the functions and parameters clearly."/>
    <s v="The prompt lacks clarity in the explanation of the cost calculation."/>
    <s v="The response provides correct and complete code for the functions."/>
    <s v="The response could benefit from comments explaining the code."/>
    <s v="Buat fungsi add_intercept dengan parameter X_1d dan fungsi compute_cost dengan parameter X, y, theta. Hitung MSE cost dengan rumus e = Xθ - y."/>
    <s v="Add comments to explain each step of the code for better clarity."/>
    <s v="good"/>
    <b v="0"/>
    <s v="gpt-4o-mini"/>
    <s v="{&quot;prompt_score&quot;: 3, &quot;response_score&quot;: 4, &quot;overall_score&quot;: 4, &quot;prompt_strengths&quot;: &quot;The prompt specifies the functions and parameters clearly.&quot;, &quot;prompt_issues&quot;: &quot;The prompt lacks clarity in the explanation of the cost calculation.&quot;, &quot;response_strengths&quot;: &quot;The response provides correct and complete code for the functions.&quot;, &quot;response_issues&quot;: &quot;The response could benefit from comments explaining the code.&quot;, &quot;prompt_rewrite&quot;: &quot;Buat fungsi add_intercept dengan parameter X_1d dan fungsi compute_cost dengan parameter X, y, theta. Hitung MSE cost dengan rumus e = Xθ - y.&quot;, &quot;response_improvement_suggestions&quot;: &quot;Add comments to explain each step of the code for better clarity.&quot;, &quot;verdict&quot;: &quot;good&quot;, &quot;needs_human_review&quot;: false}"/>
    <s v="ok"/>
    <n v="4"/>
  </r>
  <r>
    <x v="31"/>
    <s v="[MODE:summary_code_explanation]_x000a_[ASSESSMENT_ID:1771cf8e-0a65-11f1-b762-3e0936ad7efb]_x000a_[FORCE_GPT:true]_x000a_[AUTO_FALLBACK:true]_x000a_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
    <s v="done"/>
    <s v="**SUMMARY**  _x000a_Berikut implementasi EDA berorientasi risiko (1–6) yang runnable: cek missing value, statistik numerik, plot distribusi fitur relevan, perbandingan Pass vs Fail untuk ≥2 fitur, heatmap korelasi, dan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style=&quot;whitegrid&quot;)_x000a__x000a_# Helper: cari kolom label pass/fail (lebih robust)_x000a_def find_passfail_col(columns):_x000a_    candidates = [&quot;pass_fail&quot;, &quot;passfail&quot;, &quot;PassFail&quot;, &quot;pass/fail&quot;, &quot;result&quot;, &quot;status&quot;]_x000a_    for c in candidates:_x000a_        if c in columns:_x000a_            return c_x000a_    return &quot;pass_fail&quot; if &quot;pass_fail&quot; in columns else None_x000a__x000a_passfail_col = find_passfail_col(df.columns)_x000a__x000a_# Helper: normalisasi label pass/fail agar konsisten_x000a_def normalize_passfail(series: pd.Series) -&gt; pd.Series:_x000a_    s = series.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return s.map(mapping).fillna(series.astype(str))_x000a__x000a_# =========================_x000a_# 1) Missing value_x000a_# =========================_x000a_missing = df.isna().sum().sort_values(ascending=False)_x000a_missing_pct = (df.isna().mean() * 100).sort_values(ascending=False)_x000a__x000a_print(&quot;=== (1) Missing Value (count) ===&quot;)_x000a_print(missing[missing &gt; 0] if (missing &gt; 0).any() else &quot;Tidak ada missing value.&quot;)_x000a_print(&quot;\n=== Missing Value (percent) ===&quot;)_x000a_print(missing_pct[missing_pct &gt; 0].round(2) if (missing_pct &gt; 0).any() else &quot;0% di semua kolom.&quot;)_x000a__x000a_# Insight 1_x000a_total_missing = int(df.isna().sum().sum())_x000a_if total_missing == 0:_x000a_    print(&quot;\n[Insight] Data bersih dari missing value, risiko bias karena imputasi lebih kecil.&quot;)_x000a_else:_x000a_    top_col = missing.index[0]_x000a_    print(f&quot;\n[Insight] Terdapat {total_missing} missing value. Kolom paling bermasalah: &quot;_x000a_          f&quot;'{top_col}' ({missing[top_col]} baris, {missing_pct[top_col]:.2f}%). &quot;_x000a_          &quot;Pertimbangkan imputasi atau drop sesuai konteks.&quot;)_x000a__x000a_# =========================_x000a_# 2) Statistik deskriptif numerik_x000a_# =========================_x000a_num_df = df.select_dtypes(include=&quot;number&quot;)_x000a_print(&quot;\n=== (2) Statistik Deskriptif (Numerik) ===&quot;)_x000a_if num_df.shape[1] == 0:_x000a_    print(&quot;Tidak ada kolom numerik.&quot;)_x000a_else:_x000a_    desc = num_df.describe().T_x000a_    print(desc)_x000a__x000a_    # Insight 2: deteksi outlier sederhana via IQR_x000a_    outlier_info = []_x000a_    for col in num_df.columns:_x000a_        q1 = num_df[col].quantile(0.25)_x000a_        q3 = num_df[col].quantile(0.75)_x000a_        iqr = q3 - q1_x000a_        if pd.isna(iqr) or iqr == 0:_x000a_            continue_x000a_        lower = q1 - 1.5 * iqr_x000a_        upper = q3 + 1.5 * iqr_x000a_        outliers = ((num_df[col] &lt; lower) | (num_df[col] &gt; upper)).sum()_x000a_        if outliers &gt; 0:_x000a_            outlier_info.append((col, int(outliers)))_x000a__x000a_    if outlier_info:_x000a_        outlier_info.sort(key=lambda x: x[1], reverse=True)_x000a_        print(&quot;\n[Insight] Ada indikasi outlier (metode IQR) pada kolom berikut (jumlah outlier):&quot;)_x000a_        for col, n_out in outlier_info[:10]:_x000a_            print(f&quot; - {col}: {n_out}&quot;)_x000a_        print(&quot;Outlier dapat memengaruhi model/analisis; pertimbangkan robust scaling atau winsorizing.&quot;)_x000a_    else:_x000a_        print(&quot;\n[Insight] Tidak ada indikasi outlier signifikan (IQR) pada kolom numerik utama.&quot;)_x000a__x000a_# =========================_x000a_# 3) Visualisasi distribusi fitur numerik relevan untuk risiko akademik_x000a_#    (heuristik: pilih kolom numerik yang namanya mengandung kata kunci)_x000a_# =========================_x000a_risk_keywords = [&quot;score&quot;, &quot;exam&quot;, &quot;math&quot;,"/>
    <s v="**SUMMARY**  _x000a_Berikut implementasi EDA berorientasi risiko (1–6) yang runnable: cek missing value, statistik numerik, plot distribusi fitur relevan, perbandingan Pass vs Fail untuk ≥2 fitur, heatmap korelasi, dan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style=&quot;whitegrid&quot;)_x000a__x000a_# Helper: cari kolom label pass/fail (lebih robust)_x000a_def find_passfail_col(columns):_x000a_    candidates = [&quot;pass_fail&quot;, &quot;passfail&quot;, &quot;PassFail&quot;, &quot;pass/fail&quot;, &quot;result&quot;, &quot;status&quot;]_x000a_    for c in candidates:_x000a_        if c in columns:_x000a_            return c_x000a_    return &quot;pass_fail&quot; if &quot;pass_fail&quot; in columns else None_x000a__x000a_passfail_col = find_passfail_col(df.columns)_x000a__x000a_# Helper: normalisasi label pass/fail agar konsisten_x000a_def normalize_passfail(series: pd.Series) -&gt; pd.Series:_x000a_    s = series.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return s.map(mapping).fillna(series.astype(str))_x000a__x000a_# =========================_x000a_# 1) Missing value_x000a_# =========================_x000a_missing = df.isna().sum().sort_values(ascending=False)_x000a_missing_pct = (df.isna().mean() * 100).sort_values(ascending=False)_x000a__x000a_print(&quot;=== (1) Missing Value (count) ===&quot;)_x000a_print(missing[missing &gt; 0] if (missing &gt; 0).any() else &quot;Tidak ada missing value.&quot;)_x000a_print(&quot;\n=== Missing Value (percent) ===&quot;)_x000a_print(missing_pct[missing_pct &gt; 0].round(2) if (missing_pct &gt; 0).any() else &quot;0% di semua kolom.&quot;)_x000a__x000a_# Insight 1_x000a_total_missing = int(df.isna().sum().sum())_x000a_if total_missing == 0:_x000a_    print(&quot;\n[Insight] Data bersih dari missing value, risiko bias karena imputasi lebih kecil.&quot;)_x000a_else:_x000a_    top_col = missing.index[0]_x000a_    print(f&quot;\n[Insight] Terdapat {total_missing} missing value. Kolom paling bermasalah: &quot;_x000a_          f&quot;'{top_col}' ({missing[top_col]} baris, {missing_pct[top_col]:.2f}%). &quot;_x000a_          &quot;Pertimbangkan imputasi atau drop sesuai konteks.&quot;)_x000a__x000a_# =========================_x000a_# 2) Statistik deskriptif numerik_x000a_# =========================_x000a_num_df = df.select_dtypes(include=&quot;number&quot;)_x000a_print(&quot;\n=== (2) Statistik Deskriptif (Numerik) ===&quot;)_x000a_if num_df.shape[1] == 0:_x000a_    print(&quot;Tidak ada kolom numerik.&quot;)_x000a_else:_x000a_    desc = num_df.describe().T_x000a_    print(desc)_x000a__x000a_    # Insight 2: deteksi outlier sederhana via IQR_x000a_    outlier_info = []_x000a_    for col in num_df.columns:_x000a_        q1 = num_df[col].quantile(0.25)_x000a_        q3 = num_df[col].quantile(0.75)_x000a_        iqr = q3 - q1_x000a_        if pd.isna(iqr) or iqr == 0:_x000a_            continue_x000a_        lower = q1 - 1.5 * iqr_x000a_        upper = q3 + 1.5 * iqr_x000a_        outliers = ((num_df[col] &lt; lower) | (num_df[col] &gt; upper)).sum()_x000a_        if outliers &gt; 0:_x000a_            outlier_info.append((col, int(outliers)))_x000a__x000a_    if outlier_info:_x000a_        outlier_info.sort(key=lambda x: x[1], reverse=True)_x000a_        print(&quot;\n[Insight] Ada indikasi outlier (metode IQR) pada kolom berikut (jumlah outlier):&quot;)_x000a_        for col, n_out in outlier_info[:10]:_x000a_            print(f&quot; - {col}: {n_out}&quot;)_x000a_        print(&quot;Outlier dapat memengaruhi model/analisis; pertimbangkan robust scaling atau winsorizing.&quot;)_x000a_    else:_x000a_        print(&quot;\n[Insight] Tidak ada indikasi outlier signifikan (IQR) pada kolom numerik utama.&quot;)_x000a__x000a_# =========================_x000a_# 3) Visualisasi distribusi fitur numerik relevan untuk risiko akademik_x000a_#    (heuristik: pilih kolom numerik yang namanya mengandung kata kunci)_x000a_# =========================_x000a_risk_keywords = [&quot;score&quot;, &quot;exam&quot;, &quot;math&quot;,"/>
    <d v="2026-04-15T14:25:52"/>
    <x v="3"/>
    <n v="0"/>
    <n v="228"/>
    <n v="1048"/>
    <n v="1276"/>
    <n v="696"/>
    <n v="3730"/>
    <n v="2243"/>
    <n v="4"/>
    <n v="4"/>
    <n v="4"/>
    <s v="Clear and detailed instructions for EDA tasks."/>
    <s v="Could specify the expected output format more clearly."/>
    <s v="Comprehensive implementation covering all requested EDA tasks."/>
    <s v="Response is lengthy and could be more concise."/>
    <s v="[MODE:summary_code_explanation] Konteks: Saya butuh implementasi EDA berorientasi risiko. Kerjakan analisis berikut: 1. Cek missing value. 2. Tampilkan statistik deskriptif fitur numerik. 3. Visualisasikan distribusi fitur numerik relevan untuk risiko akademik. 4. Bandingkan dua fitur antara kelompok `Pass` dan `Fail`. 5. Buat heatmap korelasi numerik. 6. Berikan insight untuk setiap hasil EDA. Bahasa: [Python]. Input: [struktur data]. Output: [kode runnable dan format hasil yang diharapkan]."/>
    <s v="Summarize insights more succinctly and ensure all code is runnable without excessive length."/>
    <s v="good"/>
    <b v="0"/>
    <s v="gpt-4o-mini"/>
    <s v="{&quot;prompt_score&quot;: 4, &quot;response_score&quot;: 4, &quot;overall_score&quot;: 4, &quot;prompt_strengths&quot;: &quot;Clear and detailed instructions for EDA tasks.&quot;, &quot;prompt_issues&quot;: &quot;Could specify the expected output format more clearly.&quot;, &quot;response_strengths&quot;: &quot;Comprehensive implementation covering all requested EDA tasks.&quot;, &quot;response_issues&quot;: &quot;Response is lengthy and could be more concise.&quot;, &quot;prompt_rewrite&quot;: &quot;[MODE:summary_code_explanation] Konteks: Saya butuh implementasi EDA berorientasi risiko. Kerjakan analisis berikut: 1. Cek missing value. 2. Tampilkan statistik deskriptif fitur numerik. 3. Visualisasikan distribusi fitur numerik relevan untuk risiko akademik. 4. Bandingkan dua fitur antara kelompok `Pass` dan `Fail`. 5. Buat heatmap korelasi numerik. 6. Berikan insight untuk setiap hasil EDA. Bahasa: [Python]. Input: [struktur data]. Output: [kode runnable dan format hasil yang diharapkan].&quot;, &quot;response_improvement_suggestions&quot;: &quot;Summarize insights more succinctly and ensure all code is runnable without excessive length.&quot;, &quot;verdict&quot;: &quot;good&quot;, &quot;needs_human_review&quot;: false}"/>
    <s v="ok"/>
    <n v="4"/>
  </r>
  <r>
    <x v="31"/>
    <s v="[MODE:summary_code_explanation]_x000a_[ASSESSMENT_ID:1771cf8e-0a65-11f1-b762-3e0936ad7efb]_x000a_[FORCE_GPT:true]_x000a_[AUTO_FALLBACK:true]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s v="done"/>
    <s v="**SUMMARY**  _x000a_Error itu muncul karena Anda belum mendefinisikan target regresi (`y_reg`) dan hasil split-nya (`y_reg_train`, `y_reg_test`). Tambahkan blok definisi target + train-test split sebelum kode pipeline Anda.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r2_score_x000a__x000a_# ===== 0) Load data =====_x000a_df = pd.read_csv(&quot;student_exam_performance_dataset (1).csv&quot;)_x000a__x000a_# ===== 1) Definisikan target regresi =====_x000a_target_reg = &quot;final_exam_score&quot;_x000a_if target_reg not in df.columns:_x000a_    raise ValueError(f&quot;Kolom target regresi '{target_reg}' tidak ada. Kolom tersedia: {list(df.columns)}&quot;)_x000a__x000a_y_reg = df[target_reg]_x000a_X = df.drop(columns=[target_reg])_x000a__x000a_# (opsional tapi disarankan) buang kolom label/target lain agar tidak leakage_x000a_for leak in [&quot;pass_fail&quot;, &quot;grade_category&quot;, &quot;at_risk&quot;]:_x000a_    if leak in X.columns:_x000a_        X = X.drop(columns=[leak])_x000a__x000a_# ===== 2) Split train-test (80:20) =====_x000a_X_train, X_test, y_reg_train, y_reg_test = train_test_split(_x000a_    X, y_reg, test_size=0.2, random_state=42_x000a_)_x000a__x000a_# ===== 3) Tentukan kolom numerik &amp; kategorikal =====_x000a_num_cols = X_train.select_dtypes(include=&quot;number&quot;).columns.tolist()_x000a_cat_cols = [c for c in X_train.columns if c not in num_cols]_x000a__x000a_# ===== 4) Preprocessing pipeline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model =====_x000a_models = {_x000a_    &quot;LinearRegression&quot;: LinearRegression(),_x000a_    &quot;Ridge(alpha=1.0)&quot;: Ridge(alpha=1.0, random_state=42),_x000a_    &quot;Lasso(alpha=0.1)&quot;: Lasso(alpha=0.1, random_state=42, max_iter=10000),_x000a_}_x000a__x000a_# ===== 6) Train + evaluasi (RMSE, MAE, R2) =====_x000a_results = []_x000a_best_name, best_pipe, best_rmse = None, None, np.inf_x000a_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_x000a__x000a_    results.append((name, rmse, mae, r2))_x000a__x000a_    if rmse &lt; best_rmse:_x000a_        best_rmse = rmse_x000a_        best_name = name_x000a_        best_pipe = pipe_x000a__x000a_# Tampilkan hasil_x000a_for name, rmse, mae, r2 in results:_x000a_    print(f&quot;{name:18s} | RMSE: {rmse:.4f} | MAE: {mae:.4f} | R2: {r2:.4f}&quot;)_x000a__x000a_print(&quot;\nModel terbaik (berdasarkan RMSE terendah):&quot;, best_name)_x000a__x000a_# ===== 7) Simpan prediksi train &amp; test (untuk tahap klasifikasi) =====_x000a_train_pred = best_pipe.predict(X_train)_x000a_test_pred = best_pipe.predict(X_test)_x000a__x000a_# Jika ingin ditempel ke data:_x000a_X_train_with_pred = X_train.copy()_x000a_X_test_with_pred = X_test.copy()_x000a_X_train_with_pred[&quot;pred_final_exam_score&quot;] = train_pred_x000a_X_test_with_pred[&quot;pred_final_exam_score&quot;] = test_pred_x000a_```_x000a__x000a_**EXPLANATION**  _x000a_- `y_reg_train` tidak ada karena Anda langsung memanggil `pipe.fit(X_train, y_reg_train)` tanpa pernah membuat `y_reg_train`.  _x000a_- Solusinya: tentukan dulu target regresi `y_reg = df[&quot;final_exam_score&quot;]`, lalu lakukan `train_test_split` untuk menghasilkan `y_reg_train` dan `y_reg_test`.  _x000a_- Setelah itu pipeline Anda akan berjalan, dan Anda juga bisa menyimpan prediksi train/test"/>
    <s v="**SUMMARY**  _x000a_Error itu muncul karena Anda belum mendefinisikan target regresi (`y_reg`) dan hasil split-nya (`y_reg_train`, `y_reg_test`). Tambahkan blok definisi target + train-test split sebelum kode pipeline Anda.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r2_score_x000a__x000a_# ===== 0) Load data =====_x000a_df = pd.read_csv(&quot;student_exam_performance_dataset (1).csv&quot;)_x000a__x000a_# ===== 1) Definisikan target regresi =====_x000a_target_reg = &quot;final_exam_score&quot;_x000a_if target_reg not in df.columns:_x000a_    raise ValueError(f&quot;Kolom target regresi '{target_reg}' tidak ada. Kolom tersedia: {list(df.columns)}&quot;)_x000a__x000a_y_reg = df[target_reg]_x000a_X = df.drop(columns=[target_reg])_x000a__x000a_# (opsional tapi disarankan) buang kolom label/target lain agar tidak leakage_x000a_for leak in [&quot;pass_fail&quot;, &quot;grade_category&quot;, &quot;at_risk&quot;]:_x000a_    if leak in X.columns:_x000a_        X = X.drop(columns=[leak])_x000a__x000a_# ===== 2) Split train-test (80:20) =====_x000a_X_train, X_test, y_reg_train, y_reg_test = train_test_split(_x000a_    X, y_reg, test_size=0.2, random_state=42_x000a_)_x000a__x000a_# ===== 3) Tentukan kolom numerik &amp; kategorikal =====_x000a_num_cols = X_train.select_dtypes(include=&quot;number&quot;).columns.tolist()_x000a_cat_cols = [c for c in X_train.columns if c not in num_cols]_x000a__x000a_# ===== 4) Preprocessing pipeline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model =====_x000a_models = {_x000a_    &quot;LinearRegression&quot;: LinearRegression(),_x000a_    &quot;Ridge(alpha=1.0)&quot;: Ridge(alpha=1.0, random_state=42),_x000a_    &quot;Lasso(alpha=0.1)&quot;: Lasso(alpha=0.1, random_state=42, max_iter=10000),_x000a_}_x000a__x000a_# ===== 6) Train + evaluasi (RMSE, MAE, R2) =====_x000a_results = []_x000a_best_name, best_pipe, best_rmse = None, None, np.inf_x000a_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_x000a__x000a_    results.append((name, rmse, mae, r2))_x000a__x000a_    if rmse &lt; best_rmse:_x000a_        best_rmse = rmse_x000a_        best_name = name_x000a_        best_pipe = pipe_x000a__x000a_# Tampilkan hasil_x000a_for name, rmse, mae, r2 in results:_x000a_    print(f&quot;{name:18s} | RMSE: {rmse:.4f} | MAE: {mae:.4f} | R2: {r2:.4f}&quot;)_x000a__x000a_print(&quot;\nModel terbaik (berdasarkan RMSE terendah):&quot;, best_name)_x000a__x000a_# ===== 7) Simpan prediksi train &amp; test (untuk tahap klasifikasi) =====_x000a_train_pred = best_pipe.predict(X_train)_x000a_test_pred = best_pipe.predict(X_test)_x000a__x000a_# Jika ingin ditempel ke data:_x000a_X_train_with_pred = X_train.copy()_x000a_X_test_with_pred = X_test.copy()_x000a_X_train_with_pred[&quot;pred_final_exam_score&quot;] = train_pred_x000a_X_test_with_pred[&quot;pred_final_exam_score&quot;] = test_pred_x000a_```_x000a__x000a_**EXPLANATION**  _x000a_- `y_reg_train` tidak ada karena Anda langsung memanggil `pipe.fit(X_train, y_reg_train)` tanpa pernah membuat `y_reg_train`.  _x000a_- Solusinya: tentukan dulu target regresi `y_reg = df[&quot;final_exam_score&quot;]`, lalu lakukan `train_test_split` untuk menghasilkan `y_reg_train` dan `y_reg_test`.  _x000a_- Setelah itu pipeline Anda akan berjalan, dan Anda juga bisa menyimpan prediksi train/test"/>
    <d v="2026-04-15T14:41:24"/>
    <x v="3"/>
    <n v="0"/>
    <n v="494"/>
    <n v="1050"/>
    <n v="1544"/>
    <n v="1706"/>
    <n v="3821"/>
    <n v="2528"/>
    <n v="4"/>
    <n v="5"/>
    <n v="5"/>
    <s v="The prompt provides clear code context and specifies the error encountered."/>
    <s v="Could benefit from more explicit instructions on what the user should do next."/>
    <s v="The response is highly relevant, correct, and provides a complete solution with clear explanations."/>
    <s v="None identified; the response addresses the prompt effectively."/>
    <s v="Explain the error in the provided code and suggest how to define the target variable and perform a train-test split."/>
    <s v="None needed; the response is comprehensive and clear."/>
    <s v="excellent"/>
    <b v="0"/>
    <s v="gpt-4o-mini"/>
    <s v="{&quot;prompt_score&quot;: 4, &quot;response_score&quot;: 5, &quot;overall_score&quot;: 5, &quot;prompt_strengths&quot;: &quot;The prompt provides clear code context and specifies the error encountered.&quot;, &quot;prompt_issues&quot;: &quot;Could benefit from more explicit instructions on what the user should do next.&quot;, &quot;response_strengths&quot;: &quot;The response is highly relevant, correct, and provides a complete solution with clear explanations.&quot;, &quot;response_issues&quot;: &quot;None identified; the response addresses the prompt effectively.&quot;, &quot;prompt_rewrite&quot;: &quot;Explain the error in the provided code and suggest how to define the target variable and perform a train-test split.&quot;, &quot;response_improvement_suggestions&quot;: &quot;None needed; the response is comprehensive and clear.&quot;, &quot;verdict&quot;: &quot;excellent&quot;, &quot;needs_human_review&quot;: false}"/>
    <s v="ok"/>
    <n v="5"/>
  </r>
  <r>
    <x v="31"/>
    <s v="[LANG:Python]_x000a_[MODE:summary]_x000a_cara melihat kolerasi antar fitur pada correlation matrix khususnya terkait potensi **multicollinearity**"/>
    <s v="done"/>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d v="2026-03-11T15:55:59"/>
    <x v="2"/>
    <n v="0"/>
    <n v="40"/>
    <n v="168"/>
    <n v="208"/>
    <n v="134"/>
    <n v="579"/>
    <n v="2542"/>
    <n v="4"/>
    <n v="5"/>
    <n v="5"/>
    <s v="Clear and specific about the topic of multicollinearity."/>
    <s v="Could provide more context on the audience's knowledge level."/>
    <s v="Thorough explanation with actionable steps and relevant metrics."/>
    <s v="None significant; well-structured and informative."/>
    <s v="[LANG:Python] [MODE:summary] Bagaimana cara menganalisis kolerasi antar fitur dalam correlation matrix untuk mengidentifikasi potensi multicollinearity?"/>
    <s v="Consider adding examples or visual aids to enhance understanding."/>
    <s v="excellent"/>
    <b v="0"/>
    <s v="gpt-4o-mini"/>
    <s v="{&quot;prompt_score&quot;: 4, &quot;response_score&quot;: 5, &quot;overall_score&quot;: 5, &quot;prompt_strengths&quot;: &quot;Clear and specific about the topic of multicollinearity.&quot;, &quot;prompt_issues&quot;: &quot;Could provide more context on the audience's knowledge level.&quot;, &quot;response_strengths&quot;: &quot;Thorough explanation with actionable steps and relevant metrics.&quot;, &quot;response_issues&quot;: &quot;None significant; well-structured and informative.&quot;, &quot;prompt_rewrite&quot;: &quot;[LANG:Python] [MODE:summary] Bagaimana cara menganalisis kolerasi antar fitur dalam correlation matrix untuk mengidentifikasi potensi multicollinearity?&quot;, &quot;response_improvement_suggestions&quot;: &quot;Consider adding examples or visual aids to enhance understanding.&quot;, &quot;verdict&quot;: &quot;excellent&quot;, &quot;needs_human_review&quot;: false}"/>
    <s v="ok"/>
    <n v="5"/>
  </r>
  <r>
    <x v="31"/>
    <s v="[MODE:code]_x000a_# Gabungkan seluruh data train dan validation untuk fitur polynomial._x000a_X_train_final = ......................."/>
    <s v="done"/>
    <s v="X_train_final = np.vstack([X_poly, X_poly_val])"/>
    <s v="```python_x000a_X_train_final = np.vstack([X_poly, X_poly_val])_x000a_```"/>
    <d v="2026-04-08T16:07:10"/>
    <x v="0"/>
    <n v="0"/>
    <n v="27"/>
    <n v="18"/>
    <n v="45"/>
    <n v="121"/>
    <n v="61"/>
    <n v="2706"/>
    <n v="3"/>
    <n v="4"/>
    <n v="4"/>
    <s v="The prompt indicates a specific task related to data processing."/>
    <s v="Lacks clarity on what 'X_poly' and 'X_poly_val' are."/>
    <s v="The response is relevant and correctly combines the datasets."/>
    <s v="Could provide more context or explanation for clarity."/>
    <s v="[MODE:code] # Combine all training and validation data for polynomial features. Define X_poly and X_poly_val first."/>
    <s v="Add a brief explanation of what the code does."/>
    <s v="good"/>
    <b v="0"/>
    <s v="gpt-4o-mini"/>
    <s v="{&quot;prompt_score&quot;: 3, &quot;response_score&quot;: 4, &quot;overall_score&quot;: 4, &quot;prompt_strengths&quot;: &quot;The prompt indicates a specific task related to data processing.&quot;, &quot;prompt_issues&quot;: &quot;Lacks clarity on what 'X_poly' and 'X_poly_val' are.&quot;, &quot;response_strengths&quot;: &quot;The response is relevant and correctly combines the datasets.&quot;, &quot;response_issues&quot;: &quot;Could provide more context or explanation for clarity.&quot;, &quot;prompt_rewrite&quot;: &quot;[MODE:code] # Combine all training and validation data for polynomial features. Define X_poly and X_poly_val first.&quot;, &quot;response_improvement_suggestions&quot;: &quot;Add a brief explanation of what the code does.&quot;, &quot;verdict&quot;: &quot;good&quot;, &quot;needs_human_review&quot;: false}"/>
    <s v="ok"/>
    <n v="4"/>
  </r>
  <r>
    <x v="31"/>
    <s v="[LANG:Python]_x000a_[MODE:code]_x000a_ok sekarang kita akan membuat grid_search dengan 6000 data yang ada pada file csv sebelumnya. coba buatkan kingg"/>
    <s v="done"/>
    <s v="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    X, y, test_size=0.2, random_state=42_x000a_)_x000a__x000a_# GridSearchCV (svr_pipeline &amp; param_grid diasumsikan SUDAH dibuat sebelumnya)_x000a_grid_search = GridSearchCV(_x000a_    estimator=svr_pipeline,_x000a_    param_grid=param_grid,_x000a_    cv=5,_x000a_    scoring=&quot;neg_root_mean_squared_error&quot;,_x000a_    n_jobs=-1,_x000a_    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
    <s v="```python_x000a_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    X, y, test_size=0.2, random_state=42_x000a_)_x000a__x000a_# GridSearchCV (svr_pipeline &amp; param_grid diasumsikan SUDAH dibuat sebelumnya)_x000a_grid_search = GridSearchCV(_x000a_    estimator=svr_pipeline,_x000a_    param_grid=param_grid,_x000a_    cv=5,_x000a_    scoring=&quot;neg_root_mean_squared_error&quot;,_x000a_    n_jobs=-1,_x000a_    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_x000a_```"/>
    <d v="2026-02-25T16:50:41"/>
    <x v="1"/>
    <n v="0"/>
    <n v="40"/>
    <n v="298"/>
    <n v="338"/>
    <n v="138"/>
    <n v="1039"/>
    <n v="3497"/>
    <n v="3"/>
    <n v="4"/>
    <n v="4"/>
    <s v="The prompt specifies the task and context clearly."/>
    <s v="Lacks specificity in what 'kingg' means and does not define the model or parameters for grid search."/>
    <s v="The response is relevant, correct, and provides a complete implementation of grid search."/>
    <s v="Assumes prior knowledge of 'svr_pipeline' and 'param_grid' without explanation."/>
    <s v="Buatkan kode Python untuk melakukan grid search menggunakan 6000 data dari file CSV yang telah disebutkan, dengan menyertakan model dan parameter yang diperlukan."/>
    <s v="Include explanations for 'svr_pipeline' and 'param_grid' to enhance clarity for users unfamiliar with them."/>
    <s v="good"/>
    <b v="0"/>
    <s v="gpt-4o-mini"/>
    <s v="{&quot;prompt_score&quot;: 3, &quot;response_score&quot;: 4, &quot;overall_score&quot;: 4, &quot;prompt_strengths&quot;: &quot;The prompt specifies the task and context clearly.&quot;, &quot;prompt_issues&quot;: &quot;Lacks specificity in what 'kingg' means and does not define the model or parameters for grid search.&quot;, &quot;response_strengths&quot;: &quot;The response is relevant, correct, and provides a complete implementation of grid search.&quot;, &quot;response_issues&quot;: &quot;Assumes prior knowledge of 'svr_pipeline' and 'param_grid' without explanation.&quot;, &quot;prompt_rewrite&quot;: &quot;Buatkan kode Python untuk melakukan grid search menggunakan 6000 data dari file CSV yang telah disebutkan, dengan menyertakan model dan parameter yang diperlukan.&quot;, &quot;response_improvement_suggestions&quot;: &quot;Include explanations for 'svr_pipeline' and 'param_grid' to enhance clarity for users unfamiliar with them.&quot;, &quot;verdict&quot;: &quot;good&quot;, &quot;needs_human_review&quot;: false}"/>
    <s v="ok"/>
    <n v="4"/>
  </r>
  <r>
    <x v="31"/>
    <s v="[MODE:code]_x000a_buatkan saya sebuah code dari code yang sudah ada sebelumnya, sekarang buatkan saya code dengan melanjutkan code grid_search=..? adalah"/>
    <s v="done"/>
    <s v="from sklearn.model_selection import GridSearchCV_x000a__x000a_grid_search = GridSearchCV(_x000a_    estimator=knn_clf,_x000a_    param_grid=param_grid,_x000a_    cv=5,_x000a_    scoring=&quot;accuracy&quot;,_x000a_    n_jobs=-1_x000a_)"/>
    <s v="```python_x000a_from sklearn.model_selection import GridSearchCV_x000a__x000a_grid_search = GridSearchCV(_x000a_    estimator=knn_clf,_x000a_    param_grid=param_grid,_x000a_    cv=5,_x000a_    scoring=&quot;accuracy&quot;,_x000a_    n_jobs=-1_x000a_)_x000a_```"/>
    <d v="2026-03-18T16:03:38"/>
    <x v="4"/>
    <n v="0"/>
    <n v="39"/>
    <n v="51"/>
    <n v="90"/>
    <n v="147"/>
    <n v="191"/>
    <n v="3947"/>
    <n v="3"/>
    <n v="4"/>
    <n v="3"/>
    <s v="The prompt specifies a continuation of existing code."/>
    <s v="Lacks clarity and specificity regarding the existing code and desired parameters."/>
    <s v="The response is relevant and correctly implements GridSearchCV."/>
    <s v="Could provide more context or explanation about the parameters used."/>
    <s v="Buatkan saya kode untuk melanjutkan kode GridSearchCV yang sudah ada sebelumnya, dengan parameter yang sesuai."/>
    <s v="Add comments explaining the parameters and their purpose."/>
    <s v="good"/>
    <b v="0"/>
    <s v="gpt-4o-mini"/>
    <s v="{&quot;prompt_score&quot;: 3, &quot;response_score&quot;: 4, &quot;overall_score&quot;: 3, &quot;prompt_strengths&quot;: &quot;The prompt specifies a continuation of existing code.&quot;, &quot;prompt_issues&quot;: &quot;Lacks clarity and specificity regarding the existing code and desired parameters.&quot;, &quot;response_strengths&quot;: &quot;The response is relevant and correctly implements GridSearchCV.&quot;, &quot;response_issues&quot;: &quot;Could provide more context or explanation about the parameters used.&quot;, &quot;prompt_rewrite&quot;: &quot;Buatkan saya kode untuk melanjutkan kode GridSearchCV yang sudah ada sebelumnya, dengan parameter yang sesuai.&quot;, &quot;response_improvement_suggestions&quot;: &quot;Add comments explaining the parameters and their purpose.&quot;, &quot;verdict&quot;: &quot;good&quot;, &quot;needs_human_review&quot;: false}"/>
    <s v="ok"/>
    <n v="4"/>
  </r>
  <r>
    <x v="31"/>
    <s v="[LANG:Python]_x000a_[MODE:summary_code_explanation]_x000a_mencari tahu fitur yang berperan sebagai target variable dalam proses prediksi pada file csv tersebut"/>
    <s v="done"/>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d v="2026-03-11T15:32:42"/>
    <x v="2"/>
    <n v="0"/>
    <n v="37"/>
    <n v="383"/>
    <n v="420"/>
    <n v="147"/>
    <n v="1316"/>
    <n v="3995"/>
    <n v="4"/>
    <n v="5"/>
    <n v="5"/>
    <s v="Clear and specific about the task."/>
    <s v="Could provide more context about the dataset."/>
    <s v="Highly relevant, correct, and complete with clear code examples."/>
    <s v="None significant; very helpful explanation."/>
    <s v="[LANG:Python] [MODE:summary_code_explanation] Identifikasi target variable dalam dataset CSV untuk analisis prediksi."/>
    <s v="Consider adding a brief explanation of the dataset's context."/>
    <s v="excellent"/>
    <b v="0"/>
    <s v="gpt-4o-mini"/>
    <s v="{&quot;prompt_score&quot;: 4, &quot;response_score&quot;: 5, &quot;overall_score&quot;: 5, &quot;prompt_strengths&quot;: &quot;Clear and specific about the task.&quot;, &quot;prompt_issues&quot;: &quot;Could provide more context about the dataset.&quot;, &quot;response_strengths&quot;: &quot;Highly relevant, correct, and complete with clear code examples.&quot;, &quot;response_issues&quot;: &quot;None significant; very helpful explanation.&quot;, &quot;prompt_rewrite&quot;: &quot;[LANG:Python] [MODE:summary_code_explanation] Identifikasi target variable dalam dataset CSV untuk analisis prediksi.&quot;, &quot;response_improvement_suggestions&quot;: &quot;Consider adding a brief explanation of the dataset's context.&quot;, &quot;verdict&quot;: &quot;excellent&quot;, &quot;needs_human_review&quot;: false}"/>
    <s v="ok"/>
    <n v="5"/>
  </r>
  <r>
    <x v="31"/>
    <s v="[MODE:code]_x000a_seharusnya code tidak akan sepanjang itu, mungkin ada letak kesalahan dalam menemukan solusi. coba perhatikan lagi fokus permasalahan yang diminta yaitu menampilkan distribusi fitur berdasarkan class dengan menggunakan libari sns dengan atribut boxplot"/>
    <s v="done"/>
    <s v="import seaborn as sns_x000a_import matplotlib.pyplot as plt_x000a__x000a_for col in dataframe.columns.drop(&quot;class&quot;):_x000a_    sns.boxplot(data=dataframe, x=&quot;class&quot;, y=col)_x000a_    plt.title(f&quot;Distribusi {col} berdasarkan class&quot;)_x000a_    plt.show()"/>
    <s v="```python_x000a_import seaborn as sns_x000a_import matplotlib.pyplot as plt_x000a__x000a_for col in dataframe.columns.drop(&quot;class&quot;):_x000a_    sns.boxplot(data=dataframe, x=&quot;class&quot;, y=col)_x000a_    plt.title(f&quot;Distribusi {col} berdasarkan class&quot;)_x000a_    plt.show()_x000a_```"/>
    <d v="2026-03-18T15:00:47"/>
    <x v="4"/>
    <n v="0"/>
    <n v="70"/>
    <n v="59"/>
    <n v="129"/>
    <n v="264"/>
    <n v="230"/>
    <n v="4158"/>
    <n v="3"/>
    <n v="4"/>
    <n v="3"/>
    <s v="Identifies the need for a concise solution."/>
    <s v="Lacks clarity and specificity in the request."/>
    <s v="Provides a relevant and correct code snippet."/>
    <s v="Could include comments for clarity and explanation."/>
    <s v="Tolong berikan kode yang lebih ringkas untuk menampilkan distribusi fitur berdasarkan kelas menggunakan seaborn dan boxplot."/>
    <s v="Add comments to explain each part of the code for better understanding."/>
    <s v="good"/>
    <b v="0"/>
    <s v="gpt-4o-mini"/>
    <s v="{&quot;prompt_score&quot;: 3, &quot;response_score&quot;: 4, &quot;overall_score&quot;: 3, &quot;prompt_strengths&quot;: &quot;Identifies the need for a concise solution.&quot;, &quot;prompt_issues&quot;: &quot;Lacks clarity and specificity in the request.&quot;, &quot;response_strengths&quot;: &quot;Provides a relevant and correct code snippet.&quot;, &quot;response_issues&quot;: &quot;Could include comments for clarity and explanation.&quot;, &quot;prompt_rewrite&quot;: &quot;Tolong berikan kode yang lebih ringkas untuk menampilkan distribusi fitur berdasarkan kelas menggunakan seaborn dan boxplot.&quot;, &quot;response_improvement_suggestions&quot;: &quot;Add comments to explain each part of the code for better understanding.&quot;, &quot;verdict&quot;: &quot;good&quot;, &quot;needs_human_review&quot;: false}"/>
    <s v="ok"/>
    <n v="4"/>
  </r>
  <r>
    <x v="31"/>
    <s v="[MODE:summary]_x000a_berikan secara rinci dan kompleks untuk saya yang mahasiswa pengertian dari scatter plot dan juga apa hubungannya dengan pengaruh bmi terhadap charges"/>
    <s v="done"/>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d v="2026-03-04T15:13:53"/>
    <x v="6"/>
    <n v="0"/>
    <n v="39"/>
    <n v="253"/>
    <n v="292"/>
    <n v="165"/>
    <n v="907"/>
    <n v="4906"/>
    <n v="4"/>
    <n v="5"/>
    <n v="5"/>
    <s v="Clear and specific request for detailed explanation."/>
    <s v="Could specify the desired length or depth of explanation."/>
    <s v="Thorough explanation with relevant details and context."/>
    <s v="None significant; well-structured and informative."/>
    <s v="Berikan penjelasan rinci tentang scatter plot dan hubungannya dengan pengaruh BMI terhadap charges, termasuk contoh dan analisis yang lebih dalam."/>
    <s v="Consider adding a simple example of a scatter plot for better understanding."/>
    <s v="excellent"/>
    <b v="0"/>
    <s v="gpt-4o-mini"/>
    <s v="{&quot;prompt_score&quot;: 4, &quot;response_score&quot;: 5, &quot;overall_score&quot;: 5, &quot;prompt_strengths&quot;: &quot;Clear and specific request for detailed explanation.&quot;, &quot;prompt_issues&quot;: &quot;Could specify the desired length or depth of explanation.&quot;, &quot;response_strengths&quot;: &quot;Thorough explanation with relevant details and context.&quot;, &quot;response_issues&quot;: &quot;None significant; well-structured and informative.&quot;, &quot;prompt_rewrite&quot;: &quot;Berikan penjelasan rinci tentang scatter plot dan hubungannya dengan pengaruh BMI terhadap charges, termasuk contoh dan analisis yang lebih dalam.&quot;, &quot;response_improvement_suggestions&quot;: &quot;Consider adding a simple example of a scatter plot for better understanding.&quot;, &quot;verdict&quot;: &quot;excellent&quot;, &quot;needs_human_review&quot;: false}"/>
    <s v="ok"/>
    <n v="5"/>
  </r>
  <r>
    <x v="31"/>
    <s v="[LANG:Python]_x000a_[MODE:code]_x000a_sedikit klarifikasi mengenai X = df.iloc[:, 0:7]_x000a_bukannya itu akan menyimpan semua file dari baris kolom ke 1-8 yah?_x000a_bukannya seharusnya X = df.iloc[:, 0:6]?"/>
    <s v="done"/>
    <s v="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
    <s v="```python_x000a_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_x000a_```"/>
    <d v="2026-03-11T16:07:38"/>
    <x v="2"/>
    <n v="0"/>
    <n v="66"/>
    <n v="239"/>
    <n v="305"/>
    <n v="183"/>
    <n v="603"/>
    <n v="4928"/>
    <n v="4"/>
    <n v="5"/>
    <n v="5"/>
    <s v="Clear question about DataFrame slicing."/>
    <s v="Could provide more context on the DataFrame structure."/>
    <s v="Accurate explanation with code examples."/>
    <s v="None significant; very clear and helpful."/>
    <s v="Bisa jelaskan lebih lanjut tentang X = df.iloc[:, 0:7]? Apakah itu benar-benar menyimpan kolom 1-7?"/>
    <s v="None needed; response is comprehensive."/>
    <s v="excellent"/>
    <b v="0"/>
    <s v="gpt-4o-mini"/>
    <s v="{&quot;prompt_score&quot;: 4, &quot;response_score&quot;: 5, &quot;overall_score&quot;: 5, &quot;prompt_strengths&quot;: &quot;Clear question about DataFrame slicing.&quot;, &quot;prompt_issues&quot;: &quot;Could provide more context on the DataFrame structure.&quot;, &quot;response_strengths&quot;: &quot;Accurate explanation with code examples.&quot;, &quot;response_issues&quot;: &quot;None significant; very clear and helpful.&quot;, &quot;prompt_rewrite&quot;: &quot;Bisa jelaskan lebih lanjut tentang X = df.iloc[:, 0:7]? Apakah itu benar-benar menyimpan kolom 1-7?&quot;, &quot;response_improvement_suggestions&quot;: &quot;None needed; response is comprehensive.&quot;, &quot;verdict&quot;: &quot;excellent&quot;, &quot;needs_human_review&quot;: false}"/>
    <s v="ok"/>
    <n v="5"/>
  </r>
  <r>
    <x v="32"/>
    <s v="[MODE:code]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python_x000a_best_alpha = 1  # dipilih karena pada plot validation curve, alpha=1 memberi validation error paling kecil (atau sangat dekat minimum) dan kurvanya stabil dibanding kandidat lain._x000a_```"/>
    <d v="2026-04-07T12:47:03"/>
    <x v="0"/>
    <n v="0"/>
    <n v="64"/>
    <n v="50"/>
    <n v="114"/>
    <n v="252"/>
    <n v="193"/>
    <n v="443"/>
    <n v="4"/>
    <n v="4"/>
    <n v="4"/>
    <s v="Clear and specific about the task."/>
    <s v="Could provide more context about the validation curve."/>
    <s v="Relevant and correctly identifies the best alpha."/>
    <s v="Could elaborate more on the reasoning behind the choice."/>
    <s v="[MODE:code] Berdasarkan plot validation curve di atas, pilih satu nilai alpha terbaik untuk Kelas A dan jelaskan alasan singkatnya. Pertimbangkan stabilitas kurva dan validation error. Sertakan konteks tentang plot yang digunakan."/>
    <s v="Expand on the reasoning for choosing alpha=1, perhaps by comparing it to other values."/>
    <s v="good"/>
    <b v="0"/>
    <s v="gpt-4o-mini"/>
    <s v="{&quot;prompt_score&quot;: 4, &quot;response_score&quot;: 4, &quot;overall_score&quot;: 4, &quot;prompt_strengths&quot;: &quot;Clear and specific about the task.&quot;, &quot;prompt_issues&quot;: &quot;Could provide more context about the validation curve.&quot;, &quot;response_strengths&quot;: &quot;Relevant and correctly identifies the best alpha.&quot;, &quot;response_issues&quot;: &quot;Could elaborate more on the reasoning behind the choice.&quot;, &quot;prompt_rewrite&quot;: &quot;[MODE:code] Berdasarkan plot validation curve di atas, pilih satu nilai alpha terbaik untuk Kelas A dan jelaskan alasan singkatnya. Pertimbangkan stabilitas kurva dan validation error. Sertakan konteks tentang plot yang digunakan.&quot;, &quot;response_improvement_suggestions&quot;: &quot;Expand on the reasoning for choosing alpha=1, perhaps by comparing it to other values.&quot;, &quot;verdict&quot;: &quot;good&quot;, &quot;needs_human_review&quot;: false}"/>
    <s v="ok"/>
    <n v="4"/>
  </r>
  <r>
    <x v="32"/>
    <s v="[MODE:code]_x000a_[ASSESSMENT_ID:1771cf8e-0a65-11f1-b762-3e0936ad7efb]_x000a_[FORCE_GPT:true]_x000a_[AUTO_FALLBACK:true]_x000a_Bagian 1 - Load Dataset_x000a_Lakukan langkah berikut:_x000a__x000a_Load dataset student_exam_performance_dataset (1).csv._x000a_Tampilkan 5 baris pertama._x000a_Tampilkan ukuran dataset (jumlah baris dan kolom)._x000a_Tampilkan tipe data setiap kolom."/>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
    <d v="2026-04-14T10:40:03"/>
    <x v="3"/>
    <n v="0"/>
    <n v="107"/>
    <n v="128"/>
    <n v="235"/>
    <n v="319"/>
    <n v="415"/>
    <n v="797"/>
    <n v="4"/>
    <n v="5"/>
    <n v="5"/>
    <s v="Clear instructions with specific tasks."/>
    <s v="Could provide more context about the dataset."/>
    <s v="Correct and complete code with clear output statements."/>
    <s v="None."/>
    <s v="Bagian 1 - Load Dataset: Load dataset student_exam_performance_dataset (1).csv, which contains student exam performance data. Tampilkan 5 baris pertama, ukuran dataset (jumlah baris dan kolom), dan tipe data setiap kolom."/>
    <s v="None needed; response is already complete."/>
    <s v="excellent"/>
    <b v="0"/>
    <s v="gpt-4o-mini"/>
    <s v="{&quot;prompt_score&quot;: 4, &quot;response_score&quot;: 5, &quot;overall_score&quot;: 5, &quot;prompt_strengths&quot;: &quot;Clear instructions with specific tasks.&quot;, &quot;prompt_issues&quot;: &quot;Could provide more context about the dataset.&quot;, &quot;response_strengths&quot;: &quot;Correct and complete code with clear output statements.&quot;, &quot;response_issues&quot;: &quot;None.&quot;, &quot;prompt_rewrite&quot;: &quot;Bagian 1 - Load Dataset: Load dataset student_exam_performance_dataset (1).csv, which contains student exam performance data. Tampilkan 5 baris pertama, ukuran dataset (jumlah baris dan kolom), dan tipe data setiap kolom.&quot;, &quot;response_improvement_suggestions&quot;: &quot;None needed; response is already complete.&quot;, &quot;verdict&quot;: &quot;excellent&quot;, &quot;needs_human_review&quot;: false}"/>
    <s v="ok"/>
    <n v="5"/>
  </r>
  <r>
    <x v="32"/>
    <s v="[MODE:summary_code_explanation]_x000a_[ASSESSMENT_ID:1771cf81-0a65-11f1-b762-3e0936ad7efb]_x000a_[FORCE_GPT:true]_x000a_[AUTO_FALLBACK:true]_x000a_sekarang, buat 2 lagi visualisasi data yang menurut anda diperlukan untuk lebih memahami dataset ini (pima)"/>
    <s v="done"/>
    <s v="**SUMMARY**  _x000a_Dua visualisasi tambahan yang berguna untuk dataset Pima adalah (1) melihat distribusi fitur penting per kelas (Outcome) dan (2) melihat outlier/sebaran fitur numerik secara ringkas._x000a__x000a_```python_x000a_import matplotlib.pyplot as plt_x000a_import seaborn as sns_x000a__x000a_# (1) Boxplot Glucose per Outcome (melihat perbedaan distribusi + outlier)_x000a_plt.figure(figsize=(6, 4))_x000a_sns.boxplot(data=df, x=&quot;Outcome&quot;, y=&quot;Glucose&quot;)_x000a_plt.title(&quot;Glucose vs Outcome (Boxplot)&quot;)_x000a_plt.xlabel(&quot;Outcome&quot;)_x000a_plt.ylabel(&quot;Glucose&quot;)_x000a_plt.tight_layout()_x000a_plt.show()_x000a__x000a_# (2) Pairplot beberapa fitur kunci (melihat separabilitas antar kelas + hubungan antar fitur)_x000a_cols = [&quot;Glucose&quot;, &quot;BMI&quot;, &quot;Age&quot;, &quot;Insulin&quot;, &quot;Outcome&quot;]_x000a_sns.pairplot(df[cols], hue=&quot;Outcome&quot;, diag_kind=&quot;hist&quot;, corner=True, plot_kws={&quot;alpha&quot;: 0.6, &quot;s&quot;: 25})_x000a_plt.suptitle(&quot;Pairplot of Key Features (colored by Outcome)&quot;, y=1.02)_x000a_plt.show()_x000a_```_x000a__x000a_**EXPLANATION**  _x000a_- **Boxplot Glucose vs Outcome**: cepat menunjukkan apakah penderita diabetes cenderung punya nilai glucose lebih tinggi serta mendeteksi outlier.  _x000a_- **Pairplot fitur kunci**: membantu melihat pola pemisahan kelas (diabetes vs tidak) dan korelasi/cluster antar fitur pada beberapa dimensi sekaligus."/>
    <s v="**SUMMARY**  _x000a_Dua visualisasi tambahan yang berguna untuk dataset Pima adalah (1) melihat distribusi fitur penting per kelas (Outcome) dan (2) melihat outlier/sebaran fitur numerik secara ringkas._x000a__x000a_```python_x000a_import matplotlib.pyplot as plt_x000a_import seaborn as sns_x000a__x000a_# (1) Boxplot Glucose per Outcome (melihat perbedaan distribusi + outlier)_x000a_plt.figure(figsize=(6, 4))_x000a_sns.boxplot(data=df, x=&quot;Outcome&quot;, y=&quot;Glucose&quot;)_x000a_plt.title(&quot;Glucose vs Outcome (Boxplot)&quot;)_x000a_plt.xlabel(&quot;Outcome&quot;)_x000a_plt.ylabel(&quot;Glucose&quot;)_x000a_plt.tight_layout()_x000a_plt.show()_x000a__x000a_# (2) Pairplot beberapa fitur kunci (melihat separabilitas antar kelas + hubungan antar fitur)_x000a_cols = [&quot;Glucose&quot;, &quot;BMI&quot;, &quot;Age&quot;, &quot;Insulin&quot;, &quot;Outcome&quot;]_x000a_sns.pairplot(df[cols], hue=&quot;Outcome&quot;, diag_kind=&quot;hist&quot;, corner=True, plot_kws={&quot;alpha&quot;: 0.6, &quot;s&quot;: 25})_x000a_plt.suptitle(&quot;Pairplot of Key Features (colored by Outcome)&quot;, y=1.02)_x000a_plt.show()_x000a_```_x000a__x000a_**EXPLANATION**  _x000a_- **Boxplot Glucose vs Outcome**: cepat menunjukkan apakah penderita diabetes cenderung punya nilai glucose lebih tinggi serta mendeteksi outlier.  _x000a_- **Pairplot fitur kunci**: membantu melihat pola pemisahan kelas (diabetes vs tidak) dan korelasi/cluster antar fitur pada beberapa dimensi sekaligus."/>
    <d v="2026-03-17T13:23:01"/>
    <x v="4"/>
    <n v="0"/>
    <n v="84"/>
    <n v="344"/>
    <n v="428"/>
    <n v="230"/>
    <n v="1186"/>
    <n v="912"/>
    <n v="4"/>
    <n v="5"/>
    <n v="4"/>
    <s v="Clear and specific request for additional visualizations."/>
    <s v="Could provide more context about the dataset."/>
    <s v="Relevant visualizations with clear explanations and code examples."/>
    <s v="Could include more context on the dataset for better understanding."/>
    <s v="Buat 2 visualisasi data tambahan untuk dataset Pima yang dapat membantu memahami distribusi dan pola data."/>
    <s v="Add a brief description of the Pima dataset for context."/>
    <s v="good"/>
    <b v="0"/>
    <s v="gpt-4o-mini"/>
    <s v="{&quot;prompt_score&quot;: 4, &quot;response_score&quot;: 5, &quot;overall_score&quot;: 4, &quot;prompt_strengths&quot;: &quot;Clear and specific request for additional visualizations.&quot;, &quot;prompt_issues&quot;: &quot;Could provide more context about the dataset.&quot;, &quot;response_strengths&quot;: &quot;Relevant visualizations with clear explanations and code examples.&quot;, &quot;response_issues&quot;: &quot;Could include more context on the dataset for better understanding.&quot;, &quot;prompt_rewrite&quot;: &quot;Buat 2 visualisasi data tambahan untuk dataset Pima yang dapat membantu memahami distribusi dan pola data.&quot;, &quot;response_improvement_suggestions&quot;: &quot;Add a brief description of the Pima dataset for context.&quot;, &quot;verdict&quot;: &quot;good&quot;, &quot;needs_human_review&quot;: false}"/>
    <s v="ok"/>
    <n v="4"/>
  </r>
  <r>
    <x v="32"/>
    <s v="[MODE:summary_code_explanation]_x000a_[ASSESSMENT_ID:1771cf81-0a65-11f1-b762-3e0936ad7efb]_x000a_[FORCE_GPT:true]_x000a_[AUTO_FALLBACK:true]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s v="done"/>
    <s v="**SUMMARY**  _x000a_Panggil `precision_recall_curve` dengan `y` dan `y_scores` untuk mendapatkan array `precisions`, `recalls`, dan `thresholds`._x000a__x000a_```python_x000a_from sklearn.metrics import precision_recall_curve_x000a__x000a_threshold = 0_x000a__x000a_##### Your Code Here #####_x000a_precisions, recalls, thresholds = precision_recall_curve(y, y_scores)_x000a_```_x000a__x000a_**EXPLANATION**  _x000a_`precision_recall_curve(y, y_scores)` menghitung pasangan precision–recall untuk berbagai nilai ambang (threshold) berdasarkan skor kontinu `y_scores`, lalu mengembalikannya sebagai tiga array."/>
    <s v="**SUMMARY**  _x000a_Panggil `precision_recall_curve` dengan `y` dan `y_scores` untuk mendapatkan array `precisions`, `recalls`, dan `thresholds`._x000a__x000a_```python_x000a_from sklearn.metrics import precision_recall_curve_x000a__x000a_threshold = 0_x000a__x000a_##### Your Code Here #####_x000a_precisions, recalls, thresholds = precision_recall_curve(y, y_scores)_x000a_```_x000a__x000a_**EXPLANATION**  _x000a_`precision_recall_curve(y, y_scores)` menghitung pasangan precision–recall untuk berbagai nilai ambang (threshold) berdasarkan skor kontinu `y_scores`, lalu mengembalikannya sebagai tiga array."/>
    <d v="2026-03-17T12:34:29"/>
    <x v="4"/>
    <n v="0"/>
    <n v="110"/>
    <n v="134"/>
    <n v="244"/>
    <n v="382"/>
    <n v="531"/>
    <n v="1567"/>
    <n v="3"/>
    <n v="4"/>
    <n v="3"/>
    <s v="Specifies the task and context clearly."/>
    <s v="Lacks clarity on expected output format and specific details."/>
    <s v="Provides a clear summary and explanation of the code."/>
    <s v="Could include more context on the significance of precision-recall curves."/>
    <s v="Gambarkan kurva precision vs. recall dengan memanggil precision_recall_curve menggunakan y dan y_scores. Sertakan penjelasan tentang hasil yang diharapkan."/>
    <s v="Add a brief explanation of why precision-recall curves are important in model evaluation."/>
    <s v="good"/>
    <b v="0"/>
    <s v="gpt-4o-mini"/>
    <s v="{&quot;prompt_score&quot;: 3, &quot;response_score&quot;: 4, &quot;overall_score&quot;: 3, &quot;prompt_strengths&quot;: &quot;Specifies the task and context clearly.&quot;, &quot;prompt_issues&quot;: &quot;Lacks clarity on expected output format and specific details.&quot;, &quot;response_strengths&quot;: &quot;Provides a clear summary and explanation of the code.&quot;, &quot;response_issues&quot;: &quot;Could include more context on the significance of precision-recall curves.&quot;, &quot;prompt_rewrite&quot;: &quot;Gambarkan kurva precision vs. recall dengan memanggil precision_recall_curve menggunakan y dan y_scores. Sertakan penjelasan tentang hasil yang diharapkan.&quot;, &quot;response_improvement_suggestions&quot;: &quot;Add a brief explanation of why precision-recall curves are important in model evaluation.&quot;, &quot;verdict&quot;: &quot;good&quot;, &quot;needs_human_review&quot;: false}"/>
    <s v="ok"/>
    <n v="4"/>
  </r>
  <r>
    <x v="32"/>
    <s v="[MODE:code]_x000a_buatkan sebuah kode scatter plot untuk melihat pengaruh bmi terhadap charges menggunakan bahasa pemrograman python"/>
    <s v="done"/>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s v="```python_x000a_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_x000a_```"/>
    <d v="2026-03-03T11:38:00"/>
    <x v="6"/>
    <n v="0"/>
    <n v="29"/>
    <n v="123"/>
    <n v="152"/>
    <n v="126"/>
    <n v="444"/>
    <n v="1639"/>
    <n v="4"/>
    <n v="5"/>
    <n v="5"/>
    <s v="Clear and specific request for a scatter plot code."/>
    <s v="Could specify the dataset structure for better context."/>
    <s v="Correct and complete code with clear visualization instructions."/>
    <s v="None significant; assumes user has the correct dataset."/>
    <s v="Buatkan kode scatter plot menggunakan Python untuk menganalisis pengaruh BMI terhadap charges dari dataset 'insurance.csv'."/>
    <s v="Include a brief explanation of the code for better understanding."/>
    <s v="excellent"/>
    <b v="0"/>
    <s v="gpt-4o-mini"/>
    <s v="{&quot;prompt_score&quot;: 4, &quot;response_score&quot;: 5, &quot;overall_score&quot;: 5, &quot;prompt_strengths&quot;: &quot;Clear and specific request for a scatter plot code.&quot;, &quot;prompt_issues&quot;: &quot;Could specify the dataset structure for better context.&quot;, &quot;response_strengths&quot;: &quot;Correct and complete code with clear visualization instructions.&quot;, &quot;response_issues&quot;: &quot;None significant; assumes user has the correct dataset.&quot;, &quot;prompt_rewrite&quot;: &quot;Buatkan kode scatter plot menggunakan Python untuk menganalisis pengaruh BMI terhadap charges dari dataset 'insurance.csv'.&quot;, &quot;response_improvement_suggestions&quot;: &quot;Include a brief explanation of the code for better understanding.&quot;, &quot;verdict&quot;: &quot;excellent&quot;, &quot;needs_human_review&quot;: false}"/>
    <s v="ok"/>
    <n v="5"/>
  </r>
  <r>
    <x v="32"/>
    <s v="[MODE:summary_code_explanation]_x000a_Mari kita bentuk instance dari kelas KNeighborsClassifier._x000a_##### Your Code Here #####_x000a_knn_clf =_x000a__x000a_Selanjutnya, kita lakukan Grid Search dengan menggunakan kelas GridSearchCV dan 5-fold cross-validation._x000a_Dokumentasi GridSearchCV dapat dibaca di sini._x000a_##### Your Code Here #####_x000a_grid_search =_x000a__x000a_Eksekusi grid_search dengan memanggil method fit._x000a_Untuk mempersingkat waktu, kita coba hanya menggunakan 10000 gambar yang pertama_x000a__x000a_Tampilkan best hyperparameter dari hasil Grid Search._x000a_hasil: {'n_neighbors': 4, 'weights': 'distance'}_x000a__x000a_Tampilkan nilai score terbaik dari hasil grid_search._x000a_hasil: np.float64(0.9441999999999998)_x000a__x000a_Latihlah model dengan best hyperparameter pada train set._x000a__x000a_Setelah model ini dilatih, evaluasi model yang sudah dilatih pada test set._x000a_##### Your Code Here #####_x000a_tuned_accuracy =_x000a__x000a_Tampikan isi dari tuned_accuracy yang merupakan akurasi model knn dengan best hyperparameter pada test set._x000a_Hasil: 0.9714"/>
    <s v="done"/>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    knn_clf,_x000a_    param_grid,_x000a_    cv=5,_x000a_    scoring=&quot;accuracy&quot;,_x000a_    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    knn_clf,_x000a_    param_grid,_x000a_    cv=5,_x000a_    scoring=&quot;accuracy&quot;,_x000a_    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d v="2026-03-17T13:08:30"/>
    <x v="4"/>
    <n v="0"/>
    <n v="237"/>
    <n v="402"/>
    <n v="639"/>
    <n v="953"/>
    <n v="1386"/>
    <n v="1689"/>
    <n v="4"/>
    <n v="5"/>
    <n v="5"/>
    <s v="Clear instructions with specific tasks."/>
    <s v="Could provide more context on the dataset."/>
    <s v="Accurate, complete, and well-structured code explanation."/>
    <s v="None noted."/>
    <s v="Buat instance dari kelas KNeighborsClassifier dan lakukan Grid Search dengan GridSearchCV menggunakan 5-fold cross-validation pada dataset yang diberikan. Tampilkan best hyperparameter dan nilai score terbaik, lalu latih model dengan hyperparameter tersebut dan evaluasi akurasinya pada test set."/>
    <s v="None needed; response is already comprehensive."/>
    <s v="excellent"/>
    <b v="0"/>
    <s v="gpt-4o-mini"/>
    <s v="{&quot;prompt_score&quot;: 4, &quot;response_score&quot;: 5, &quot;overall_score&quot;: 5, &quot;prompt_strengths&quot;: &quot;Clear instructions with specific tasks.&quot;, &quot;prompt_issues&quot;: &quot;Could provide more context on the dataset.&quot;, &quot;response_strengths&quot;: &quot;Accurate, complete, and well-structured code explanation.&quot;, &quot;response_issues&quot;: &quot;None noted.&quot;, &quot;prompt_rewrite&quot;: &quot;Buat instance dari kelas KNeighborsClassifier dan lakukan Grid Search dengan GridSearchCV menggunakan 5-fold cross-validation pada dataset yang diberikan. Tampilkan best hyperparameter dan nilai score terbaik, lalu latih model dengan hyperparameter tersebut dan evaluasi akurasinya pada test set.&quot;, &quot;response_improvement_suggestions&quot;: &quot;None needed; response is already comprehensive.&quot;, &quot;verdict&quot;: &quot;excellent&quot;, &quot;needs_human_review&quot;: false}"/>
    <s v="ok"/>
    <n v="5"/>
  </r>
  <r>
    <x v="32"/>
    <s v="[MODE:code]_x000a_[ASSESSMENT_ID:1771cf7d-0a65-11f1-b762-3e0936ad7efb]_x000a_[FORCE_GPT:true]_x000a_[AUTO_FALLBACK:true]_x000a_Sekarang, kita akan membuat variabel correlation yang berisikan informasi korelasi dari dataset, buatkan dalam bahasa python"/>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correlation = dataframe.corr(numeric_only=True)"/>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correlation = dataframe.corr(numeric_only=True)_x000a_```"/>
    <d v="2026-03-10T12:17:19"/>
    <x v="2"/>
    <n v="0"/>
    <n v="80"/>
    <n v="75"/>
    <n v="155"/>
    <n v="227"/>
    <n v="255"/>
    <n v="2004"/>
    <n v="4"/>
    <n v="4"/>
    <n v="4"/>
    <s v="Clear and specific request for Python code."/>
    <s v="Could provide more context about the dataset."/>
    <s v="Correctly implements correlation calculation in Python."/>
    <s v="Lacks explanation or comments for clarity."/>
    <s v="Buatkan kode Python untuk menghitung korelasi dari dataset 'pima-indians-diabetes.data.csv' dan jelaskan setiap langkahnya."/>
    <s v="Add comments to explain each step of the code."/>
    <s v="good"/>
    <b v="0"/>
    <s v="gpt-4o-mini"/>
    <s v="{&quot;prompt_score&quot;: 4, &quot;response_score&quot;: 4, &quot;overall_score&quot;: 4, &quot;prompt_strengths&quot;: &quot;Clear and specific request for Python code.&quot;, &quot;prompt_issues&quot;: &quot;Could provide more context about the dataset.&quot;, &quot;response_strengths&quot;: &quot;Correctly implements correlation calculation in Python.&quot;, &quot;response_issues&quot;: &quot;Lacks explanation or comments for clarity.&quot;, &quot;prompt_rewrite&quot;: &quot;Buatkan kode Python untuk menghitung korelasi dari dataset 'pima-indians-diabetes.data.csv' dan jelaskan setiap langkahnya.&quot;, &quot;response_improvement_suggestions&quot;: &quot;Add comments to explain each step of the code.&quot;, &quot;verdict&quot;: &quot;good&quot;, &quot;needs_human_review&quot;: false}"/>
    <s v="ok"/>
    <n v="4"/>
  </r>
  <r>
    <x v="32"/>
    <s v="[MODE:code]_x000a_[ASSESSMENT_ID:1771cf8b-0a65-11f1-b762-3e0936ad7efb]_x000a_[FORCE_GPT:true]_x000a_[AUTO_FALLBACK:true]_x000a_Untuk Kelas A, gunakan kandidat alpha berikut: {0, 0.001, 0.01, 0.1, 1, 10}.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7T12:33:28"/>
    <x v="0"/>
    <n v="0"/>
    <n v="327"/>
    <n v="175"/>
    <n v="502"/>
    <n v="1064"/>
    <n v="612"/>
    <n v="2035"/>
    <n v="4"/>
    <n v="5"/>
    <n v="4"/>
    <s v="Clear instructions and specific requirements."/>
    <s v="Could benefit from more context on the model being trained."/>
    <s v="Correct implementation of the validation curve function."/>
    <s v="Assumes the existence of certain functions without defining them."/>
    <s v="Untuk Kelas A, gunakan kandidat alpha berikut: {0, 0.001, 0.01, 0.1, 1, 10}. Latih model regresi linier untuk setiap alpha dan hitung training dan validation error tanpa regularisasi. Gunakan hasil plot untuk memilih alpha terbaik. Definisikan fungsi 'train_linear_reg' dan 'linear_reg_cost_function' jika belum ada."/>
    <s v="Define or mention the required functions 'train_linear_reg' and 'linear_reg_cost_function' for clarity."/>
    <s v="good"/>
    <b v="0"/>
    <s v="gpt-4o-mini"/>
    <s v="{&quot;prompt_score&quot;: 4, &quot;response_score&quot;: 5, &quot;overall_score&quot;: 4, &quot;prompt_strengths&quot;: &quot;Clear instructions and specific requirements.&quot;, &quot;prompt_issues&quot;: &quot;Could benefit from more context on the model being trained.&quot;, &quot;response_strengths&quot;: &quot;Correct implementation of the validation curve function.&quot;, &quot;response_issues&quot;: &quot;Assumes the existence of certain functions without defining them.&quot;, &quot;prompt_rewrite&quot;: &quot;Untuk Kelas A, gunakan kandidat alpha berikut: {0, 0.001, 0.01, 0.1, 1, 10}. Latih model regresi linier untuk setiap alpha dan hitung training dan validation error tanpa regularisasi. Gunakan hasil plot untuk memilih alpha terbaik. Definisikan fungsi 'train_linear_reg' dan 'linear_reg_cost_function' jika belum ada.&quot;, &quot;response_improvement_suggestions&quot;: &quot;Define or mention the required functions 'train_linear_reg' and 'linear_reg_cost_function' for clarity.&quot;, &quot;verdict&quot;: &quot;good&quot;, &quot;needs_human_review&quot;: false}"/>
    <s v="ok"/>
    <n v="4"/>
  </r>
  <r>
    <x v="32"/>
    <s v="[MODE:summary]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d v="2026-04-07T12:48:49"/>
    <x v="0"/>
    <n v="0"/>
    <n v="400"/>
    <n v="326"/>
    <n v="726"/>
    <n v="996"/>
    <n v="1164"/>
    <n v="2201"/>
    <n v="4"/>
    <n v="5"/>
    <n v="4"/>
    <s v="Clear and specific questions about polynomial regression."/>
    <s v="Could provide more context on the expected format of the answers."/>
    <s v="Thoroughly addresses all questions with relevant details and clear explanations."/>
    <s v="Could be more concise in some areas to enhance clarity."/>
    <s v="Compare the suitability of a degree 6 polynomial regression model versus a linear model. Discuss training and validation error patterns at alpha = 0, and indicate signs of high bias or high variance. Repeat the analysis for alpha = 1 and alpha = 100, noting differences."/>
    <s v="Consider summarizing key points more succinctly to improve readability."/>
    <s v="good"/>
    <b v="0"/>
    <s v="gpt-4o-mini"/>
    <s v="{&quot;prompt_score&quot;: 4, &quot;response_score&quot;: 5, &quot;overall_score&quot;: 4, &quot;prompt_strengths&quot;: &quot;Clear and specific questions about polynomial regression.&quot;, &quot;prompt_issues&quot;: &quot;Could provide more context on the expected format of the answers.&quot;, &quot;response_strengths&quot;: &quot;Thoroughly addresses all questions with relevant details and clear explanations.&quot;, &quot;response_issues&quot;: &quot;Could be more concise in some areas to enhance clarity.&quot;, &quot;prompt_rewrite&quot;: &quot;Compare the suitability of a degree 6 polynomial regression model versus a linear model. Discuss training and validation error patterns at alpha = 0, and indicate signs of high bias or high variance. Repeat the analysis for alpha = 1 and alpha = 100, noting differences.&quot;, &quot;response_improvement_suggestions&quot;: &quot;Consider summarizing key points more succinctly to improve readability.&quot;, &quot;verdict&quot;: &quot;good&quot;, &quot;needs_human_review&quot;: false}"/>
    <s v="ok"/>
    <n v="4"/>
  </r>
  <r>
    <x v="32"/>
    <s v="[MODE:code]_x000a_Linear Regression: Sekarang, kita akan lihat hasil dari model yang di train menggunakan linear regression"/>
    <s v="done"/>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s v="```python_x000a_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_x000a_```"/>
    <d v="2026-03-03T11:45:05"/>
    <x v="6"/>
    <n v="0"/>
    <n v="25"/>
    <n v="322"/>
    <n v="347"/>
    <n v="117"/>
    <n v="1215"/>
    <n v="3821"/>
    <n v="3"/>
    <n v="4"/>
    <n v="3"/>
    <s v="The prompt specifies the task and context clearly."/>
    <s v="Lacks specific details on the dataset and expected output."/>
    <s v="The response provides a complete and correct implementation of linear regression."/>
    <s v="Could improve clarity by adding comments and explanations for each step."/>
    <s v="Provide a dataset and specify the expected output format for the linear regression model."/>
    <s v="Add comments to explain each part of the code for better clarity."/>
    <s v="good"/>
    <b v="0"/>
    <s v="gpt-4o-mini"/>
    <s v="{&quot;prompt_score&quot;: 3, &quot;response_score&quot;: 4, &quot;overall_score&quot;: 3, &quot;prompt_strengths&quot;: &quot;The prompt specifies the task and context clearly.&quot;, &quot;prompt_issues&quot;: &quot;Lacks specific details on the dataset and expected output.&quot;, &quot;response_strengths&quot;: &quot;The response provides a complete and correct implementation of linear regression.&quot;, &quot;response_issues&quot;: &quot;Could improve clarity by adding comments and explanations for each step.&quot;, &quot;prompt_rewrite&quot;: &quot;Provide a dataset and specify the expected output format for the linear regression model.&quot;, &quot;response_improvement_suggestions&quot;: &quot;Add comments to explain each part of the code for better clarity.&quot;, &quot;verdict&quot;: &quot;good&quot;, &quot;needs_human_review&quot;: false}"/>
    <s v="ok"/>
    <n v="4"/>
  </r>
  <r>
    <x v="32"/>
    <s v="[MODE:cod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
    <s v="```python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
    <d v="2026-03-31T11:23:12"/>
    <x v="5"/>
    <n v="0"/>
    <n v="195"/>
    <n v="165"/>
    <n v="360"/>
    <n v="596"/>
    <n v="514"/>
    <n v="3822"/>
    <n v="4"/>
    <n v="5"/>
    <n v="5"/>
    <s v="Clear instructions and context provided."/>
    <s v="Could specify expected output format for normalization."/>
    <s v="Correct implementation of feature normalization with clarity."/>
    <s v="None."/>
    <s v="Kita akan gunakan data ex1data2.txt: Kolom 1: ukuran rumah (sq-ft) Kolom 2: jumlah kamar tidur Kolom 3: harga rumah. Data = np.loadtxt('ex1data2.txt', delimiter=','). X = data[:, :2], y = data[:, 2]. Hitung mean dan standar deviasi untuk normalisasi. Tampilkan hasil normalisasi X_norm, mu, dan sigma."/>
    <s v="None needed; response is complete."/>
    <s v="excellent"/>
    <b v="0"/>
    <s v="gpt-4o-mini"/>
    <s v="{&quot;prompt_score&quot;: 4, &quot;response_score&quot;: 5, &quot;overall_score&quot;: 5, &quot;prompt_strengths&quot;: &quot;Clear instructions and context provided.&quot;, &quot;prompt_issues&quot;: &quot;Could specify expected output format for normalization.&quot;, &quot;response_strengths&quot;: &quot;Correct implementation of feature normalization with clarity.&quot;, &quot;response_issues&quot;: &quot;None.&quot;, &quot;prompt_rewrite&quot;: &quot;Kita akan gunakan data ex1data2.txt: Kolom 1: ukuran rumah (sq-ft) Kolom 2: jumlah kamar tidur Kolom 3: harga rumah. Data = np.loadtxt('ex1data2.txt', delimiter=','). X = data[:, :2], y = data[:, 2]. Hitung mean dan standar deviasi untuk normalisasi. Tampilkan hasil normalisasi X_norm, mu, dan sigma.&quot;, &quot;response_improvement_suggestions&quot;: &quot;None needed; response is complete.&quot;, &quot;verdict&quot;: &quot;excellent&quot;, &quot;needs_human_review&quot;: false}"/>
    <s v="ok"/>
    <n v="5"/>
  </r>
  <r>
    <x v="32"/>
    <s v="[MODE:summary]_x000a_Bagian 1 - Load Dataset_x000a_Lakukan langkah berikut:_x000a__x000a_Load dataset student_exam_performance_dataset (1).csv._x000a_Tampilkan 5 baris pertama._x000a_Tampilkan ukuran dataset (jumlah baris dan kolom)._x000a_Tampilkan tipe data setiap kolom."/>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d v="2026-04-14T10:33:56"/>
    <x v="3"/>
    <n v="0"/>
    <n v="63"/>
    <n v="86"/>
    <n v="149"/>
    <n v="231"/>
    <n v="323"/>
    <n v="4012"/>
    <n v="4"/>
    <n v="4"/>
    <n v="4"/>
    <s v="Clear instructions with specific tasks."/>
    <s v="Could provide more context about the dataset."/>
    <s v="Relevant and correct guidance on using pandas."/>
    <s v="Could include example code for clarity."/>
    <s v="[MODE:summary] Bagian 1 - Load Dataset: Load dataset student_exam_performance_dataset (1).csv. Tampilkan 5 baris pertama, ukuran dataset (jumlah baris dan kolom), dan tipe data setiap kolom. Dataset ini berisi informasi tentang kinerja ujian siswa."/>
    <s v="Include a sample code snippet for better clarity."/>
    <s v="good"/>
    <b v="0"/>
    <s v="gpt-4o-mini"/>
    <s v="{&quot;prompt_score&quot;: 4, &quot;response_score&quot;: 4, &quot;overall_score&quot;: 4, &quot;prompt_strengths&quot;: &quot;Clear instructions with specific tasks.&quot;, &quot;prompt_issues&quot;: &quot;Could provide more context about the dataset.&quot;, &quot;response_strengths&quot;: &quot;Relevant and correct guidance on using pandas.&quot;, &quot;response_issues&quot;: &quot;Could include example code for clarity.&quot;, &quot;prompt_rewrite&quot;: &quot;[MODE:summary] Bagian 1 - Load Dataset: Load dataset student_exam_performance_dataset (1).csv. Tampilkan 5 baris pertama, ukuran dataset (jumlah baris dan kolom), dan tipe data setiap kolom. Dataset ini berisi informasi tentang kinerja ujian siswa.&quot;, &quot;response_improvement_suggestions&quot;: &quot;Include a sample code snippet for better clarity.&quot;, &quot;verdict&quot;: &quot;good&quot;, &quot;needs_human_review&quot;: false}"/>
    <s v="ok"/>
    <n v="4"/>
  </r>
  <r>
    <x v="32"/>
    <s v="[MODE:code]_x000a_Buatkan saya sebuah kode untuk mencari informasi mengenai nilai null pada sebuah dataset csv, dimana nama dataset tersebut adalah housing, contohnya housing.describe() akan menampilkan data"/>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python_x000a_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_x000a_```"/>
    <d v="2026-02-24T12:25:35"/>
    <x v="1"/>
    <n v="0"/>
    <n v="44"/>
    <n v="492"/>
    <n v="536"/>
    <n v="201"/>
    <n v="1701"/>
    <n v="4306"/>
    <n v="4"/>
    <n v="5"/>
    <n v="4"/>
    <s v="Clear and specific request for code to analyze null values in a CSV dataset."/>
    <s v="Could specify the expected output format for clarity."/>
    <s v="Comprehensive code that correctly implements the requested functionality with clear output."/>
    <s v="None noted; the response is complete and clear."/>
    <s v="Buatkan saya sebuah kode Python untuk mencari informasi mengenai nilai null pada dataset CSV bernama 'housing.csv', termasuk ringkasan statistik dan jumlah nilai null per kolom."/>
    <s v="Consider adding comments to explain each step of the code for better understanding."/>
    <s v="good"/>
    <b v="0"/>
    <s v="gpt-4o-mini"/>
    <s v="{&quot;prompt_score&quot;: 4, &quot;response_score&quot;: 5, &quot;overall_score&quot;: 4, &quot;prompt_strengths&quot;: &quot;Clear and specific request for code to analyze null values in a CSV dataset.&quot;, &quot;prompt_issues&quot;: &quot;Could specify the expected output format for clarity.&quot;, &quot;response_strengths&quot;: &quot;Comprehensive code that correctly implements the requested functionality with clear output.&quot;, &quot;response_issues&quot;: &quot;None noted; the response is complete and clear.&quot;, &quot;prompt_rewrite&quot;: &quot;Buatkan saya sebuah kode Python untuk mencari informasi mengenai nilai null pada dataset CSV bernama 'housing.csv', termasuk ringkasan statistik dan jumlah nilai null per kolom.&quot;, &quot;response_improvement_suggestions&quot;: &quot;Consider adding comments to explain each step of the code for better understanding.&quot;, &quot;verdict&quot;: &quot;good&quot;, &quot;needs_human_review&quot;: false}"/>
    <s v="ok"/>
    <n v="4"/>
  </r>
  <r>
    <x v="32"/>
    <s v="[MODE:summary]_x000a_Berikan jawaban singkat berdasarkan pilihan yang ada:_x000a_Jika gradient = 0_x000a_*_x000a_Divergen_x000a_Minimum tercapai_x000a_Error besar_x000a_Tidak valid_x000a_λ besar pada Lasso_x000a_*_x000a_Fitur besar_x000a_Random_x000a_Beberapa nol_x000a_Tidak berubah_x000a_Regularization bertujuan_x000a_*_x000a_Menghapus data_x000a_Menambah error_x000a_Mengurangi overfitting_x000a_Menambah fitur_x000a_SGD tanpa shuffle_x000a_*_x000a_Optimal_x000a_Cepat_x000a_Bias_x000a_Stabil_x000a_Diketahui y = 2 + 3x dan x=4; maka y = ?_x000a_*_x000a_14_x000a_12_x000a_16_x000a_10_x000a_Linear Regression memodelkan hubungan_x000a_*_x000a_Diskrit_x000a_Probabilistik_x000a_Non-linear_x000a_Linear_x000a_Feature scaling penting karena_x000a_*_x000a_Menghapus fitur_x000a_Mengurangi data_x000a_Mengubah label_x000a_Mempercepat konvergensi_x000a_Ridge Regression menggunakan penalti_x000a_*_x000a_L1_x000a_L2_x000a_L0_x000a_Tidak ada_x000a_Lasso Regression menggunakan penalti_x000a_*_x000a_L0_x000a_MSE_x000a_L2_x000a_L1_x000a_Perbedaan Ridge vs Lasso_x000a_*_x000a_Ridge non-linear_x000a_Lasso tidak stabil_x000a_Ridge hapus fitur_x000a_Lasso bisa nol_x000a_Output 0.8 pada regresi logistik‚ maka keputusannya kelas …_x000a_*_x000a_Tidak diketahui_x000a_0_x000a_1_x000a_-1"/>
    <s v="done"/>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d v="2026-04-14T09:54:24"/>
    <x v="3"/>
    <n v="0"/>
    <n v="309"/>
    <n v="140"/>
    <n v="449"/>
    <n v="876"/>
    <n v="421"/>
    <n v="4577"/>
    <n v="4"/>
    <n v="5"/>
    <n v="4"/>
    <s v="Clear and specific questions."/>
    <s v="Could benefit from clearer formatting."/>
    <s v="Accurate and concise answers."/>
    <s v="Could include more context for clarity."/>
    <s v="[MODE:summary] Berikan jawaban singkat berdasarkan pilihan yang ada: Jika gradient = 0, maka ... (isi pertanyaan)."/>
    <s v="Add brief explanations for each answer to enhance understanding."/>
    <s v="good"/>
    <b v="0"/>
    <s v="gpt-4o-mini"/>
    <s v="{&quot;prompt_score&quot;: 4, &quot;response_score&quot;: 5, &quot;overall_score&quot;: 4, &quot;prompt_strengths&quot;: &quot;Clear and specific questions.&quot;, &quot;prompt_issues&quot;: &quot;Could benefit from clearer formatting.&quot;, &quot;response_strengths&quot;: &quot;Accurate and concise answers.&quot;, &quot;response_issues&quot;: &quot;Could include more context for clarity.&quot;, &quot;prompt_rewrite&quot;: &quot;[MODE:summary] Berikan jawaban singkat berdasarkan pilihan yang ada: Jika gradient = 0, maka ... (isi pertanyaan).&quot;, &quot;response_improvement_suggestions&quot;: &quot;Add brief explanations for each answer to enhance understanding.&quot;, &quot;verdict&quot;: &quot;good&quot;, &quot;needs_human_review&quot;: false}"/>
    <s v="ok"/>
    <n v="4"/>
  </r>
  <r>
    <x v="32"/>
    <s v="[MODE:code]_x000a_[ASSESSMENT_ID:1771cf8e-0a65-11f1-b762-3e0936ad7efb]_x000a_[FORCE_GPT:true]_x000a_[AUTO_FALLBACK:true]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Berikan insight singkat mengenai isi data dari EDA berdasarkan data yang ada"/>
    <s v="done"/>
    <s v="insights = [_x000a_    &quot;Dataset berisi 10.000 observasi dan seluruh kolom numerik pada ringkasan memiliki count=10.000 → tidak ada missing value pada fitur numerik tersebut.&quot;,_x000a_    &quot;Usia siswa berada pada rentang 15–18 tahun (mean 16,49; median 16) → populasi relatif homogen (SMA).&quot;,_x000a_    &quot;Study_hours_per_day bervariasi cukup lebar (0,5–7,24 jam; mean ~3,02; std ~1,18) → kebiasaan belajar beragam.&quot;,_x000a_    &quot;Attendance_rate relatif tinggi (mean 84,70%; IQR ~78,28–91,90) namun ada yang rendah hingga 50,8% → ada kelompok siswa dengan kehadiran bermasalah.&quot;,_x000a_    &quot;Sleep_hours mayoritas di sekitar 7 jam (mean 7,02; rentang 4–10) → variasi moderat, ada yang kurang tidur.&quot;,_x000a_    &quot;Social_media_hours rata-rata 2,52 jam/hari (0–8) → variasi cukup besar, berpotensi berkorelasi negatif dengan performa.&quot;,_x000a_    &quot;Assignment_completion_rate dan participation_score cukup tinggi rata-rata (79,49 dan 69,82) tetapi rentangnya lebar (40–100 dan 20–100) → tingkat kedisiplinan/partisipasi sangat bervariasi.&quot;,_x000a_    &quot;Online_courses_completed rata-rata ~2 (0–9) → sebagian besar siswa mengambil sedikit kursus online.&quot;,_x000a_    &quot;Skor akademik (math/reading/writing/science) berpusat di sekitar 49–50 dengan std ~13–14 dan rentang 0–100 → distribusi nilai lebar, ada siswa sangat rendah hingga sangat tinggi.&quot;,_x000a_    &quot;Final_exam_score juga berpusat di ~49,68 (std 12,15; min 4,4; max 97,8) → performa ujian akhir tersebar luas dan tidak ada nilai sempurna.&quot;,_x000a_    &quot;Previous_gpa rata-rata 1,98 (0–3,99; IQR 1,61–2,35) → mayoritas GPA berada di level menengah.&quot;,_x000a_    &quot;Fitur yang paling berpotensi informatif untuk memprediksi final_exam_score (berdasarkan konteks dan variasi) adalah: study_hours_per_day, attendance_rate, assignment_completion_rate, participation_score, previous_gpa, serta skor mapel.&quot;_x000a_]_x000a__x000a_print(&quot;\n&quot;.join(f&quot;- {s}&quot; for s in insights))"/>
    <s v="```python_x000a_insights = [_x000a_    &quot;Dataset berisi 10.000 observasi dan seluruh kolom numerik pada ringkasan memiliki count=10.000 → tidak ada missing value pada fitur numerik tersebut.&quot;,_x000a_    &quot;Usia siswa berada pada rentang 15–18 tahun (mean 16,49; median 16) → populasi relatif homogen (SMA).&quot;,_x000a_    &quot;Study_hours_per_day bervariasi cukup lebar (0,5–7,24 jam; mean ~3,02; std ~1,18) → kebiasaan belajar beragam.&quot;,_x000a_    &quot;Attendance_rate relatif tinggi (mean 84,70%; IQR ~78,28–91,90) namun ada yang rendah hingga 50,8% → ada kelompok siswa dengan kehadiran bermasalah.&quot;,_x000a_    &quot;Sleep_hours mayoritas di sekitar 7 jam (mean 7,02; rentang 4–10) → variasi moderat, ada yang kurang tidur.&quot;,_x000a_    &quot;Social_media_hours rata-rata 2,52 jam/hari (0–8) → variasi cukup besar, berpotensi berkorelasi negatif dengan performa.&quot;,_x000a_    &quot;Assignment_completion_rate dan participation_score cukup tinggi rata-rata (79,49 dan 69,82) tetapi rentangnya lebar (40–100 dan 20–100) → tingkat kedisiplinan/partisipasi sangat bervariasi.&quot;,_x000a_    &quot;Online_courses_completed rata-rata ~2 (0–9) → sebagian besar siswa mengambil sedikit kursus online.&quot;,_x000a_    &quot;Skor akademik (math/reading/writing/science) berpusat di sekitar 49–50 dengan std ~13–14 dan rentang 0–100 → distribusi nilai lebar, ada siswa sangat rendah hingga sangat tinggi.&quot;,_x000a_    &quot;Final_exam_score juga berpusat di ~49,68 (std 12,15; min 4,4; max 97,8) → performa ujian akhir tersebar luas dan tidak ada nilai sempurna.&quot;,_x000a_    &quot;Previous_gpa rata-rata 1,98 (0–3,99; IQR 1,61–2,35) → mayoritas GPA berada di level menengah.&quot;,_x000a_    &quot;Fitur yang paling berpotensi informatif untuk memprediksi final_exam_score (berdasarkan konteks dan variasi) adalah: study_hours_per_day, attendance_rate, assignment_completion_rate, participation_score, previous_gpa, serta skor mapel.&quot;_x000a_]_x000a__x000a_print(&quot;\n&quot;.join(f&quot;- {s}&quot; for s in insights))_x000a_```"/>
    <d v="2026-04-14T11:40:08"/>
    <x v="3"/>
    <n v="0"/>
    <n v="895"/>
    <n v="588"/>
    <n v="1483"/>
    <n v="2798"/>
    <n v="1831"/>
    <n v="4776"/>
    <n v="4"/>
    <n v="5"/>
    <n v="5"/>
    <s v="Detailed statistical data provided for analysis."/>
    <s v="Could benefit from clearer instructions on the desired format of insights."/>
    <s v="Comprehensive insights that are relevant and well-structured."/>
    <s v="None noted; response is thorough and clear."/>
    <s v="Berdasarkan data statistik deskriptif yang diberikan, berikan insight singkat mengenai isi data dari EDA."/>
    <s v="Consider summarizing key insights in bullet points for easier readability."/>
    <s v="excellent"/>
    <b v="0"/>
    <s v="gpt-4o-mini"/>
    <s v="{&quot;prompt_score&quot;: 4, &quot;response_score&quot;: 5, &quot;overall_score&quot;: 5, &quot;prompt_strengths&quot;: &quot;Detailed statistical data provided for analysis.&quot;, &quot;prompt_issues&quot;: &quot;Could benefit from clearer instructions on the desired format of insights.&quot;, &quot;response_strengths&quot;: &quot;Comprehensive insights that are relevant and well-structured.&quot;, &quot;response_issues&quot;: &quot;None noted; response is thorough and clear.&quot;, &quot;prompt_rewrite&quot;: &quot;Berdasarkan data statistik deskriptif yang diberikan, berikan insight singkat mengenai isi data dari EDA.&quot;, &quot;response_improvement_suggestions&quot;: &quot;Consider summarizing key insights in bullet points for easier readability.&quot;, &quot;verdict&quot;: &quot;excellent&quot;, &quot;needs_human_review&quot;: false}"/>
    <s v="ok"/>
    <n v="5"/>
  </r>
  <r>
    <x v="33"/>
    <s v="[LANG:Python]_x000a_[MODE:code]_x000a_Now, after the Random Forest pipeline has been created. It's time to test the Random Forest model by training the grid search._x000a__x000a_I have provided some code her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Now, try to create and train the grid_search using the X_train and y_train, and show its best parameter. Fill it here, and do not add any comments or other code except the required specifications: _x000a_## YOUR CODE HERE ##"/>
    <s v="done"/>
    <s v="grid_search.fit(X_train, y_train)_x000a_print(grid_search.best_params_)"/>
    <s v="```python_x000a_grid_search.fit(X_train, y_train)_x000a_print(grid_search.best_params_)_x000a_```"/>
    <d v="2026-03-04T15:57:54"/>
    <x v="6"/>
    <n v="0"/>
    <n v="189"/>
    <n v="19"/>
    <n v="208"/>
    <n v="728"/>
    <n v="79"/>
    <n v="1123"/>
    <n v="4"/>
    <n v="5"/>
    <n v="4"/>
    <s v="Clear instructions and constraints provided."/>
    <s v="Could benefit from more context on the dataset."/>
    <s v="Directly addresses the prompt with correct code."/>
    <s v="No issues; response is complete and clear."/>
    <s v="After creating the Random Forest pipeline, test the model by training the grid search with the provided code. Use X_train and y_train to fit the model and display the best parameters. ## YOUR CODE HERE ##"/>
    <s v="None; the response is already optimal."/>
    <s v="good"/>
    <b v="0"/>
    <s v="gpt-4o-mini"/>
    <s v="{&quot;prompt_score&quot;: 4, &quot;response_score&quot;: 5, &quot;overall_score&quot;: 4, &quot;prompt_strengths&quot;: &quot;Clear instructions and constraints provided.&quot;, &quot;prompt_issues&quot;: &quot;Could benefit from more context on the dataset.&quot;, &quot;response_strengths&quot;: &quot;Directly addresses the prompt with correct code.&quot;, &quot;response_issues&quot;: &quot;No issues; response is complete and clear.&quot;, &quot;prompt_rewrite&quot;: &quot;After creating the Random Forest pipeline, test the model by training the grid search with the provided code. Use X_train and y_train to fit the model and display the best parameters. ## YOUR CODE HERE ##&quot;, &quot;response_improvement_suggestions&quot;: &quot;None; the response is already optimal.&quot;, &quot;verdict&quot;: &quot;good&quot;, &quot;needs_human_review&quot;: false}"/>
    <s v="ok"/>
    <n v="4"/>
  </r>
  <r>
    <x v="33"/>
    <s v="[LANG:Python]_x000a_[MODE:code]_x000a_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_x000a__x000a_I wanted to make a scatter plot to see the effect of BMI on insurance costs. Could you make me a Python code template to create the required scatter plot data?"/>
    <s v="done"/>
    <s v="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
    <s v="```python_x000a_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_x000a_```"/>
    <d v="2026-03-04T15:19:51"/>
    <x v="6"/>
    <n v="0"/>
    <n v="123"/>
    <n v="105"/>
    <n v="228"/>
    <n v="555"/>
    <n v="348"/>
    <n v="1458"/>
    <n v="4"/>
    <n v="5"/>
    <n v="5"/>
    <s v="Clear request for a specific analysis and visualization."/>
    <s v="Could provide more detail on the dataset structure."/>
    <s v="Correct and complete code for creating a scatter plot."/>
    <s v="None."/>
    <s v="Please provide a Python code template for creating a scatter plot to analyze the effect of BMI on insurance charges, using the provided insurance dataset."/>
    <s v="Consider adding comments to the code for better understanding."/>
    <s v="excellent"/>
    <b v="0"/>
    <s v="gpt-4o-mini"/>
    <s v="{&quot;prompt_score&quot;: 4, &quot;response_score&quot;: 5, &quot;overall_score&quot;: 5, &quot;prompt_strengths&quot;: &quot;Clear request for a specific analysis and visualization.&quot;, &quot;prompt_issues&quot;: &quot;Could provide more detail on the dataset structure.&quot;, &quot;response_strengths&quot;: &quot;Correct and complete code for creating a scatter plot.&quot;, &quot;response_issues&quot;: &quot;None.&quot;, &quot;prompt_rewrite&quot;: &quot;Please provide a Python code template for creating a scatter plot to analyze the effect of BMI on insurance charges, using the provided insurance dataset.&quot;, &quot;response_improvement_suggestions&quot;: &quot;Consider adding comments to the code for better understanding.&quot;, &quot;verdict&quot;: &quot;excellent&quot;, &quot;needs_human_review&quot;: false}"/>
    <s v="ok"/>
    <n v="5"/>
  </r>
  <r>
    <x v="33"/>
    <s v="[LANG:Python]_x000a_[MODE:summary]_x000a_[ASSESSMENT_ID:1771cf7d-0a65-11f1-b762-3e0936ad7efb]_x000a_[FORCE_GPT:true]_x000a_[AUTO_FALLBACK:true]_x000a_Using &quot;dataframe.describe()&quot;, we can get this results: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Based on the descriptive statistics results using the `describe()` function:_x000a_- Which feature has the **highest mean value**?_x000a_- Which feature has the **largest standard deviation**?_x000a__x000a_Try to answer this question in about 1 paragraph long (about 2-4 sentences max). Provide a detailed, thorough analysis."/>
    <s v="done"/>
    <s v="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
    <s v="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
    <d v="2026-03-11T16:05:29"/>
    <x v="2"/>
    <n v="0"/>
    <n v="537"/>
    <n v="105"/>
    <n v="642"/>
    <n v="1318"/>
    <n v="393"/>
    <n v="1972"/>
    <n v="4"/>
    <n v="5"/>
    <n v="4"/>
    <s v="Clear and specific about the task and data."/>
    <s v="Could provide more context on the dataset."/>
    <s v="Accurate and concise analysis of the data."/>
    <s v="Could elaborate slightly more on implications of findings."/>
    <s v="Using `dataframe.describe()`, analyze the following statistics and identify which feature has the highest mean value and which has the largest standard deviation. Provide a brief analysis in 2-4 sentences."/>
    <s v="Include implications of the findings for better context."/>
    <s v="good"/>
    <b v="0"/>
    <s v="gpt-4o-mini"/>
    <s v="{&quot;prompt_score&quot;: 4, &quot;response_score&quot;: 5, &quot;overall_score&quot;: 4, &quot;prompt_strengths&quot;: &quot;Clear and specific about the task and data.&quot;, &quot;prompt_issues&quot;: &quot;Could provide more context on the dataset.&quot;, &quot;response_strengths&quot;: &quot;Accurate and concise analysis of the data.&quot;, &quot;response_issues&quot;: &quot;Could elaborate slightly more on implications of findings.&quot;, &quot;prompt_rewrite&quot;: &quot;Using `dataframe.describe()`, analyze the following statistics and identify which feature has the highest mean value and which has the largest standard deviation. Provide a brief analysis in 2-4 sentences.&quot;, &quot;response_improvement_suggestions&quot;: &quot;Include implications of the findings for better context.&quot;, &quot;verdict&quot;: &quot;good&quot;, &quot;needs_human_review&quot;: false}"/>
    <s v="ok"/>
    <n v="4"/>
  </r>
  <r>
    <x v="33"/>
    <s v="[LANG:Python]_x000a_[MODE:summary]_x000a_Hmm, what is a polynomial regression in Machine Learning? What's the difference between other regression method? Can you explain in simple terms and give a brief example case?"/>
    <s v="done"/>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d v="2026-04-08T16:07:25"/>
    <x v="0"/>
    <n v="0"/>
    <n v="43"/>
    <n v="165"/>
    <n v="208"/>
    <n v="204"/>
    <n v="819"/>
    <n v="2456"/>
    <n v="4"/>
    <n v="4"/>
    <n v="4"/>
    <s v="Clear and specific questions about polynomial regression."/>
    <s v="Could benefit from more context on the audience's knowledge level."/>
    <s v="Accurate explanation with a relevant example."/>
    <s v="Could be more concise and structured for easier understanding."/>
    <s v="[LANG:Python] [MODE:summary] Can you explain polynomial regression in Machine Learning in simple terms, including its differences from other regression methods, and provide a clear example?"/>
    <s v="Consider breaking down the explanation into simpler parts and using bullet points for clarity."/>
    <s v="good"/>
    <b v="0"/>
    <s v="gpt-4o-mini"/>
    <s v="{&quot;prompt_score&quot;: 4, &quot;response_score&quot;: 4, &quot;overall_score&quot;: 4, &quot;prompt_strengths&quot;: &quot;Clear and specific questions about polynomial regression.&quot;, &quot;prompt_issues&quot;: &quot;Could benefit from more context on the audience's knowledge level.&quot;, &quot;response_strengths&quot;: &quot;Accurate explanation with a relevant example.&quot;, &quot;response_issues&quot;: &quot;Could be more concise and structured for easier understanding.&quot;, &quot;prompt_rewrite&quot;: &quot;[LANG:Python] [MODE:summary] Can you explain polynomial regression in Machine Learning in simple terms, including its differences from other regression methods, and provide a clear example?&quot;, &quot;response_improvement_suggestions&quot;: &quot;Consider breaking down the explanation into simpler parts and using bullet points for clarity.&quot;, &quot;verdict&quot;: &quot;good&quot;, &quot;needs_human_review&quot;: false}"/>
    <s v="ok"/>
    <n v="4"/>
  </r>
  <r>
    <x v="33"/>
    <s v="[LANG:Python]_x000a_[MODE:summary_code_explanation]_x000a_I'm working on a Jupyter project that tries to solve regression problem with SVM (Support Vector Machines). Currently, I'm on a phase where I need to do an Explanatory Data Analysis (EDA), to understand the data before proceeding to do the preprocessing and modeling._x000a__x000a_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
    <s v="done"/>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    csv_path: str,_x000a_    index: int | None = None,_x000a_    chunksize: int = 200_000,_x000a_    usecols=None,_x000a_    **read_csv_kwargs_x000a_):_x000a_    &quot;&quot;&quot;_x000a_    Scan a CSV for nulls efficiently using chunked reading._x000a__x000a_    Parameters_x000a_    ----------_x000a_    csv_path : str_x000a_        Path to the CSV file._x000a_    index : int | None_x000a_        If provided, checks only the row at this 0-based row index and returns_x000a_        whether it contains any nulls (and which columns)._x000a_        If None, scans the whole file and returns all null locations._x000a_    chunksize : int_x000a_        Number of rows per chunk._x000a_    usecols : list[str] | None_x000a_        Optional subset of columns to read for speed._x000a_    **read_csv_kwargs :_x000a_        Passed through to pandas.read_csv (e.g., sep=..., encoding=..., na_values=...)._x000a__x000a_    Returns_x000a_    -------_x000a_    If index is not None:_x000a_        dict with keys: found(bool), index(int), null_columns(list[str])_x000a_    Else:_x000a_        pandas.DataFrame with columns: ['index', 'column'] for each null cell found._x000a_    &quot;&quot;&quot;_x000a_    # Ensure we don't accidentally treat the first column as an index unless user wants it_x000a_    if &quot;index_col&quot; not in read_csv_kwargs:_x000a_        read_csv_kwargs[&quot;index_col&quot;] = None_x000a__x000a_    reader = pd.read_csv(_x000a_        csv_path,_x000a_        chunksize=chunksize,_x000a_        usecols=usecols,_x000a_        **read_csv_kwargs_x000a_    )_x000a__x000a_    if index is not None:_x000a_        if index &lt; 0:_x000a_            raise ValueError(&quot;index must be &gt;= 0&quot;)_x000a__x000a_        start = 0_x000a_        for chunk in reader:_x000a_            end = start + len(chunk)_x000a_            if index &lt; end:_x000a_                row = chunk.iloc[index - start]_x000a_                null_cols = row.index[row.isna()].tolist()_x000a_                return {&quot;found&quot;: len(null_cols) &gt; 0, &quot;index&quot;: index, &quot;null_columns&quot;: null_cols}_x000a_            start = end_x000a__x000a_        raise IndexError(f&quot;index {index} is out of range for the CSV file.&quot;)_x000a__x000a_    # Full scan mode: collect all null locations (row index + column)_x000a_    results = []_x000a_    start = 0_x000a_    for chunk in reader:_x000a_        mask = chunk.isna().to_numpy()  # fast boolean array_x000a_        if mask.any():_x000a_            r, c = np.where(mask)_x000a_            results.append(_x000a_                pd.DataFrame(_x000a_                    {_x000a_                        &quot;index&quot;: (r + start).astype(np.int64),_x000a_                        &quot;column&quot;: chunk.columns.to_numpy()[c],_x000a_                    }_x000a_                )_x000a_            )_x000a_        start += len(chunk)_x000a__x000a_    if results:_x000a_        return pd.concat(results, ignore_index=True)_x000a_    return pd.DataFrame(columns=[&quot;index&quot;, &quot;column&quot;])_x000a_```_x000a__x000a_### EXPLANATION_x000a_- **Why chunking:** `pd.read_csv(..., chunksize=...)` avoids loading the entire CSV into memory and is typically the most practical “efficient” approach for large files._x000a_- **Two modes:**_x000a_  - If you pass an `index`, the function **only reads chunks until that row is reached**, then checks nulls in that single row (fast early-exit)._x000a_  -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    csv_path: str,_x000a_    index: int | None = None,_x000a_    chunksize: int = 200_000,_x000a_    usecols=None,_x000a_    **read_csv_kwargs_x000a_):_x000a_    &quot;&quot;&quot;_x000a_    Scan a CSV for nulls efficiently using chunked reading._x000a__x000a_    Parameters_x000a_    ----------_x000a_    csv_path : str_x000a_        Path to the CSV file._x000a_    index : int | None_x000a_        If provided, checks only the row at this 0-based row index and returns_x000a_        whether it contains any nulls (and which columns)._x000a_        If None, scans the whole file and returns all null locations._x000a_    chunksize : int_x000a_        Number of rows per chunk._x000a_    usecols : list[str] | None_x000a_        Optional subset of columns to read for speed._x000a_    **read_csv_kwargs :_x000a_        Passed through to pandas.read_csv (e.g., sep=..., encoding=..., na_values=...)._x000a__x000a_    Returns_x000a_    -------_x000a_    If index is not None:_x000a_        dict with keys: found(bool), index(int), null_columns(list[str])_x000a_    Else:_x000a_        pandas.DataFrame with columns: ['index', 'column'] for each null cell found._x000a_    &quot;&quot;&quot;_x000a_    # Ensure we don't accidentally treat the first column as an index unless user wants it_x000a_    if &quot;index_col&quot; not in read_csv_kwargs:_x000a_        read_csv_kwargs[&quot;index_col&quot;] = None_x000a__x000a_    reader = pd.read_csv(_x000a_        csv_path,_x000a_        chunksize=chunksize,_x000a_        usecols=usecols,_x000a_        **read_csv_kwargs_x000a_    )_x000a__x000a_    if index is not None:_x000a_        if index &lt; 0:_x000a_            raise ValueError(&quot;index must be &gt;= 0&quot;)_x000a__x000a_        start = 0_x000a_        for chunk in reader:_x000a_            end = start + len(chunk)_x000a_            if index &lt; end:_x000a_                row = chunk.iloc[index - start]_x000a_                null_cols = row.index[row.isna()].tolist()_x000a_                return {&quot;found&quot;: len(null_cols) &gt; 0, &quot;index&quot;: index, &quot;null_columns&quot;: null_cols}_x000a_            start = end_x000a__x000a_        raise IndexError(f&quot;index {index} is out of range for the CSV file.&quot;)_x000a__x000a_    # Full scan mode: collect all null locations (row index + column)_x000a_    results = []_x000a_    start = 0_x000a_    for chunk in reader:_x000a_        mask = chunk.isna().to_numpy()  # fast boolean array_x000a_        if mask.any():_x000a_            r, c = np.where(mask)_x000a_            results.append(_x000a_                pd.DataFrame(_x000a_                    {_x000a_                        &quot;index&quot;: (r + start).astype(np.int64),_x000a_                        &quot;column&quot;: chunk.columns.to_numpy()[c],_x000a_                    }_x000a_                )_x000a_            )_x000a_        start += len(chunk)_x000a__x000a_    if results:_x000a_        return pd.concat(results, ignore_index=True)_x000a_    return pd.DataFrame(columns=[&quot;index&quot;, &quot;column&quot;])_x000a_```_x000a__x000a_### EXPLANATION_x000a_- **Why chunking:** `pd.read_csv(..., chunksize=...)` avoids loading the entire CSV into memory and is typically the most practical “efficient” approach for large files._x000a_- **Two modes:**_x000a_  - If you pass an `index`, the function **only reads chunks until that row is reached**, then checks nulls in that single row (fast early-exit)._x000a_  -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d v="2026-02-25T15:55:40"/>
    <x v="1"/>
    <n v="0"/>
    <n v="161"/>
    <n v="820"/>
    <n v="981"/>
    <n v="734"/>
    <n v="3519"/>
    <n v="3021"/>
    <n v="4"/>
    <n v="5"/>
    <n v="5"/>
    <s v="Clear and specific about the task and requirements."/>
    <s v="Could provide more context on the dataset or specific null handling."/>
    <s v="Comprehensive, efficient code with clear explanations and usage examples."/>
    <s v="None noted; response meets all requirements."/>
    <s v="Create a Python function called srcNull() to scan a CSV for null values at a specific index, using efficient chunking methods suitable for a large dataset with 16,512 entries and 9 features."/>
    <s v="Consider adding more examples or edge cases in the explanation."/>
    <s v="excellent"/>
    <b v="0"/>
    <s v="gpt-4o-mini"/>
    <s v="{&quot;prompt_score&quot;: 4, &quot;response_score&quot;: 5, &quot;overall_score&quot;: 5, &quot;prompt_strengths&quot;: &quot;Clear and specific about the task and requirements.&quot;, &quot;prompt_issues&quot;: &quot;Could provide more context on the dataset or specific null handling.&quot;, &quot;response_strengths&quot;: &quot;Comprehensive, efficient code with clear explanations and usage examples.&quot;, &quot;response_issues&quot;: &quot;None noted; response meets all requirements.&quot;, &quot;prompt_rewrite&quot;: &quot;Create a Python function called srcNull() to scan a CSV for null values at a specific index, using efficient chunking methods suitable for a large dataset with 16,512 entries and 9 features.&quot;, &quot;response_improvement_suggestions&quot;: &quot;Consider adding more examples or edge cases in the explanation.&quot;, &quot;verdict&quot;: &quot;excellent&quot;, &quot;needs_human_review&quot;: false}"/>
    <s v="ok"/>
    <n v="5"/>
  </r>
  <r>
    <x v="33"/>
    <s v="[MODE:summary]_x000a_Okay. Now, can you explain to me in short, which one was more stable when the outliers (data points that differ significantly from the rest of a dataset) are high? RMSE, or MAE? Can you explain why one of them is not stable?"/>
    <s v="done"/>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d v="2026-03-11T13:16:13"/>
    <x v="2"/>
    <n v="0"/>
    <n v="59"/>
    <n v="77"/>
    <n v="136"/>
    <n v="239"/>
    <n v="347"/>
    <n v="3202"/>
    <n v="4"/>
    <n v="5"/>
    <n v="5"/>
    <s v="Clear and specific question about stability of metrics."/>
    <s v="Could provide more context on RMSE and MAE."/>
    <s v="Accurate, clear, and directly addresses the prompt."/>
    <s v="None."/>
    <s v="[MODE:summary] Can you briefly explain which metric, RMSE or MAE, is more stable when outliers are high, and why one is less stable? Please provide context on both metrics."/>
    <s v="None needed; response is complete and clear."/>
    <s v="excellent"/>
    <b v="0"/>
    <s v="gpt-4o-mini"/>
    <s v="{&quot;prompt_score&quot;: 4, &quot;response_score&quot;: 5, &quot;overall_score&quot;: 5, &quot;prompt_strengths&quot;: &quot;Clear and specific question about stability of metrics.&quot;, &quot;prompt_issues&quot;: &quot;Could provide more context on RMSE and MAE.&quot;, &quot;response_strengths&quot;: &quot;Accurate, clear, and directly addresses the prompt.&quot;, &quot;response_issues&quot;: &quot;None.&quot;, &quot;prompt_rewrite&quot;: &quot;[MODE:summary] Can you briefly explain which metric, RMSE or MAE, is more stable when outliers are high, and why one is less stable? Please provide context on both metrics.&quot;, &quot;response_improvement_suggestions&quot;: &quot;None needed; response is complete and clear.&quot;, &quot;verdict&quot;: &quot;excellent&quot;, &quot;needs_human_review&quot;: false}"/>
    <s v="ok"/>
    <n v="5"/>
  </r>
  <r>
    <x v="33"/>
    <s v="[LANG:Python]_x000a_[MODE:code]_x000a_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
    <s v="done"/>
    <s v="import numpy as np_x000a_import seaborn as sns_x000a_import matplotlib.pyplot as plt_x000a__x000a_from sklearn.metrics import (_x000a_    accuracy_score,_x000a_    precision_score,_x000a_    recall_score,_x000a_    f1_score,_x000a_    roc_auc_score,_x000a_    confusion_matrix,_x000a_    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
    <s v="```python_x000a_import numpy as np_x000a_import seaborn as sns_x000a_import matplotlib.pyplot as plt_x000a__x000a_from sklearn.metrics import (_x000a_    accuracy_score,_x000a_    precision_score,_x000a_    recall_score,_x000a_    f1_score,_x000a_    roc_auc_score,_x000a_    confusion_matrix,_x000a_    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_x000a_```"/>
    <d v="2026-04-15T14:55:24"/>
    <x v="3"/>
    <n v="0"/>
    <n v="101"/>
    <n v="416"/>
    <n v="517"/>
    <n v="378"/>
    <n v="1488"/>
    <n v="3408"/>
    <n v="4"/>
    <n v="5"/>
    <n v="5"/>
    <s v="Clear and specific requirements for model evaluation."/>
    <s v="Could provide more context on the dataset or model type."/>
    <s v="Comprehensive and correctly implements all requested metrics and visualizations."/>
    <s v="None significant; all requirements are met."/>
    <s v="Berikan contoh evaluasi model klasifikasi sklearn dengan dataset biner, termasuk accuracy, precision, recall, f1, roc_auc, confusion matrix, dan classification report."/>
    <s v="Include comments on the assumptions made about the model and data."/>
    <s v="excellent"/>
    <b v="0"/>
    <s v="gpt-4o-mini"/>
    <s v="{&quot;prompt_score&quot;: 4, &quot;response_score&quot;: 5, &quot;overall_score&quot;: 5, &quot;prompt_strengths&quot;: &quot;Clear and specific requirements for model evaluation.&quot;, &quot;prompt_issues&quot;: &quot;Could provide more context on the dataset or model type.&quot;, &quot;response_strengths&quot;: &quot;Comprehensive and correctly implements all requested metrics and visualizations.&quot;, &quot;response_issues&quot;: &quot;None significant; all requirements are met.&quot;, &quot;prompt_rewrite&quot;: &quot;Berikan contoh evaluasi model klasifikasi sklearn dengan dataset biner, termasuk accuracy, precision, recall, f1, roc_auc, confusion matrix, dan classification report.&quot;, &quot;response_improvement_suggestions&quot;: &quot;Include comments on the assumptions made about the model and data.&quot;, &quot;verdict&quot;: &quot;excellent&quot;, &quot;needs_human_review&quot;: false}"/>
    <s v="ok"/>
    <n v="5"/>
  </r>
  <r>
    <x v="33"/>
    <s v="[LANG:Python]_x000a_[MODE:summary_code_explanation]_x000a_Let's say I want to create a Correlation Heatmap and Outcome Class Distribution using Counterplot. What benefits will I get? And, how do I create them? Can you give me the code template?"/>
    <s v="done"/>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    corr,_x000a_    cmap=&quot;coolwarm&quot;,_x000a_    center=0,_x000a_    annot=False,          # set True if you have few features_x000a_    fmt=&quot;.2f&quot;,_x000a_    square=True,_x000a_    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    upper.stack()_x000a_         .sort_values(ascending=False)_x000a_         .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    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 Reveals **multicollinearity** (highly correlated features) that can destabilize linear/logistic models and inflate variance.  _x000a_  - Helps with **feature selection** (drop one of two near-duplicate features) and **feature engineering** (combine/transform correlated variables).  _x000a_  - Shows clusters of related variables, giving intuition about underlying structure._x000a__x000a_- **Outcome class countplot benefits:**  _x000a_  - Quickly detects **class imbalance** (e.g., 90/10), which can mislead accuracy and require stratified splits, class weights, or resampling.  _x000a_  -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    corr,_x000a_    cmap=&quot;coolwarm&quot;,_x000a_    center=0,_x000a_    annot=False,          # set True if you have few features_x000a_    fmt=&quot;.2f&quot;,_x000a_    square=True,_x000a_    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    upper.stack()_x000a_         .sort_values(ascending=False)_x000a_         .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    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 Reveals **multicollinearity** (highly correlated features) that can destabilize linear/logistic models and inflate variance.  _x000a_  - Helps with **feature selection** (drop one of two near-duplicate features) and **feature engineering** (combine/transform correlated variables).  _x000a_  - Shows clusters of related variables, giving intuition about underlying structure._x000a__x000a_- **Outcome class countplot benefits:**  _x000a_  - Quickly detects **class imbalance** (e.g., 90/10), which can mislead accuracy and require stratified splits, class weights, or resampling.  _x000a_  -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d v="2026-03-18T14:59:36"/>
    <x v="4"/>
    <n v="0"/>
    <n v="55"/>
    <n v="740"/>
    <n v="795"/>
    <n v="232"/>
    <n v="3152"/>
    <n v="3483"/>
    <n v="4"/>
    <n v="5"/>
    <n v="5"/>
    <s v="Clear and specific request for benefits and code template."/>
    <s v="Could specify the dataset type for better context."/>
    <s v="Thorough explanation and complete code template provided."/>
    <s v="Minor clarity issues in code comments could be improved."/>
    <s v="[LANG:Python] [MODE:summary_code_explanation] I want to create a Correlation Heatmap and Outcome Class Distribution using Counterplot for my dataset. What benefits will I get? And, how do I create them? Please provide a code template."/>
    <s v="Clarify comments in the code for better understanding."/>
    <s v="excellent"/>
    <b v="0"/>
    <s v="gpt-4o-mini"/>
    <s v="{&quot;prompt_score&quot;: 4, &quot;response_score&quot;: 5, &quot;overall_score&quot;: 5, &quot;prompt_strengths&quot;: &quot;Clear and specific request for benefits and code template.&quot;, &quot;prompt_issues&quot;: &quot;Could specify the dataset type for better context.&quot;, &quot;response_strengths&quot;: &quot;Thorough explanation and complete code template provided.&quot;, &quot;response_issues&quot;: &quot;Minor clarity issues in code comments could be improved.&quot;, &quot;prompt_rewrite&quot;: &quot;[LANG:Python] [MODE:summary_code_explanation] I want to create a Correlation Heatmap and Outcome Class Distribution using Counterplot for my dataset. What benefits will I get? And, how do I create them? Please provide a code template.&quot;, &quot;response_improvement_suggestions&quot;: &quot;Clarify comments in the code for better understanding.&quot;, &quot;verdict&quot;: &quot;excellent&quot;, &quot;needs_human_review&quot;: false}"/>
    <s v="ok"/>
    <n v="5"/>
  </r>
  <r>
    <x v="33"/>
    <s v="[LANG:Python]_x000a_[MODE:summary]_x000a_I'm currently working on a classification model by doing an Exploratory Data Analysis (EDA) to understand the characteristics of the used dataset, so that we can get the starting overview for the data structures, feature distribution, and the data condition in general._x000a__x000a_My question for you: What type of data visualization can we create other than using Pairplot, Feature Distribution, and Scatterplot to understand more about the dataset?"/>
    <s v="done"/>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d v="2026-03-18T14:57:07"/>
    <x v="4"/>
    <n v="0"/>
    <n v="93"/>
    <n v="129"/>
    <n v="222"/>
    <n v="469"/>
    <n v="562"/>
    <n v="3895"/>
    <n v="4"/>
    <n v="5"/>
    <n v="5"/>
    <s v="Clear and specific about the context and request."/>
    <s v="Could provide more constraints on the types of visualizations desired."/>
    <s v="Highly relevant, correct, and comprehensive with clear suggestions."/>
    <s v="None significant; could be slightly more concise."/>
    <s v="[LANG:Python] [MODE:summary] I'm currently working on a classification model and conducting Exploratory Data Analysis (EDA) to understand the dataset. What additional types of data visualizations can I create, aside from Pairplot, Feature Distribution, and Scatterplot, to gain insights into data quality and feature relationships?"/>
    <s v="Consider summarizing the suggestions to enhance conciseness."/>
    <s v="excellent"/>
    <b v="0"/>
    <s v="gpt-4o-mini"/>
    <s v="{&quot;prompt_score&quot;: 4, &quot;response_score&quot;: 5, &quot;overall_score&quot;: 5, &quot;prompt_strengths&quot;: &quot;Clear and specific about the context and request.&quot;, &quot;prompt_issues&quot;: &quot;Could provide more constraints on the types of visualizations desired.&quot;, &quot;response_strengths&quot;: &quot;Highly relevant, correct, and comprehensive with clear suggestions.&quot;, &quot;response_issues&quot;: &quot;None significant; could be slightly more concise.&quot;, &quot;prompt_rewrite&quot;: &quot;[LANG:Python] [MODE:summary] I'm currently working on a classification model and conducting Exploratory Data Analysis (EDA) to understand the dataset. What additional types of data visualizations can I create, aside from Pairplot, Feature Distribution, and Scatterplot, to gain insights into data quality and feature relationships?&quot;, &quot;response_improvement_suggestions&quot;: &quot;Consider summarizing the suggestions to enhance conciseness.&quot;, &quot;verdict&quot;: &quot;excellent&quot;, &quot;needs_human_review&quot;: false}"/>
    <s v="ok"/>
    <n v="5"/>
  </r>
  <r>
    <x v="34"/>
    <s v="[MODE:summary_code_explanation]_x000a_oke sekarang lanjut saya disuruh untuk melengkapi kode ini. ### YOUR CODES HERE ### # Gabungkan target pada train set dan validation set. 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d v="2026-04-07T12:36:05"/>
    <x v="0"/>
    <n v="0"/>
    <n v="50"/>
    <n v="187"/>
    <n v="237"/>
    <n v="189"/>
    <n v="592"/>
    <n v="51"/>
    <n v="3"/>
    <n v="4"/>
    <n v="4"/>
    <s v="Provides a clear task and context for code completion."/>
    <s v="Lacks specific details about the expected format of the code."/>
    <s v="Correctly explains how to concatenate arrays and provides relevant code."/>
    <s v="Could be clearer on the implications of using different array shapes."/>
    <s v="Please complete the following code to concatenate the target labels from the training and validation sets: ### YOUR CODES HERE ### # Combine target labels from train and validation sets."/>
    <s v="Clarify the implications of using different array shapes and provide examples of potential errors."/>
    <s v="good"/>
    <b v="0"/>
    <s v="gpt-4o-mini"/>
    <s v="{&quot;prompt_score&quot;: 3, &quot;response_score&quot;: 4, &quot;overall_score&quot;: 4, &quot;prompt_strengths&quot;: &quot;Provides a clear task and context for code completion.&quot;, &quot;prompt_issues&quot;: &quot;Lacks specific details about the expected format of the code.&quot;, &quot;response_strengths&quot;: &quot;Correctly explains how to concatenate arrays and provides relevant code.&quot;, &quot;response_issues&quot;: &quot;Could be clearer on the implications of using different array shapes.&quot;, &quot;prompt_rewrite&quot;: &quot;Please complete the following code to concatenate the target labels from the training and validation sets: ### YOUR CODES HERE ### # Combine target labels from train and validation sets.&quot;, &quot;response_improvement_suggestions&quot;: &quot;Clarify the implications of using different array shapes and provide examples of potential errors.&quot;, &quot;verdict&quot;: &quot;good&quot;, &quot;needs_human_review&quot;: false}"/>
    <s v="ok"/>
    <n v="4"/>
  </r>
  <r>
    <x v="34"/>
    <s v="[MODE:summary_code_explanation]_x000a_nah selanjutnya saya membutuhkan kode untuk menampilkan best hyperparameter dari hasil Grid Search. dan kode untuk menampilkan nilai score terbaik dari hasil grid_search._x000a__x000a_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
    <s v="done"/>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d v="2026-03-17T12:49:28"/>
    <x v="4"/>
    <n v="0"/>
    <n v="126"/>
    <n v="311"/>
    <n v="437"/>
    <n v="542"/>
    <n v="1144"/>
    <n v="261"/>
    <n v="4"/>
    <n v="5"/>
    <n v="5"/>
    <s v="Clear and specific about the required code."/>
    <s v="Could benefit from clearer separation of tasks."/>
    <s v="Comprehensive, correct, and well-structured code with explanations."/>
    <s v="None significant."/>
    <s v="[MODE:summary_code_explanation] Saya membutuhkan kode untuk: 1) Menampilkan best hyperparameter dan nilai score terbaik dari Grid Search. 2) Melatih model dengan best hyperparameter pada train set dan evaluasi pada test set. 3) Menampilkan isi dari tuned_accuracy untuk model KNN."/>
    <s v="None needed; response is already excellent."/>
    <s v="excellent"/>
    <b v="0"/>
    <s v="gpt-4o-mini"/>
    <s v="{&quot;prompt_score&quot;: 4, &quot;response_score&quot;: 5, &quot;overall_score&quot;: 5, &quot;prompt_strengths&quot;: &quot;Clear and specific about the required code.&quot;, &quot;prompt_issues&quot;: &quot;Could benefit from clearer separation of tasks.&quot;, &quot;response_strengths&quot;: &quot;Comprehensive, correct, and well-structured code with explanations.&quot;, &quot;response_issues&quot;: &quot;None significant.&quot;, &quot;prompt_rewrite&quot;: &quot;[MODE:summary_code_explanation] Saya membutuhkan kode untuk: 1) Menampilkan best hyperparameter dan nilai score terbaik dari Grid Search. 2) Melatih model dengan best hyperparameter pada train set dan evaluasi pada test set. 3) Menampilkan isi dari tuned_accuracy untuk model KNN.&quot;, &quot;response_improvement_suggestions&quot;: &quot;None needed; response is already excellent.&quot;, &quot;verdict&quot;: &quot;excellent&quot;, &quot;needs_human_review&quot;: false}"/>
    <s v="ok"/>
    <n v="5"/>
  </r>
  <r>
    <x v="34"/>
    <s v="[MODE:summary]_x000a_oke terima kasih untuk jawabannya, sekarang kita lanjut ke persoalan berikutnya ada di bagian Visualisasi distribusi fitur disini saya memiliki  data seperti ini :_x000a_Outcome_x000a_0    65.104167_x000a_1    34.895833_x000a_Name: proportion, dtype: float64_x000a__x000a_oke sekarang pertanyaannya adalah : apakah persebaran datanya seimbang? mana yang lebih banyak. tolong jawabnya jangan pakai kode, tapi dijawab dengan penjelasan yang baik dan benar"/>
    <s v="done"/>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d v="2026-03-10T12:49:07"/>
    <x v="2"/>
    <n v="0"/>
    <n v="125"/>
    <n v="99"/>
    <n v="224"/>
    <n v="432"/>
    <n v="310"/>
    <n v="542"/>
    <n v="4"/>
    <n v="5"/>
    <n v="5"/>
    <s v="Clear and specific question about data distribution."/>
    <s v="Could provide more context on the data."/>
    <s v="Accurate, clear, and directly addresses the question."/>
    <s v="None."/>
    <s v="Oke terima kasih untuk jawabannya. Sekarang kita lanjut ke persoalan berikutnya mengenai Visualisasi distribusi fitur. Saya memiliki data dengan proporsi: Outcome 0: 65.10%, Outcome 1: 34.90%. Apakah persebaran datanya seimbang? Mana yang lebih banyak? Mohon jawab dengan penjelasan yang baik dan benar."/>
    <s v="Consider adding examples of implications of imbalanced data."/>
    <s v="excellent"/>
    <b v="0"/>
    <s v="gpt-4o-mini"/>
    <s v="{&quot;prompt_score&quot;: 4, &quot;response_score&quot;: 5, &quot;overall_score&quot;: 5, &quot;prompt_strengths&quot;: &quot;Clear and specific question about data distribution.&quot;, &quot;prompt_issues&quot;: &quot;Could provide more context on the data.&quot;, &quot;response_strengths&quot;: &quot;Accurate, clear, and directly addresses the question.&quot;, &quot;response_issues&quot;: &quot;None.&quot;, &quot;prompt_rewrite&quot;: &quot;Oke terima kasih untuk jawabannya. Sekarang kita lanjut ke persoalan berikutnya mengenai Visualisasi distribusi fitur. Saya memiliki data dengan proporsi: Outcome 0: 65.10%, Outcome 1: 34.90%. Apakah persebaran datanya seimbang? Mana yang lebih banyak? Mohon jawab dengan penjelasan yang baik dan benar.&quot;, &quot;response_improvement_suggestions&quot;: &quot;Consider adding examples of implications of imbalanced data.&quot;, &quot;verdict&quot;: &quot;excellent&quot;, &quot;needs_human_review&quot;: false}"/>
    <s v="ok"/>
    <n v="5"/>
  </r>
  <r>
    <x v="34"/>
    <s v="[MODE:summary_code_explanation]_x000a_setelah kode y_scores tersebut kita disuruh untuk  gambar kurva precision vs. recall dengan pertama-tama memanggil precision_recall_curve dan argumen sbb:_x000a__x000a_y dan_x000a_y_scores."/>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d v="2026-03-17T12:23:06"/>
    <x v="4"/>
    <n v="0"/>
    <n v="51"/>
    <n v="196"/>
    <n v="247"/>
    <n v="203"/>
    <n v="794"/>
    <n v="754"/>
    <n v="4"/>
    <n v="5"/>
    <n v="4"/>
    <s v="Clear and specific about the task."/>
    <s v="Could provide more context on the data used."/>
    <s v="Accurate, complete, and well-structured explanation with code."/>
    <s v="None significant."/>
    <s v="[MODE:summary_code_explanation] Setelah kode y_scores, gambarkan kurva precision vs. recall dengan memanggil precision_recall_curve menggunakan argumen y dan y_scores. Berikan konteks tentang data yang digunakan."/>
    <s v="Consider adding a brief explanation of what precision and recall represent."/>
    <s v="good"/>
    <b v="0"/>
    <s v="gpt-4o-mini"/>
    <s v="{&quot;prompt_score&quot;: 4, &quot;response_score&quot;: 5, &quot;overall_score&quot;: 4, &quot;prompt_strengths&quot;: &quot;Clear and specific about the task.&quot;, &quot;prompt_issues&quot;: &quot;Could provide more context on the data used.&quot;, &quot;response_strengths&quot;: &quot;Accurate, complete, and well-structured explanation with code.&quot;, &quot;response_issues&quot;: &quot;None significant.&quot;, &quot;prompt_rewrite&quot;: &quot;[MODE:summary_code_explanation] Setelah kode y_scores, gambarkan kurva precision vs. recall dengan memanggil precision_recall_curve menggunakan argumen y dan y_scores. Berikan konteks tentang data yang digunakan.&quot;, &quot;response_improvement_suggestions&quot;: &quot;Consider adding a brief explanation of what precision and recall represent.&quot;, &quot;verdict&quot;: &quot;good&quot;, &quot;needs_human_review&quot;: false}"/>
    <s v="ok"/>
    <n v="4"/>
  </r>
  <r>
    <x v="34"/>
    <s v="[MODE:summary_code_explanation]_x000a_sekarang saya mau kamu terangin apakah yang bagian 3 ini sudah pasti benar, lalu lanjutkan buatkan kode untuk bagian 4 yaitu pemodelan regresi, berikut permintaan kodenya :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d v="2026-04-14T10:41:55"/>
    <x v="3"/>
    <n v="0"/>
    <n v="158"/>
    <n v="1055"/>
    <n v="1213"/>
    <n v="506"/>
    <n v="4183"/>
    <n v="850"/>
    <n v="4"/>
    <n v="5"/>
    <n v="5"/>
    <s v="Clear and specific request for code and explanation."/>
    <s v="Could provide more context about the dataset."/>
    <s v="Thorough explanation and complete code implementation."/>
    <s v="Minor clarity issues in the explanation of model evaluation."/>
    <s v="Jelaskan apakah bagian 3 sudah benar dan buatkan kode untuk bagian 4: pemodelan regresi dengan LinearRegression, Ridge (alpha=1.0), dan Lasso (alpha=0.1). Gunakan pipeline untuk fitur numerik dan kategorikal, serta evaluasi dengan RMSE dan MAE."/>
    <s v="Clarify the evaluation metrics and their significance in the context of the models."/>
    <s v="excellent"/>
    <b v="0"/>
    <s v="gpt-4o-mini"/>
    <s v="{&quot;prompt_score&quot;: 4, &quot;response_score&quot;: 5, &quot;overall_score&quot;: 5, &quot;prompt_strengths&quot;: &quot;Clear and specific request for code and explanation.&quot;, &quot;prompt_issues&quot;: &quot;Could provide more context about the dataset.&quot;, &quot;response_strengths&quot;: &quot;Thorough explanation and complete code implementation.&quot;, &quot;response_issues&quot;: &quot;Minor clarity issues in the explanation of model evaluation.&quot;, &quot;prompt_rewrite&quot;: &quot;Jelaskan apakah bagian 3 sudah benar dan buatkan kode untuk bagian 4: pemodelan regresi dengan LinearRegression, Ridge (alpha=1.0), dan Lasso (alpha=0.1). Gunakan pipeline untuk fitur numerik dan kategorikal, serta evaluasi dengan RMSE dan MAE.&quot;, &quot;response_improvement_suggestions&quot;: &quot;Clarify the evaluation metrics and their significance in the context of the models.&quot;, &quot;verdict&quot;: &quot;excellent&quot;, &quot;needs_human_review&quot;: false}"/>
    <s v="ok"/>
    <n v="5"/>
  </r>
  <r>
    <x v="34"/>
    <s v="[MODE:summary_code_explanation]_x000a_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
    <s v="done"/>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d v="2026-03-03T11:53:19"/>
    <x v="6"/>
    <n v="0"/>
    <n v="84"/>
    <n v="513"/>
    <n v="597"/>
    <n v="325"/>
    <n v="2015"/>
    <n v="882"/>
    <n v="4"/>
    <n v="5"/>
    <n v="4"/>
    <s v="Clear request for code and explanation."/>
    <s v="Could specify the type of model (regression or classification) more explicitly."/>
    <s v="Comprehensive explanation with clear code structure."/>
    <s v="Could include more context on the preprocessor used."/>
    <s v="Tolong buatkan kode untuk melatih model Random Forest (regresi) dengan random_state 42, sertai penjelasan per line."/>
    <s v="Add details about the preprocessor's configuration and its components."/>
    <s v="good"/>
    <b v="0"/>
    <s v="gpt-4o-mini"/>
    <s v="{&quot;prompt_score&quot;: 4, &quot;response_score&quot;: 5, &quot;overall_score&quot;: 4, &quot;prompt_strengths&quot;: &quot;Clear request for code and explanation.&quot;, &quot;prompt_issues&quot;: &quot;Could specify the type of model (regression or classification) more explicitly.&quot;, &quot;response_strengths&quot;: &quot;Comprehensive explanation with clear code structure.&quot;, &quot;response_issues&quot;: &quot;Could include more context on the preprocessor used.&quot;, &quot;prompt_rewrite&quot;: &quot;Tolong buatkan kode untuk melatih model Random Forest (regresi) dengan random_state 42, sertai penjelasan per line.&quot;, &quot;response_improvement_suggestions&quot;: &quot;Add details about the preprocessor's configuration and its components.&quot;, &quot;verdict&quot;: &quot;good&quot;, &quot;needs_human_review&quot;: false}"/>
    <s v="ok"/>
    <n v="4"/>
  </r>
  <r>
    <x v="34"/>
    <s v="[MODE:summary]_x000a_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
    <s v="done"/>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d v="2026-03-03T12:31:50"/>
    <x v="6"/>
    <n v="0"/>
    <n v="202"/>
    <n v="343"/>
    <n v="545"/>
    <n v="683"/>
    <n v="1125"/>
    <n v="1433"/>
    <n v="3"/>
    <n v="4"/>
    <n v="4"/>
    <s v="Provides a detailed description of the data."/>
    <s v="Lacks clarity and structure, making it hard to follow."/>
    <s v="Thorough analysis with clear insights and connections."/>
    <s v="Could be more concise and focused on key points."/>
    <s v="Buat ringkasan grafik BMI vs charges, fokus pada pola dan hubungan antara BMI dan charges."/>
    <s v="Summarize key findings more succinctly and highlight the most significant trends."/>
    <s v="good"/>
    <b v="0"/>
    <s v="gpt-4o-mini"/>
    <s v="{&quot;prompt_score&quot;: 3, &quot;response_score&quot;: 4, &quot;overall_score&quot;: 4, &quot;prompt_strengths&quot;: &quot;Provides a detailed description of the data.&quot;, &quot;prompt_issues&quot;: &quot;Lacks clarity and structure, making it hard to follow.&quot;, &quot;response_strengths&quot;: &quot;Thorough analysis with clear insights and connections.&quot;, &quot;response_issues&quot;: &quot;Could be more concise and focused on key points.&quot;, &quot;prompt_rewrite&quot;: &quot;Buat ringkasan grafik BMI vs charges, fokus pada pola dan hubungan antara BMI dan charges.&quot;, &quot;response_improvement_suggestions&quot;: &quot;Summarize key findings more succinctly and highlight the most significant trends.&quot;, &quot;verdict&quot;: &quot;good&quot;, &quot;needs_human_review&quot;: false}"/>
    <s v="ok"/>
    <n v="4"/>
  </r>
  <r>
    <x v="34"/>
    <s v="[MODE:summary_code_explanation]_x000a_oke selanjutnya setelah itu saya disuruh untuk membuat kode menghitung ROC Area Under Curve (AUC) dari Random Forest classifier ini."/>
    <s v="done"/>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d v="2026-03-17T12:30:09"/>
    <x v="4"/>
    <n v="0"/>
    <n v="40"/>
    <n v="149"/>
    <n v="189"/>
    <n v="164"/>
    <n v="520"/>
    <n v="1856"/>
    <n v="4"/>
    <n v="5"/>
    <n v="4"/>
    <s v="Clear request for code related to ROC AUC calculation."/>
    <s v="Could provide more context on data or specific requirements."/>
    <s v="Accurate, complete, and clear explanation with code example."/>
    <s v="None noted."/>
    <s v="Bisa jelaskan cara membuat kode untuk menghitung ROC AUC dari Random Forest classifier dengan contoh data?"/>
    <s v="Consider adding a brief explanation of ROC AUC for beginners."/>
    <s v="good"/>
    <b v="0"/>
    <s v="gpt-4o-mini"/>
    <s v="{&quot;prompt_score&quot;: 4, &quot;response_score&quot;: 5, &quot;overall_score&quot;: 4, &quot;prompt_strengths&quot;: &quot;Clear request for code related to ROC AUC calculation.&quot;, &quot;prompt_issues&quot;: &quot;Could provide more context on data or specific requirements.&quot;, &quot;response_strengths&quot;: &quot;Accurate, complete, and clear explanation with code example.&quot;, &quot;response_issues&quot;: &quot;None noted.&quot;, &quot;prompt_rewrite&quot;: &quot;Bisa jelaskan cara membuat kode untuk menghitung ROC AUC dari Random Forest classifier dengan contoh data?&quot;, &quot;response_improvement_suggestions&quot;: &quot;Consider adding a brief explanation of ROC AUC for beginners.&quot;, &quot;verdict&quot;: &quot;good&quot;, &quot;needs_human_review&quot;: false}"/>
    <s v="ok"/>
    <n v="4"/>
  </r>
  <r>
    <x v="34"/>
    <s v="[MODE:summary]_x000a_oke bagus, sekarang kita lanjut soal ke-3 :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dengan baik dan benar serta penjelasan yang lengkap"/>
    <s v="done"/>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d v="2026-03-10T12:56:55"/>
    <x v="2"/>
    <n v="0"/>
    <n v="107"/>
    <n v="267"/>
    <n v="374"/>
    <n v="376"/>
    <n v="976"/>
    <n v="2018"/>
    <n v="4"/>
    <n v="5"/>
    <n v="4"/>
    <s v="Clear and specific about the task."/>
    <s v="Could provide more context on the dataset."/>
    <s v="Thorough explanation with relevant examples."/>
    <s v="Could be more concise."/>
    <s v="[MODE:summary] Lanjut ke soal ke-3: Apakah ada fitur dengan nilai minimum = 0 yang tidak realistis secara medis dalam dataset? Sebutkan fitur tersebut dan jelaskan penyebabnya."/>
    <s v="Summarize key points to enhance conciseness."/>
    <s v="good"/>
    <b v="0"/>
    <s v="gpt-4o-mini"/>
    <s v="{&quot;prompt_score&quot;: 4, &quot;response_score&quot;: 5, &quot;overall_score&quot;: 4, &quot;prompt_strengths&quot;: &quot;Clear and specific about the task.&quot;, &quot;prompt_issues&quot;: &quot;Could provide more context on the dataset.&quot;, &quot;response_strengths&quot;: &quot;Thorough explanation with relevant examples.&quot;, &quot;response_issues&quot;: &quot;Could be more concise.&quot;, &quot;prompt_rewrite&quot;: &quot;[MODE:summary] Lanjut ke soal ke-3: Apakah ada fitur dengan nilai minimum = 0 yang tidak realistis secara medis dalam dataset? Sebutkan fitur tersebut dan jelaskan penyebabnya.&quot;, &quot;response_improvement_suggestions&quot;: &quot;Summarize key points to enhance conciseness.&quot;, &quot;verdict&quot;: &quot;good&quot;, &quot;needs_human_review&quot;: false}"/>
    <s v="ok"/>
    <n v="4"/>
  </r>
  <r>
    <x v="34"/>
    <s v="[MODE:summary_code_explanation]_x000a_oke kamu sudah memegang 10 poin kategori penilaian coba kamu cek lagi, ini kode dari yang kamu buat ,apabila bisa disesuiakan tolong disesuaikan, berikut kode bagian 1 load dataset apakah sesuai?_x000a_# Tulis jawaban Anda di sini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done"/>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d v="2026-04-14T11:23:24"/>
    <x v="3"/>
    <n v="0"/>
    <n v="147"/>
    <n v="182"/>
    <n v="329"/>
    <n v="496"/>
    <n v="592"/>
    <n v="2221"/>
    <n v="3"/>
    <n v="4"/>
    <n v="4"/>
    <s v="The prompt is clear about the task and provides context."/>
    <s v="Lacks specificity in what adjustments are needed."/>
    <s v="The response is relevant, correct, and provides a clear explanation."/>
    <s v="Could include more detail on potential adjustments."/>
    <s v="[MODE:summary_code_explanation] Cek kode berikut untuk bagian 1 load dataset. Apakah ada yang perlu disesuaikan? Berikan detail spesifik jika ada kesalahan."/>
    <s v="Add examples of common adjustments that might be needed."/>
    <s v="good"/>
    <b v="0"/>
    <s v="gpt-4o-mini"/>
    <s v="{&quot;prompt_score&quot;: 3, &quot;response_score&quot;: 4, &quot;overall_score&quot;: 4, &quot;prompt_strengths&quot;: &quot;The prompt is clear about the task and provides context.&quot;, &quot;prompt_issues&quot;: &quot;Lacks specificity in what adjustments are needed.&quot;, &quot;response_strengths&quot;: &quot;The response is relevant, correct, and provides a clear explanation.&quot;, &quot;response_issues&quot;: &quot;Could include more detail on potential adjustments.&quot;, &quot;prompt_rewrite&quot;: &quot;[MODE:summary_code_explanation] Cek kode berikut untuk bagian 1 load dataset. Apakah ada yang perlu disesuaikan? Berikan detail spesifik jika ada kesalahan.&quot;, &quot;response_improvement_suggestions&quot;: &quot;Add examples of common adjustments that might be needed.&quot;, &quot;verdict&quot;: &quot;good&quot;, &quot;needs_human_review&quot;: false}"/>
    <s v="ok"/>
    <n v="4"/>
  </r>
  <r>
    <x v="34"/>
    <s v="[MODE:summary]_x000a_tolong penjelasannya apakah sudah sesuai dengan 10 kategori penilaian atau belum, berikut kode untuk dicek yaitu kode bagian ke-3 persiapan fitur dan target :_x000a__x000a_# Tulis jawaban Anda di sini_x000a__x000a_from sklearn.impute import SimpleImputer_x000a_from sklearn.metrics import mean_squared_error, mean_absolute_error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
    <s v="done"/>
    <s v="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_x000a__x000a_Kesesuaian terhadap 10 kategori penilaian (berdasarkan kode ini):_x000a_1) Upload Data: tidak ada di potongan ini (tapi kalau sudah ada di Bagian 1, berarti sudah).  _x000a_2) EDA (NULL &amp; korelasi): tidak ada di potongan ini (tapi kalau sudah ada di Bagian 2, berarti sudah).  _x000a_3) Pipeline ML (target, normalisasi, train-test): **sebagian sesuai**  _x000a_   - Target sudah ditentukan (`final_exam_score`) dan fitur dipisahkan (drop target).  _x000a_   - Train-test split 80:20 sudah benar.  _x000a_   - Pipeline preprocessing sudah ada (imputer + onehot).  _x000a_   - Yang belum: “normalisasi”/scaling untuk fitur numerik belum ada. Untuk memenuhi kata “normalisasi” di rubrik, sebaiknya tambahkan `StandardScaler()` pada numeric pipeline.  _x000a_4) Regresi linier + evaluasi RMSE &amp; MAE: **sesuai** (LinearRegression + RMSE/MAE).  _x000a_5) Ridge + evaluasi RMSE &amp; MAE: **sesuai**.  _x000a_6) Lasso + evaluasi RMSE &amp; MAE: **sesuai**.  _x000a_7) Transformasi data untuk klasifikasi: **belum ada di kode ini** (karena `pass_fail` hanya di-drop, belum di-encode). Ini biasanya ada di Bagian 5.  _x000a_8) Klasifikasi dengan regresi logistik: **belum ada di kode ini**.  _x000a_9) Evaluasi klasifikasi dengan confusion matrix: **belum ada di kode ini**.  _x000a_10) Pembuatan kurva ROC: **belum ada di kode ini**._x000a__x000a_Catatan penting (agar tidak mengurangi nilai):_x000a_- `student_id` sebaiknya benar-benar di-drop (uncomment bagian opsional), karena itu identifier dan bisa mengganggu model/regresi.  _x000a_- Tambahkan scaling numerik untuk memenuhi “normalisasi” pada rubrik._x000a__x000a_Kalau kamu mau, aku bisa revisi potongan ini dengan perubahan minimal: drop `student_id` otomatis (kalau ada) + tambah `StandardScaler` di numeric pipeline, tanpa mengubah struktur besar kodenya."/>
    <s v="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_x000a__x000a_Kesesuaian terhadap 10 kategori penilaian (berdasarkan kode ini):_x000a_1) Upload Data: tidak ada di potongan ini (tapi kalau sudah ada di Bagian 1, berarti sudah).  _x000a_2) EDA (NULL &amp; korelasi): tidak ada di potongan ini (tapi kalau sudah ada di Bagian 2, berarti sudah).  _x000a_3) Pipeline ML (target, normalisasi, train-test): **sebagian sesuai**  _x000a_   - Target sudah ditentukan (`final_exam_score`) dan fitur dipisahkan (drop target).  _x000a_   - Train-test split 80:20 sudah benar.  _x000a_   - Pipeline preprocessing sudah ada (imputer + onehot).  _x000a_   - Yang belum: “normalisasi”/scaling untuk fitur numerik belum ada. Untuk memenuhi kata “normalisasi” di rubrik, sebaiknya tambahkan `StandardScaler()` pada numeric pipeline.  _x000a_4) Regresi linier + evaluasi RMSE &amp; MAE: **sesuai** (LinearRegression + RMSE/MAE).  _x000a_5) Ridge + evaluasi RMSE &amp; MAE: **sesuai**.  _x000a_6) Lasso + evaluasi RMSE &amp; MAE: **sesuai**.  _x000a_7) Transformasi data untuk klasifikasi: **belum ada di kode ini** (karena `pass_fail` hanya di-drop, belum di-encode). Ini biasanya ada di Bagian 5.  _x000a_8) Klasifikasi dengan regresi logistik: **belum ada di kode ini**.  _x000a_9) Evaluasi klasifikasi dengan confusion matrix: **belum ada di kode ini**.  _x000a_10) Pembuatan kurva ROC: **belum ada di kode ini**._x000a__x000a_Catatan penting (agar tidak mengurangi nilai):_x000a_- `student_id` sebaiknya benar-benar di-drop (uncomment bagian opsional), karena itu identifier dan bisa mengganggu model/regresi.  _x000a_- Tambahkan scaling numerik untuk memenuhi “normalisasi” pada rubrik._x000a__x000a_Kalau kamu mau, aku bisa revisi potongan ini dengan perubahan minimal: drop `student_id` otomatis (kalau ada) + tambah `StandardScaler` di numeric pipeline, tanpa mengubah struktur besar kodenya."/>
    <d v="2026-04-14T11:35:13"/>
    <x v="3"/>
    <n v="0"/>
    <n v="650"/>
    <n v="602"/>
    <n v="1252"/>
    <n v="2646"/>
    <n v="2003"/>
    <n v="2412"/>
    <n v="4"/>
    <n v="4"/>
    <n v="4"/>
    <s v="The prompt is clear and provides specific code context."/>
    <s v="Could benefit from more explicit constraints or expected outcomes."/>
    <s v="The response is relevant, correct, and provides a thorough evaluation."/>
    <s v="Could be more concise and structured for easier readability."/>
    <s v="[MODE:summary] Please evaluate if the following code meets the 10 assessment categories, focusing on the third part: feature preparation and target. Here is the code: ..."/>
    <s v="Summarize key points more concisely and use bullet points for clarity."/>
    <s v="good"/>
    <b v="0"/>
    <s v="gpt-4o-mini"/>
    <s v="{&quot;prompt_score&quot;: 4, &quot;response_score&quot;: 4, &quot;overall_score&quot;: 4, &quot;prompt_strengths&quot;: &quot;The prompt is clear and provides specific code context.&quot;, &quot;prompt_issues&quot;: &quot;Could benefit from more explicit constraints or expected outcomes.&quot;, &quot;response_strengths&quot;: &quot;The response is relevant, correct, and provides a thorough evaluation.&quot;, &quot;response_issues&quot;: &quot;Could be more concise and structured for easier readability.&quot;, &quot;prompt_rewrite&quot;: &quot;[MODE:summary] Please evaluate if the following code meets the 10 assessment categories, focusing on the third part: feature preparation and target. Here is the code: ...&quot;, &quot;response_improvement_suggestions&quot;: &quot;Summarize key points more concisely and use bullet points for clarity.&quot;, &quot;verdict&quot;: &quot;good&quot;, &quot;needs_human_review&quot;: false}"/>
    <s v="ok"/>
    <n v="4"/>
  </r>
  <r>
    <x v="34"/>
    <s v="[MODE:code]_x000a_nah setelah melakukan semau itu, sekarang kita akan  menyimpan semua nilai dataframe ke dalam variabel array."/>
    <s v="done"/>
    <s v="array = dataframe.values"/>
    <s v="```python_x000a_array = dataframe.values_x000a_```"/>
    <d v="2026-03-17T11:58:57"/>
    <x v="4"/>
    <n v="0"/>
    <n v="30"/>
    <n v="9"/>
    <n v="39"/>
    <n v="121"/>
    <n v="38"/>
    <n v="2546"/>
    <n v="3"/>
    <n v="4"/>
    <n v="4"/>
    <s v="The prompt is clear about the action to be taken."/>
    <s v="Lacks specificity regarding the context of the dataframe."/>
    <s v="The response is relevant and correct."/>
    <s v="Could provide more context or explanation."/>
    <s v="Setelah melakukan semua itu, bagaimana cara menyimpan nilai dataframe ke dalam variabel array?"/>
    <s v="Add a brief explanation of what 'dataframe' refers to and why we are storing its values in an array."/>
    <s v="good"/>
    <b v="0"/>
    <s v="gpt-4o-mini"/>
    <s v="{&quot;prompt_score&quot;: 3, &quot;response_score&quot;: 4, &quot;overall_score&quot;: 4, &quot;prompt_strengths&quot;: &quot;The prompt is clear about the action to be taken.&quot;, &quot;prompt_issues&quot;: &quot;Lacks specificity regarding the context of the dataframe.&quot;, &quot;response_strengths&quot;: &quot;The response is relevant and correct.&quot;, &quot;response_issues&quot;: &quot;Could provide more context or explanation.&quot;, &quot;prompt_rewrite&quot;: &quot;Setelah melakukan semua itu, bagaimana cara menyimpan nilai dataframe ke dalam variabel array?&quot;, &quot;response_improvement_suggestions&quot;: &quot;Add a brief explanation of what 'dataframe' refers to and why we are storing its values in an array.&quot;, &quot;verdict&quot;: &quot;good&quot;, &quot;needs_human_review&quot;: false}"/>
    <s v="ok"/>
    <n v="4"/>
  </r>
  <r>
    <x v="34"/>
    <s v="[MODE:code]_x000a_sekarang lanjut ke bagian ke-2 yaitu Exploratory Data Analysis (EDA), berikut permintaan untuk kodenya :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4:40"/>
    <x v="3"/>
    <n v="0"/>
    <n v="93"/>
    <n v="473"/>
    <n v="566"/>
    <n v="322"/>
    <n v="1612"/>
    <n v="3953"/>
    <n v="4"/>
    <n v="5"/>
    <n v="5"/>
    <s v="Clear and specific instructions for EDA tasks."/>
    <s v="Could specify the dataset format or structure."/>
    <s v="Comprehensive and correct implementation of EDA tasks."/>
    <s v="Could include comments for clarity on each step."/>
    <s v="[MODE:code] Lanjut ke bagian ke-2 yaitu Exploratory Data Analysis (EDA). Mohon sediakan kode untuk: 1) Memeriksa missing value, 2) Menampilkan statistik deskriptif kolom numerik, 3) Memvisualisasikan distribusi beberapa fitur numerik penting, dan 4) Membuat heatmap korelasi untuk fitur numerik. Dataset yang digunakan adalah 'student_exam_performance_dataset.csv'."/>
    <s v="Add comments to explain each section of the code for better clarity."/>
    <s v="excellent"/>
    <b v="0"/>
    <s v="gpt-4o-mini"/>
    <s v="{&quot;prompt_score&quot;: 4, &quot;response_score&quot;: 5, &quot;overall_score&quot;: 5, &quot;prompt_strengths&quot;: &quot;Clear and specific instructions for EDA tasks.&quot;, &quot;prompt_issues&quot;: &quot;Could specify the dataset format or structure.&quot;, &quot;response_strengths&quot;: &quot;Comprehensive and correct implementation of EDA tasks.&quot;, &quot;response_issues&quot;: &quot;Could include comments for clarity on each step.&quot;, &quot;prompt_rewrite&quot;: &quot;[MODE:code] Lanjut ke bagian ke-2 yaitu Exploratory Data Analysis (EDA). Mohon sediakan kode untuk: 1) Memeriksa missing value, 2) Menampilkan statistik deskriptif kolom numerik, 3) Memvisualisasikan distribusi beberapa fitur numerik penting, dan 4) Membuat heatmap korelasi untuk fitur numerik. Dataset yang digunakan adalah 'student_exam_performance_dataset.csv'.&quot;, &quot;response_improvement_suggestions&quot;: &quot;Add comments to explain each section of the code for better clarity.&quot;, &quot;verdict&quot;: &quot;excellent&quot;, &quot;needs_human_review&quot;: false}"/>
    <s v="ok"/>
    <n v="5"/>
  </r>
  <r>
    <x v="34"/>
    <s v="[MODE:summary_code_explanation]_x000a_oke sebentar sebelum itu saya miss, saya belum buat kode untuk test set, tadi kan tuh train set nya 60000 gambar, sekarang saya mau 10000 untuk test set"/>
    <s v="done"/>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d v="2026-03-17T12:35:29"/>
    <x v="4"/>
    <n v="0"/>
    <n v="52"/>
    <n v="159"/>
    <n v="211"/>
    <n v="184"/>
    <n v="480"/>
    <n v="4474"/>
    <n v="4"/>
    <n v="5"/>
    <n v="4"/>
    <s v="Clear request for test set code."/>
    <s v="Could provide more context on the dataset."/>
    <s v="Accurate, clear, and complete explanation with code."/>
    <s v="None."/>
    <s v="Saya perlu kode untuk membagi dataset MNIST menjadi train set dan test set, dengan 60.000 gambar untuk train dan 10.000 untuk test."/>
    <s v="None needed; response is already comprehensive."/>
    <s v="good"/>
    <b v="0"/>
    <s v="gpt-4o-mini"/>
    <s v="{&quot;prompt_score&quot;: 4, &quot;response_score&quot;: 5, &quot;overall_score&quot;: 4, &quot;prompt_strengths&quot;: &quot;Clear request for test set code.&quot;, &quot;prompt_issues&quot;: &quot;Could provide more context on the dataset.&quot;, &quot;response_strengths&quot;: &quot;Accurate, clear, and complete explanation with code.&quot;, &quot;response_issues&quot;: &quot;None.&quot;, &quot;prompt_rewrite&quot;: &quot;Saya perlu kode untuk membagi dataset MNIST menjadi train set dan test set, dengan 60.000 gambar untuk train dan 10.000 untuk test.&quot;, &quot;response_improvement_suggestions&quot;: &quot;None needed; response is already comprehensive.&quot;, &quot;verdict&quot;: &quot;good&quot;, &quot;needs_human_review&quot;: false}"/>
    <s v="ok"/>
    <n v="4"/>
  </r>
  <r>
    <x v="34"/>
    <s v="[MODE:summary_code_explanation]_x000a_oke sudah selesai param_gridnya, saya sekarang sudha punya gridsearchnya juga., jadi yang saya minta adalah anda membuatkan saya kode untuk melatih grid menggunakan .fit. lalu setelah itu munculkan best score dan best parameter dari grid"/>
    <s v="done"/>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d v="2026-03-10T12:21:56"/>
    <x v="2"/>
    <n v="0"/>
    <n v="65"/>
    <n v="182"/>
    <n v="247"/>
    <n v="269"/>
    <n v="656"/>
    <n v="4796"/>
    <n v="3"/>
    <n v="4"/>
    <n v="3"/>
    <s v="The prompt specifies the task and context clearly."/>
    <s v="Lacks specificity in terms of the type of model or data being used."/>
    <s v="The response is relevant, correct, and provides a clear code example."/>
    <s v="Could include more context or explanation about the parameters used."/>
    <s v="Bisa tolong buatkan kode untuk melatih gridsearch dengan .fit pada model klasifikasi tertentu dan tampilkan best score serta best parameters?"/>
    <s v="Add more context about the model and data to enhance understanding."/>
    <s v="good"/>
    <b v="0"/>
    <s v="gpt-4o-mini"/>
    <s v="{&quot;prompt_score&quot;: 3, &quot;response_score&quot;: 4, &quot;overall_score&quot;: 3, &quot;prompt_strengths&quot;: &quot;The prompt specifies the task and context clearly.&quot;, &quot;prompt_issues&quot;: &quot;Lacks specificity in terms of the type of model or data being used.&quot;, &quot;response_strengths&quot;: &quot;The response is relevant, correct, and provides a clear code example.&quot;, &quot;response_issues&quot;: &quot;Could include more context or explanation about the parameters used.&quot;, &quot;prompt_rewrite&quot;: &quot;Bisa tolong buatkan kode untuk melatih gridsearch dengan .fit pada model klasifikasi tertentu dan tampilkan best score serta best parameters?&quot;, &quot;response_improvement_suggestions&quot;: &quot;Add more context about the model and data to enhance understanding.&quot;, &quot;verdict&quot;: &quot;good&quot;, &quot;needs_human_review&quot;: false}"/>
    <s v="ok"/>
    <n v="4"/>
  </r>
  <r>
    <x v="35"/>
    <s v="[MODE:summary_code_explanation]_x000a_Buatlah `KFold` dengan parameter `n_splits=10` dan simpan dalam varibel `kfold`. untuk dataset yang saya miliki"/>
    <s v="done"/>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d v="2026-03-17T12:13:31"/>
    <x v="4"/>
    <n v="0"/>
    <n v="39"/>
    <n v="143"/>
    <n v="182"/>
    <n v="143"/>
    <n v="498"/>
    <n v="586"/>
    <n v="4"/>
    <n v="5"/>
    <n v="5"/>
    <s v="Clear and specific request for KFold implementation."/>
    <s v="Could provide more context about the dataset."/>
    <s v="Accurate, complete, and clearly explains the code."/>
    <s v="None."/>
    <s v="Buatlah `KFold` dengan parameter `n_splits=10` untuk dataset yang saya miliki, sebutkan jenis datasetnya."/>
    <s v="Consider adding a brief explanation of how to use the `kfold` variable with the dataset."/>
    <s v="excellent"/>
    <b v="0"/>
    <s v="gpt-4o-mini"/>
    <s v="{&quot;prompt_score&quot;: 4, &quot;response_score&quot;: 5, &quot;overall_score&quot;: 5, &quot;prompt_strengths&quot;: &quot;Clear and specific request for KFold implementation.&quot;, &quot;prompt_issues&quot;: &quot;Could provide more context about the dataset.&quot;, &quot;response_strengths&quot;: &quot;Accurate, complete, and clearly explains the code.&quot;, &quot;response_issues&quot;: &quot;None.&quot;, &quot;prompt_rewrite&quot;: &quot;Buatlah `KFold` dengan parameter `n_splits=10` untuk dataset yang saya miliki, sebutkan jenis datasetnya.&quot;, &quot;response_improvement_suggestions&quot;: &quot;Consider adding a brief explanation of how to use the `kfold` variable with the dataset.&quot;, &quot;verdict&quot;: &quot;excellent&quot;, &quot;needs_human_review&quot;: false}"/>
    <s v="ok"/>
    <n v="5"/>
  </r>
  <r>
    <x v="35"/>
    <s v="[MODE:summary_code_explanation]_x000a_saya sudah load dataset tentang data isuransi dan juga melakukan exploratory data analyst apa kode untuk membuat scatter plot untuk melihat pengaruh bmi terhadap charges"/>
    <s v="done"/>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d v="2026-03-03T11:36:00"/>
    <x v="6"/>
    <n v="0"/>
    <n v="42"/>
    <n v="255"/>
    <n v="297"/>
    <n v="201"/>
    <n v="859"/>
    <n v="1581"/>
    <n v="4"/>
    <n v="5"/>
    <n v="5"/>
    <s v="Clear and specific request for code."/>
    <s v="Could provide more context on the dataset."/>
    <s v="Relevant, correct, and complete code with clear explanation."/>
    <s v="None."/>
    <s v="Saya sudah memuat dataset tentang data asuransi dan melakukan exploratory data analysis. Apa kode untuk membuat scatter plot yang menunjukkan pengaruh BMI terhadap charges dalam konteks ini?"/>
    <s v="None needed; response is already comprehensive."/>
    <s v="excellent"/>
    <b v="0"/>
    <s v="gpt-4o-mini"/>
    <s v="{&quot;prompt_score&quot;: 4, &quot;response_score&quot;: 5, &quot;overall_score&quot;: 5, &quot;prompt_strengths&quot;: &quot;Clear and specific request for code.&quot;, &quot;prompt_issues&quot;: &quot;Could provide more context on the dataset.&quot;, &quot;response_strengths&quot;: &quot;Relevant, correct, and complete code with clear explanation.&quot;, &quot;response_issues&quot;: &quot;None.&quot;, &quot;prompt_rewrite&quot;: &quot;Saya sudah memuat dataset tentang data asuransi dan melakukan exploratory data analysis. Apa kode untuk membuat scatter plot yang menunjukkan pengaruh BMI terhadap charges dalam konteks ini?&quot;, &quot;response_improvement_suggestions&quot;: &quot;None needed; response is already comprehensive.&quot;, &quot;verdict&quot;: &quot;excellent&quot;, &quot;needs_human_review&quot;: false}"/>
    <s v="ok"/>
    <n v="5"/>
  </r>
  <r>
    <x v="35"/>
    <s v="[MODE:summary_code_explanation]_x000a_setelah saya berhasil menggunakan gridsearchv tolong berikan saya kode untuk menampilkan 6000 data menggunakan grid search saya ingin menggunakan gridsearch.fit"/>
    <s v="done"/>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d v="2026-02-24T13:37:37"/>
    <x v="1"/>
    <n v="0"/>
    <n v="38"/>
    <n v="290"/>
    <n v="328"/>
    <n v="192"/>
    <n v="906"/>
    <n v="1755"/>
    <n v="4"/>
    <n v="5"/>
    <n v="4"/>
    <s v="Clear request for code and context provided."/>
    <s v="Could specify the format of the output data more clearly."/>
    <s v="Correct and complete code with clear explanations."/>
    <s v="Could include more context on the data structure."/>
    <s v="Setelah menggunakan GridSearchCV, berikan kode untuk menampilkan 6000 data pertama dan hasil prediksi dari model terbaik."/>
    <s v="Add a brief explanation of the data structure and the purpose of the target column."/>
    <s v="good"/>
    <b v="0"/>
    <s v="gpt-4o-mini"/>
    <s v="{&quot;prompt_score&quot;: 4, &quot;response_score&quot;: 5, &quot;overall_score&quot;: 4, &quot;prompt_strengths&quot;: &quot;Clear request for code and context provided.&quot;, &quot;prompt_issues&quot;: &quot;Could specify the format of the output data more clearly.&quot;, &quot;response_strengths&quot;: &quot;Correct and complete code with clear explanations.&quot;, &quot;response_issues&quot;: &quot;Could include more context on the data structure.&quot;, &quot;prompt_rewrite&quot;: &quot;Setelah menggunakan GridSearchCV, berikan kode untuk menampilkan 6000 data pertama dan hasil prediksi dari model terbaik.&quot;, &quot;response_improvement_suggestions&quot;: &quot;Add a brief explanation of the data structure and the purpose of the target column.&quot;, &quot;verdict&quot;: &quot;good&quot;, &quot;needs_human_review&quot;: false}"/>
    <s v="ok"/>
    <n v="4"/>
  </r>
  <r>
    <x v="35"/>
    <s v="[MODE:summary_code_explanation]_x000a_Kembali kita gunakan `cross_val_predict` sama seperti ketika kita menggunakan LogisticRegression tetapi kali ini `method`-nya adalah `predict_proba`."/>
    <s v="done"/>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d v="2026-03-17T12:44:59"/>
    <x v="4"/>
    <n v="0"/>
    <n v="40"/>
    <n v="220"/>
    <n v="260"/>
    <n v="181"/>
    <n v="779"/>
    <n v="2220"/>
    <n v="4"/>
    <n v="5"/>
    <n v="4"/>
    <s v="Clear and specific about the method and context."/>
    <s v="Could provide more context on the purpose of using `predict_proba`."/>
    <s v="Accurate, complete, and clearly explains the output of the method."/>
    <s v="None significant; could include a brief example of ROC/PR evaluation."/>
    <s v="Jelaskan penggunaan `cross_val_predict` dengan `method=&quot;predict_proba&quot;` dalam konteks evaluasi model."/>
    <s v="Add a brief example of how to interpret ROC/PR results using the output."/>
    <s v="good"/>
    <b v="0"/>
    <s v="gpt-4o-mini"/>
    <s v="{&quot;prompt_score&quot;: 4, &quot;response_score&quot;: 5, &quot;overall_score&quot;: 4, &quot;prompt_strengths&quot;: &quot;Clear and specific about the method and context.&quot;, &quot;prompt_issues&quot;: &quot;Could provide more context on the purpose of using `predict_proba`.&quot;, &quot;response_strengths&quot;: &quot;Accurate, complete, and clearly explains the output of the method.&quot;, &quot;response_issues&quot;: &quot;None significant; could include a brief example of ROC/PR evaluation.&quot;, &quot;prompt_rewrite&quot;: &quot;Jelaskan penggunaan `cross_val_predict` dengan `method=\&quot;predict_proba\&quot;` dalam konteks evaluasi model.&quot;, &quot;response_improvement_suggestions&quot;: &quot;Add a brief example of how to interpret ROC/PR results using the output.&quot;, &quot;verdict&quot;: &quot;good&quot;, &quot;needs_human_review&quot;: false}"/>
    <s v="ok"/>
    <n v="4"/>
  </r>
  <r>
    <x v="35"/>
    <s v="[MODE:summary]_x000a_sekarang saya sedang kuis mata kuliah machine learning semester 4,cross-entropy digunakan untuk , jawab dengan singkat dan jelas"/>
    <s v="done"/>
    <s v="Cross-entropy digunakan sebagai fungsi loss untuk mengukur seberapa jauh prediksi probabilitas model dari label sebenarnya, terutama pada tugas klasifikasi. Loss ini mendorong model memberi probabilitas tinggi pada kelas yang benar dan rendah pada kelas lain."/>
    <s v="Cross-entropy digunakan sebagai fungsi loss untuk mengukur seberapa jauh prediksi probabilitas model dari label sebenarnya, terutama pada tugas klasifikasi. Loss ini mendorong model memberi probabilitas tinggi pada kelas yang benar dan rendah pada kelas lain."/>
    <d v="2026-04-14T09:34:32"/>
    <x v="3"/>
    <n v="0"/>
    <n v="37"/>
    <n v="69"/>
    <n v="106"/>
    <n v="143"/>
    <n v="259"/>
    <n v="2399"/>
    <n v="4"/>
    <n v="5"/>
    <n v="5"/>
    <s v="Clear and specific request for information."/>
    <s v="Could provide more context about the audience or expected detail level."/>
    <s v="Accurate, clear, and directly addresses the prompt."/>
    <s v="None identified."/>
    <s v="Jelaskan secara singkat dan jelas tentang penggunaan cross-entropy dalam machine learning."/>
    <s v="None needed; response is already strong."/>
    <s v="excellent"/>
    <b v="0"/>
    <s v="gpt-4o-mini"/>
    <s v="{&quot;prompt_score&quot;: 4, &quot;response_score&quot;: 5, &quot;overall_score&quot;: 5, &quot;prompt_strengths&quot;: &quot;Clear and specific request for information.&quot;, &quot;prompt_issues&quot;: &quot;Could provide more context about the audience or expected detail level.&quot;, &quot;response_strengths&quot;: &quot;Accurate, clear, and directly addresses the prompt.&quot;, &quot;response_issues&quot;: &quot;None identified.&quot;, &quot;prompt_rewrite&quot;: &quot;Jelaskan secara singkat dan jelas tentang penggunaan cross-entropy dalam machine learning.&quot;, &quot;response_improvement_suggestions&quot;: &quot;None needed; response is already strong.&quot;, &quot;verdict&quot;: &quot;excellent&quot;, &quot;needs_human_review&quot;: false}"/>
    <s v="ok"/>
    <n v="5"/>
  </r>
  <r>
    <x v="35"/>
    <s v="[MODE:summary_code_explanation]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d v="2026-03-17T12:42:34"/>
    <x v="4"/>
    <n v="0"/>
    <n v="37"/>
    <n v="106"/>
    <n v="143"/>
    <n v="156"/>
    <n v="473"/>
    <n v="3919"/>
    <n v="4"/>
    <n v="5"/>
    <n v="4"/>
    <s v="Clear and specific about the task."/>
    <s v="Could provide more context on the purpose of the classifier."/>
    <s v="Accurate, clear, and complete explanation with code example."/>
    <s v="None noted."/>
    <s v="Jelaskan cara menggunakan RandomForestClassifier dengan random_state=42 dan tujuan penggunaannya."/>
    <s v="Consider adding a brief explanation of when to use RandomForestClassifier."/>
    <s v="good"/>
    <b v="0"/>
    <s v="gpt-4o-mini"/>
    <s v="{&quot;prompt_score&quot;: 4, &quot;response_score&quot;: 5, &quot;overall_score&quot;: 4, &quot;prompt_strengths&quot;: &quot;Clear and specific about the task.&quot;, &quot;prompt_issues&quot;: &quot;Could provide more context on the purpose of the classifier.&quot;, &quot;response_strengths&quot;: &quot;Accurate, clear, and complete explanation with code example.&quot;, &quot;response_issues&quot;: &quot;None noted.&quot;, &quot;prompt_rewrite&quot;: &quot;Jelaskan cara menggunakan RandomForestClassifier dengan random_state=42 dan tujuan penggunaannya.&quot;, &quot;response_improvement_suggestions&quot;: &quot;Consider adding a brief explanation of when to use RandomForestClassifier.&quot;, &quot;verdict&quot;: &quot;good&quot;, &quot;needs_human_review&quot;: false}"/>
    <s v="ok"/>
    <n v="4"/>
  </r>
  <r>
    <x v="35"/>
    <s v="[MODE:code]_x000a_im a forth semester student that learn about machine learning in jupyter notebook. In my second meet, i need to process a data with pipeline, with preprocessing and svr. Help me with the prompt cause its my first time"/>
    <s v="done"/>
    <s v="#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_x000a_# 5) Model + Pipeline (SVR)_x000a_# =========================_x000a_model = SVR(kernel=&quot;rbf&quot;)_x000a__x000a_pipe = Pipeline(steps=[_x000a_    (&quot;preprocess&quot;, preprocessor),_x000a_    (&quot;svr&quot;, model)_x000a_])_x000a__x000a_# =========================_x000a_# 6) Train/test split_x000a_# =========================_x000a_X_train, X_test, y_train, y_test = train_test_split(_x000a_    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    &quot;svr__C&quot;: [1, 10, 100],_x000a_    &quot;svr__epsilon&quot;: [0.01, 0.1, 0.5],_x000a_    &quot;svr__gamma&quot;: [&quot;scale&quot;, &quot;auto&quot;]_x000a_}_x000a__x000a_grid = GridSearchCV(_x000a_    pipe,_x000a_    param_grid=param_grid,_x000a_    cv=5,_x000a_    scoring=&quot;neg_root_mean_squared_error&quot;,_x000a_    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
    <s v="```python_x000a_#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_x000a_# 5) Model + Pipeline (SVR)_x000a_# =========================_x000a_model = SVR(kernel=&quot;rbf&quot;)_x000a__x000a_pipe = Pipeline(steps=[_x000a_    (&quot;preprocess&quot;, preprocessor),_x000a_    (&quot;svr&quot;, model)_x000a_])_x000a__x000a_# =========================_x000a_# 6) Train/test split_x000a_# =========================_x000a_X_train, X_test, y_train, y_test = train_test_split(_x000a_    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    &quot;svr__C&quot;: [1, 10, 100],_x000a_    &quot;svr__epsilon&quot;: [0.01, 0.1, 0.5],_x000a_    &quot;svr__gamma&quot;: [&quot;scale&quot;, &quot;auto&quot;]_x000a_}_x000a__x000a_grid = GridSearchCV(_x000a_    pipe,_x000a_    param_grid=param_grid,_x000a_    cv=5,_x000a_    scoring=&quot;neg_root_mean_squared_error&quot;,_x000a_    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_x000a_```"/>
    <d v="2026-02-24T12:41:37"/>
    <x v="1"/>
    <n v="0"/>
    <n v="50"/>
    <n v="917"/>
    <n v="967"/>
    <n v="229"/>
    <n v="3766"/>
    <n v="4036"/>
    <n v="3"/>
    <n v="5"/>
    <n v="4"/>
    <s v="Identifies the user's level and specific needs."/>
    <s v="Lacks clarity in specific data processing requirements."/>
    <s v="Provides a comprehensive and clear code template for the task."/>
    <s v="Assumes familiarity with certain concepts without explanation."/>
    <s v="I'm a fourth-semester student learning machine learning in Jupyter Notebook. I need help processing data with a pipeline, including preprocessing and using SVR. Can you provide a detailed example?"/>
    <s v="Include explanations for each step in the code to enhance understanding for beginners."/>
    <s v="good"/>
    <b v="0"/>
    <s v="gpt-4o-mini"/>
    <s v="{&quot;prompt_score&quot;: 3, &quot;response_score&quot;: 5, &quot;overall_score&quot;: 4, &quot;prompt_strengths&quot;: &quot;Identifies the user's level and specific needs.&quot;, &quot;prompt_issues&quot;: &quot;Lacks clarity in specific data processing requirements.&quot;, &quot;response_strengths&quot;: &quot;Provides a comprehensive and clear code template for the task.&quot;, &quot;response_issues&quot;: &quot;Assumes familiarity with certain concepts without explanation.&quot;, &quot;prompt_rewrite&quot;: &quot;I'm a fourth-semester student learning machine learning in Jupyter Notebook. I need help processing data with a pipeline, including preprocessing and using SVR. Can you provide a detailed example?&quot;, &quot;response_improvement_suggestions&quot;: &quot;Include explanations for each step in the code to enhance understanding for beginners.&quot;, &quot;verdict&quot;: &quot;good&quot;, &quot;needs_human_review&quot;: false}"/>
    <s v="ok"/>
    <n v="4"/>
  </r>
  <r>
    <x v="36"/>
    <s v="[MODE:code]_x000a_perbaiki coba, itu nomor 4 sengaja dijadiin komentar atau bagaimana ? saya tidak paham, lakukan sesuai yang saya minta"/>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_x000a_# Load dataset_x000a_# =========================_x000a_file_path = &quot;student_exam_performance_dataset (1).csv&quot;_x000a_df = pd.read_csv(file_path)_x000a__x000a_# =========================_x000a_# Targets_x000a_# =========================_x000a_target_reg = &quot;final_exam_score&quot;_x000a_target_clf = &quot;pass_fail&quot;_x000a__x000a_missing_targets = [c for c in [target_reg, target_clf] if c not in df.columns]_x000a_if missing_targets:_x000a_    raise ValueError(f&quot;Kolom target tidak ditemukan: {missing_targets}. Kolom tersedia: {list(df.columns)}&quot;)_x000a__x000a_# =========================_x000a_# Features (relevan): semua kolom selain target_x000a_# =========================_x000a_X = df.drop(columns=[target_reg, target_clf])_x000a_y_reg = df[target_reg]_x000a_y_clf_raw = df[target_clf]_x000a__x000a_# =========================_x000a_# Ubah label klasifikasi ke numerik bila perlu_x000a_# =========================_x000a_def to_numeric_pass_fail(s: pd.Series) -&gt; pd.Series:_x000a_    if pd.api.types.is_numeric_dtype(s):_x000a_        return s.astype(int)_x000a__x000a_    s2 = s.astype(str).str.strip().str.lower()_x000a_    mapped = s2.map({_x000a_        &quot;pass&quot;: 1, &quot;passed&quot;: 1, &quot;lulus&quot;: 1, &quot;ya&quot;: 1, &quot;yes&quot;: 1, &quot;true&quot;: 1, &quot;1&quot;: 1,_x000a_        &quot;fail&quot;: 0, &quot;failed&quot;: 0, &quot;tidak lulus&quot;: 0, &quot;tidak&quot;: 0, &quot;no&quot;: 0, &quot;false&quot;: 0, &quot;0&quot;: 0_x000a_    })_x000a__x000a_    # Jika mapping tidak cocok (banyak NaN), fallback ke factorize_x000a_    if mapped.isna().any():_x000a_        codes, uniques = pd.factorize(s2)_x000a_        # Pastikan biner_x000a_        if len(uniques) != 2:_x000a_            raise ValueError(f&quot;Target '{target_clf}' bukan biner. Nilai unik: {list(uniques)}&quot;)_x000a_        return pd.Series(codes, index=s.index).astype(int)_x000a__x000a_    return mapped.astype(int)_x000a__x000a_y_clf = to_numeric_pass_fail(y_clf_raw)_x000a__x000a_# =========================_x000a_# Split 80:20 (sekali, dipakai untuk regresi &amp; klasifikasi)_x000a_# =========================_x000a_X_train, X_test, y_reg_train, y_reg_test, y_clf_train, y_clf_test = train_test_split(_x000a_    X, y_reg, y_clf, test_size=0.2, random_state=42, stratify=y_clf_x000a_)_x000a__x000a_# =========================_x000a_# Preprocess pipeline (numerik + kategorikal)_x000a_#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REGRESI: latih model untuk prediksi final_exam_score_x000a_# =========================_x000a_reg_model = Pipeline(steps=[_x000a_    (&quot;preprocess&quot;, preprocess),_x000a_    (&quot;model&quot;, LinearRegression()),_x000a_])_x000a__x000a_reg_model.fit(X_train, y_reg_train)_x000a__x000a_# Prediksi regresi (ini yang akan jadi input untuk klasifikasi)_x000a_y_reg_pred_train = reg_model.predict(X_train)_x000a_y_reg_pred_test = reg_model.predict(X_test)_x000a__x000a_# =========================_x000a_# 2) KLASIFIKASI: gunakan hasil prediksi regresi sebagai input_x000a_#    Fitur klasifikasi = [pred_final_exam_score] saja (sesuai instruksi)_x000a_# =========================_x000a_X_train_clf = pd.DataFrame({&quot;pred_final_exam_score&quot;: y_reg_pred_train}, index=X_train.index)_x000a_X_test_clf = pd.DataFrame({&quot;pred_final_exam_score&quot;: y_reg_pred_test}, index=X_test.index)_x000a__x000a_clf_model = LogisticRegression(max_iter=1000)_x000a_clf_model.fit(X_train_clf, y_clf_train)_x000a__x000a_# Output ringkas untuk memastikan semua langkah berjalan_x000a_print(&quot;=== Shapes (80:20 split) ===&quot;)_x000a_print(&quot;X_train:&quot;, X_train.shape, &quot;X_test:&quot;, X_test.shape)_x000a_print(&quot;y_reg_train:&quot;, y_reg_train.shape, &quot;y_reg_test:&quot;, y_reg_test.shape)_x000a_print(&quot;y_clf_train:&quot;, y_clf"/>
    <d v="2026-04-14T10:57:44"/>
    <x v="3"/>
    <n v="0"/>
    <n v="43"/>
    <n v="1025"/>
    <n v="1068"/>
    <n v="130"/>
    <n v="4036"/>
    <n v="49"/>
    <n v="2"/>
    <n v="2"/>
    <n v="2"/>
    <s v="Attempts to seek clarification."/>
    <s v="Lacks clarity and specificity; context is unclear."/>
    <s v="Includes relevant code imports."/>
    <s v="Does not address the prompt; lacks clarity and completeness."/>
    <s v="Can you clarify if number 4 is meant to be a comment? I need specific guidance on what to fix."/>
    <s v="Provide a clear explanation of the code and how it relates to the prompt."/>
    <s v="poor"/>
    <b v="0"/>
    <s v="gpt-4o-mini"/>
    <s v="{&quot;prompt_score&quot;: 2, &quot;response_score&quot;: 2, &quot;overall_score&quot;: 2, &quot;prompt_strengths&quot;: &quot;Attempts to seek clarification.&quot;, &quot;prompt_issues&quot;: &quot;Lacks clarity and specificity; context is unclear.&quot;, &quot;response_strengths&quot;: &quot;Includes relevant code imports.&quot;, &quot;response_issues&quot;: &quot;Does not address the prompt; lacks clarity and completeness.&quot;, &quot;prompt_rewrite&quot;: &quot;Can you clarify if number 4 is meant to be a comment? I need specific guidance on what to fix.&quot;, &quot;response_improvement_suggestions&quot;: &quot;Provide a clear explanation of the code and how it relates to the prompt.&quot;, &quot;verdict&quot;: &quot;poor&quot;, &quot;needs_human_review&quot;: false}"/>
    <s v="ok"/>
    <n v="2"/>
  </r>
  <r>
    <x v="36"/>
    <s v="[MODE:code]_x000a_sekarang saya diminta untuk Gabungkan target y dan yval agar konsisten dengan data latih final. saya harus tuliskan apa di kode ini y_train_final = ..."/>
    <s v="done"/>
    <s v="y_train_final = np.concatenate((y, yval), axis=0)"/>
    <s v="```python_x000a_y_train_final = np.concatenate((y, yval), axis=0)_x000a_```"/>
    <d v="2026-04-07T12:27:58"/>
    <x v="0"/>
    <n v="0"/>
    <n v="44"/>
    <n v="20"/>
    <n v="64"/>
    <n v="163"/>
    <n v="63"/>
    <n v="642"/>
    <n v="3"/>
    <n v="5"/>
    <n v="4"/>
    <s v="Identifies a specific coding task."/>
    <s v="Lacks clarity and context for the variables involved."/>
    <s v="Correct and relevant code for the task."/>
    <s v="Could include a brief explanation of the code."/>
    <s v="Gabungkan target y dan yval menjadi y_train_final untuk konsistensi dengan data latih final. Apa kode yang tepat untuk ini?"/>
    <s v="Add a brief explanation of what the code does."/>
    <s v="good"/>
    <b v="0"/>
    <s v="gpt-4o-mini"/>
    <s v="{&quot;prompt_score&quot;: 3, &quot;response_score&quot;: 5, &quot;overall_score&quot;: 4, &quot;prompt_strengths&quot;: &quot;Identifies a specific coding task.&quot;, &quot;prompt_issues&quot;: &quot;Lacks clarity and context for the variables involved.&quot;, &quot;response_strengths&quot;: &quot;Correct and relevant code for the task.&quot;, &quot;response_issues&quot;: &quot;Could include a brief explanation of the code.&quot;, &quot;prompt_rewrite&quot;: &quot;Gabungkan target y dan yval menjadi y_train_final untuk konsistensi dengan data latih final. Apa kode yang tepat untuk ini?&quot;, &quot;response_improvement_suggestions&quot;: &quot;Add a brief explanation of what the code does.&quot;, &quot;verdict&quot;: &quot;good&quot;, &quot;needs_human_review&quot;: false}"/>
    <s v="ok"/>
    <n v="4"/>
  </r>
  <r>
    <x v="36"/>
    <s v="[MODE:code]_x000a_sekarang terakhir saya diminta untuk Hitung test error model akhir pada X_poly_test dan ytest. Gunakan test set hanya setelah model final selesai dipilih."/>
    <s v="done"/>
    <s v="test_error, _ = linear_reg_cost_function(theta_final, X_poly_test, ytest, 0)"/>
    <s v="```python_x000a_test_error, _ = linear_reg_cost_function(theta_final, X_poly_test, ytest, 0)_x000a_```"/>
    <d v="2026-04-07T12:33:34"/>
    <x v="0"/>
    <n v="0"/>
    <n v="43"/>
    <n v="26"/>
    <n v="69"/>
    <n v="166"/>
    <n v="90"/>
    <n v="714"/>
    <n v="3"/>
    <n v="4"/>
    <n v="3"/>
    <s v="The prompt specifies a clear task related to model evaluation."/>
    <s v="Lacks clarity in terms of expected output format and context."/>
    <s v="The response is relevant and correctly implements the task."/>
    <s v="Could provide more context or explanation for clarity."/>
    <s v="Hitung test error model akhir menggunakan X_poly_test dan ytest setelah model final dipilih. Sertakan format output yang diharapkan."/>
    <s v="Add a brief explanation of the function used and its parameters."/>
    <s v="good"/>
    <b v="0"/>
    <s v="gpt-4o-mini"/>
    <s v="{&quot;prompt_score&quot;: 3, &quot;response_score&quot;: 4, &quot;overall_score&quot;: 3, &quot;prompt_strengths&quot;: &quot;The prompt specifies a clear task related to model evaluation.&quot;, &quot;prompt_issues&quot;: &quot;Lacks clarity in terms of expected output format and context.&quot;, &quot;response_strengths&quot;: &quot;The response is relevant and correctly implements the task.&quot;, &quot;response_issues&quot;: &quot;Could provide more context or explanation for clarity.&quot;, &quot;prompt_rewrite&quot;: &quot;Hitung test error model akhir menggunakan X_poly_test dan ytest setelah model final dipilih. Sertakan format output yang diharapkan.&quot;, &quot;response_improvement_suggestions&quot;: &quot;Add a brief explanation of the function used and its parameters.&quot;, &quot;verdict&quot;: &quot;good&quot;, &quot;needs_human_review&quot;: false}"/>
    <s v="ok"/>
    <n v="4"/>
  </r>
  <r>
    <x v="36"/>
    <s v="[MODE:code]_x000a_saya diminta untuk _x000a_melakukan langkah berikut: _x000a__x000a_Load dataset student_exam_performance_dataset (1).csv. _x000a_Tampilkan 5 baris pertama. _x000a_Tampilkan ukuran dataset (jumlah baris dan kolom). _x000a_Tampilkan tipe data setiap kolom._x000a__x000a_berikan saya codenya"/>
    <s v="done"/>
    <s v="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
    <s v="```python_x000a_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_x000a_```"/>
    <d v="2026-04-14T10:35:34"/>
    <x v="3"/>
    <n v="0"/>
    <n v="71"/>
    <n v="118"/>
    <n v="189"/>
    <n v="252"/>
    <n v="404"/>
    <n v="1622"/>
    <n v="4"/>
    <n v="5"/>
    <n v="5"/>
    <s v="Clear and specific instructions."/>
    <s v="Could specify the programming language explicitly."/>
    <s v="Correct and complete code with clear output statements."/>
    <s v="None."/>
    <s v="Load dataset 'student_exam_performance_dataset (1).csv' using Python. Display the first 5 rows, the size of the dataset, and the data types of each column."/>
    <s v="None needed; the response is already complete."/>
    <s v="excellent"/>
    <b v="0"/>
    <s v="gpt-4o-mini"/>
    <s v="{&quot;prompt_score&quot;: 4, &quot;response_score&quot;: 5, &quot;overall_score&quot;: 5, &quot;prompt_strengths&quot;: &quot;Clear and specific instructions.&quot;, &quot;prompt_issues&quot;: &quot;Could specify the programming language explicitly.&quot;, &quot;response_strengths&quot;: &quot;Correct and complete code with clear output statements.&quot;, &quot;response_issues&quot;: &quot;None.&quot;, &quot;prompt_rewrite&quot;: &quot;Load dataset 'student_exam_performance_dataset (1).csv' using Python. Display the first 5 rows, the size of the dataset, and the data types of each column.&quot;, &quot;response_improvement_suggestions&quot;: &quot;None needed; the response is already complete.&quot;, &quot;verdict&quot;: &quot;excellent&quot;, &quot;needs_human_review&quot;: false}"/>
    <s v="ok"/>
    <n v="5"/>
  </r>
  <r>
    <x v="36"/>
    <s v="[MODE:code]_x000a_sekarang Setelah model dengan best hyperparameter pada train set dilatih, evaluasi model yang sudah dilatih pada test set. ##### Your Code Here ##### tuned_accuracy ="/>
    <s v="done"/>
    <s v="from sklearn.metrics import accuracy_score_x000a__x000a_y_pred = best_knn_clf.predict(X_test)_x000a_tuned_accuracy = accuracy_score(y_test, y_pred)"/>
    <s v="```python_x000a_from sklearn.metrics import accuracy_score_x000a__x000a_y_pred = best_knn_clf.predict(X_test)_x000a_tuned_accuracy = accuracy_score(y_test, y_pred)_x000a_```"/>
    <d v="2026-03-17T12:58:59"/>
    <x v="4"/>
    <n v="0"/>
    <n v="42"/>
    <n v="35"/>
    <n v="77"/>
    <n v="178"/>
    <n v="143"/>
    <n v="2709"/>
    <n v="3"/>
    <n v="4"/>
    <n v="3"/>
    <s v="Directly asks for model evaluation code."/>
    <s v="Lacks clarity and context for the model and hyperparameters."/>
    <s v="Correctly implements model evaluation using accuracy score."/>
    <s v="Missing import statement for 'best_knn_clf' and 'X_test', 'y_test' context."/>
    <s v="Setelah melatih model dengan hyperparameter terbaik, evaluasi model tersebut pada test set dengan kode berikut: ##### Your Code Here #####"/>
    <s v="Include necessary imports and context for 'best_knn_clf', 'X_test', and 'y_test'."/>
    <s v="good"/>
    <b v="0"/>
    <s v="gpt-4o-mini"/>
    <s v="{&quot;prompt_score&quot;: 3, &quot;response_score&quot;: 4, &quot;overall_score&quot;: 3, &quot;prompt_strengths&quot;: &quot;Directly asks for model evaluation code.&quot;, &quot;prompt_issues&quot;: &quot;Lacks clarity and context for the model and hyperparameters.&quot;, &quot;response_strengths&quot;: &quot;Correctly implements model evaluation using accuracy score.&quot;, &quot;response_issues&quot;: &quot;Missing import statement for 'best_knn_clf' and 'X_test', 'y_test' context.&quot;, &quot;prompt_rewrite&quot;: &quot;Setelah melatih model dengan hyperparameter terbaik, evaluasi model tersebut pada test set dengan kode berikut: ##### Your Code Here #####&quot;, &quot;response_improvement_suggestions&quot;: &quot;Include necessary imports and context for 'best_knn_clf', 'X_test', and 'y_test'.&quot;, &quot;verdict&quot;: &quot;good&quot;, &quot;needs_human_review&quot;: false}"/>
    <s v="ok"/>
    <n v="4"/>
  </r>
  <r>
    <x v="36"/>
    <s v="[MODE:code]_x000a_ini malah error_x000a__x000a_filename = 'diabetes.csv'_x000a_dataframe = read_csv(filename, names=names)_x000a__x000a_ini pesan errornya_x000a__x000a_---------------------------------------------------------------------------_x000a_NameError                                 Traceback (most recent call last)_x000a_Cell In[4], line 2_x000a_      1 filename = 'diabetes.csv'_x000a_----&gt; 2 dataframe = read_csv(filename, names=names)_x000a__x000a_NameError: name 'names' is not defined"/>
    <s v="done"/>
    <s v="import pandas as pd_x000a__x000a_filename = &quot;pima-indians-diabetes.data.csv&quot;_x000a__x000a_names = [_x000a_    &quot;preg&quot;, &quot;plas&quot;, &quot;pres&quot;, &quot;skin&quot;, &quot;test&quot;, &quot;mass&quot;, &quot;pedi&quot;, &quot;age&quot;, &quot;class&quot;_x000a_]_x000a__x000a_dataframe = pd.read_csv(filename, names=names)"/>
    <s v="```python_x000a_import pandas as pd_x000a__x000a_filename = &quot;pima-indians-diabetes.data.csv&quot;_x000a__x000a_names = [_x000a_    &quot;preg&quot;, &quot;plas&quot;, &quot;pres&quot;, &quot;skin&quot;, &quot;test&quot;, &quot;mass&quot;, &quot;pedi&quot;, &quot;age&quot;, &quot;class&quot;_x000a_]_x000a__x000a_dataframe = pd.read_csv(filename, names=names)_x000a_```"/>
    <d v="2026-03-10T11:48:27"/>
    <x v="2"/>
    <n v="0"/>
    <n v="90"/>
    <n v="67"/>
    <n v="157"/>
    <n v="416"/>
    <n v="214"/>
    <n v="2913"/>
    <n v="3"/>
    <n v="4"/>
    <n v="3"/>
    <s v="Identifies a specific error in code."/>
    <s v="Lacks clarity on the context and expected outcome."/>
    <s v="Provides a correct and complete solution."/>
    <s v="Could include more explanation of the solution."/>
    <s v="What is causing the NameError in this code snippet: filename = 'diabetes.csv' dataframe = read_csv(filename, names=names)?"/>
    <s v="Add a brief explanation of why the error occurs and how the solution resolves it."/>
    <s v="good"/>
    <b v="0"/>
    <s v="gpt-4o-mini"/>
    <s v="{&quot;prompt_score&quot;: 3, &quot;response_score&quot;: 4, &quot;overall_score&quot;: 3, &quot;prompt_strengths&quot;: &quot;Identifies a specific error in code.&quot;, &quot;prompt_issues&quot;: &quot;Lacks clarity on the context and expected outcome.&quot;, &quot;response_strengths&quot;: &quot;Provides a correct and complete solution.&quot;, &quot;response_issues&quot;: &quot;Could include more explanation of the solution.&quot;, &quot;prompt_rewrite&quot;: &quot;What is causing the NameError in this code snippet: filename = 'diabetes.csv' dataframe = read_csv(filename, names=names)?&quot;, &quot;response_improvement_suggestions&quot;: &quot;Add a brief explanation of why the error occurs and how the solution resolves it.&quot;, &quot;verdict&quot;: &quot;good&quot;, &quot;needs_human_review&quot;: false}"/>
    <s v="ok"/>
    <n v="4"/>
  </r>
  <r>
    <x v="36"/>
    <s v="[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_x000a_# Load dataset_x000a_# =========================_x000a_file_path = &quot;student_exam_performance_dataset (1).csv&quot;_x000a_df = pd.read_csv(file_path)_x000a__x000a_# =========================_x000a_# Targets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_x000a_# Feature selection (relevan)_x000a_# - Hindari leakage: buang target regresi &amp; target klasifikasi dari fitur_x000a_# =========================_x000a_feature_cols = [c for c in df.columns if c not in [target_reg, target_clf]]_x000a__x000a_X = df[feature_cols].copy()_x000a_y_reg = df[target_reg].copy()_x000a_y_clf_raw = df[target_clf].copy()_x000a__x000a_# =========================_x000a_# Encode classification label to numeric if needed_x000a_# =========================_x000a_if pd.api.types.is_numeric_dtype(y_clf_raw):_x000a_    y_clf = y_clf_raw.astype(int)_x000a_else:_x000a_    # Map common labels; fallback to factorize_x000a_    s = y_clf_raw.astype(str).str.strip().str.lower()_x000a_    common_map = {_x000a_        &quot;pass&quot;: 1, &quot;passed&quot;: 1, &quot;yes&quot;: 1, &quot;y&quot;: 1, &quot;true&quot;: 1, &quot;1&quot;: 1,_x000a_        &quot;fail&quot;: 0, &quot;failed&quot;: 0, &quot;no&quot;: 0, &quot;n&quot;: 0, &quot;false&quot;: 0, &quot;0&quot;: 0_x000a_    }_x000a_    mapped = s.map(common_map)_x000a_    if mapped.isna().any():_x000a_        y_clf, uniques = pd.factorize(y_clf_raw)_x000a_        print(&quot;Label 'pass_fail' tidak cocok dengan mapping umum. Menggunakan factorize.&quot;)_x000a_        print(&quot;Mapping factorize:&quot;, {i: v for i, v in enumerate(uniques)})_x000a_    else:_x000a_        y_clf = mapped.astype(int)_x000a__x000a_# =========================_x000a_# Train-test split 80:20 (gunakan split yang sama untuk regresi &amp; klasifikasi)_x000a_# =========================_x000a_X_train, X_test, y_reg_train, y_reg_test, y_clf_train, y_clf_test = train_test_split(_x000a_    X, y_reg, y_clf, test_size=0.2, random_state=42_x000a_)_x000a__x000a_# =========================_x000a_# Preprocessing (numeric + categorical)_x000a_# =========================_x000a_numeric_features = X_train.select_dtypes(include=[np.number]).columns.tolist()_x000a_categorical_features = [c for c in X_train.columns if c not in numeric_feature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REGRESSION: target = final_exam_score_x000a_# =========================_x000a_reg_model = Pipeline(steps=[_x000a_    (&quot;preprocess&quot;, preprocess),_x000a_    (&quot;model&quot;, LinearRegression())_x000a_])_x000a__x000a_reg_model.fit(X_train, y_reg_train)_x000a__x000a_# Prediksi regresi (dipakai sebagai input untuk klasifikasi)_x000a_y_reg_pred_train = reg_model.predict(X_train)_x000a_y_reg_pred_test = reg_model.predict(X_test)_x000a__x000a_# =========================_x000a_# CLASSIFICATION: target = pass_fail_x000a_# Gunakan hasil prediksi regresi sebagai input fitur tambahan_x000a_# =========================_x000a_# Fitur klasifikasi = [prediksi_regresi] saja (sesuai instruksi),_x000a_# atau bisa ditambah fitur lain jika diizinkan. Di sini: hanya prediksi regresi._x000a_X_clf_train = pd.DataFrame({&quot;pred_final_exam_score&quot;: y_reg_pred_train})_x000a_X_clf_test = pd.DataFrame({&quot;pred_final_exam_score&quot;: y_reg_pred_test})_x000a__x000a_clf_model = LogisticRegression(max_iter=1000)_x000a_clf_model.fit(X_clf_train, y_clf_train)_x000a__x000a_# =========================_x000a_# Output ringkas: ukuran split &amp; contoh_x000a_# =========================_x000a_print(&quot;=== Split 80:20 ===&quot;)_x000a_print(&quot;X_train:&quot;, X_train.shape, &quot;X_test:&quot;, X_test.shape)_x000a_print(&quot;y_reg_train:&quot;, y_reg_train.shape,"/>
    <d v="2026-04-14T10:40:10"/>
    <x v="3"/>
    <n v="0"/>
    <n v="122"/>
    <n v="1030"/>
    <n v="1152"/>
    <n v="414"/>
    <n v="4157"/>
    <n v="3437"/>
    <n v="4"/>
    <n v="3"/>
    <n v="3"/>
    <s v="Clear task instructions and structure."/>
    <s v="Lacks specific details on feature selection."/>
    <s v="Includes relevant libraries for regression and classification."/>
    <s v="Incomplete implementation; lacks data processing and model fitting."/>
    <s v="Tugas Regresi: Tentukan target regresi: final_exam_score dan pilih fitur yang relevan. Tugas Klasifikasi: Tentukan target klasifikasi: pass_fail, ubah label target menjadi format numerik, dan gunakan hasil prediksi dari model regresi sebagai input untuk klasifikasi. Bagi data menjadi data latih dan uji dengan rasio 80:20, sertakan contoh fitur yang relevan."/>
    <s v="Provide a complete code example including data loading, preprocessing, model fitting, and evaluation."/>
    <s v="fair"/>
    <b v="0"/>
    <s v="gpt-4o-mini"/>
    <s v="{&quot;prompt_score&quot;: 4, &quot;response_score&quot;: 3, &quot;overall_score&quot;: 3, &quot;prompt_strengths&quot;: &quot;Clear task instructions and structure.&quot;, &quot;prompt_issues&quot;: &quot;Lacks specific details on feature selection.&quot;, &quot;response_strengths&quot;: &quot;Includes relevant libraries for regression and classification.&quot;, &quot;response_issues&quot;: &quot;Incomplete implementation; lacks data processing and model fitting.&quot;, &quot;prompt_rewrite&quot;: &quot;Tugas Regresi: Tentukan target regresi: final_exam_score dan pilih fitur yang relevan. Tugas Klasifikasi: Tentukan target klasifikasi: pass_fail, ubah label target menjadi format numerik, dan gunakan hasil prediksi dari model regresi sebagai input untuk klasifikasi. Bagi data menjadi data latih dan uji dengan rasio 80:20, sertakan contoh fitur yang relevan.&quot;, &quot;response_improvement_suggestions&quot;: &quot;Provide a complete code example including data loading, preprocessing, model fitting, and evaluation.&quot;, &quot;verdict&quot;: &quot;fair&quot;, &quot;needs_human_review&quot;: false}"/>
    <s v="ok"/>
    <n v="3"/>
  </r>
  <r>
    <x v="36"/>
    <s v="[MODE:code]_x000a_saya ingin insight per diagram grafiknya saja, intinya saja beritahu ke saya apa yang harus saya jelaskan per diagram grafiknya"/>
    <s v="done"/>
    <s v="insight_per_grafik = {_x000a_    &quot;Scatter: Age vs Charges&quot;: [_x000a_        &quot;Tren naik: semakin tua usia, umumnya charges semakin tinggi.&quot;,_x000a_        &quot;Sebaran charges makin lebar di usia lebih tua (variabilitas biaya meningkat).&quot;,_x000a_        &quot;Ada beberapa outlier (biaya sangat tinggi) yang bisa dijelaskan oleh faktor lain seperti perokok/penyakit/BMI.&quot;_x000a_    ],_x000a_    &quot;Scatter: BMI vs Charges&quot;: [_x000a_        &quot;Hubungan BMI ke charges cenderung positif, tapi tidak sekuat usia (titik lebih menyebar).&quot;,_x000a_        &quot;Pada BMI tinggi, muncul lebih banyak charges tinggi dan sebarannya makin lebar.&quot;,_x000a_        &quot;Outlier charges tinggi pada BMI tertentu mengindikasikan ada faktor lain yang memperkuat (mis. perokok).&quot;_x000a_    ],_x000a_    &quot;Scatter: BMI vs Charges (hue=smoker)&quot;: [_x000a_        &quot;Pemisahan jelas: perokok berada pada charges jauh lebih tinggi dibanding non-perokok.&quot;,_x000a_        &quot;Untuk non-perokok, kenaikan BMI tidak terlalu menaikkan charges secara drastis.&quot;,_x000a_        &quot;Untuk perokok, BMI tinggi sering diikuti charges yang jauh lebih tinggi (efek gabungan BMI + merokok).&quot;_x000a_    ]_x000a_}_x000a__x000a_for judul, poin in insight_per_grafik.items():_x000a_    print(judul)_x000a_    for p in poin:_x000a_        print(f&quot;- {p}&quot;)_x000a_    print()"/>
    <s v="```python_x000a_insight_per_grafik = {_x000a_    &quot;Scatter: Age vs Charges&quot;: [_x000a_        &quot;Tren naik: semakin tua usia, umumnya charges semakin tinggi.&quot;,_x000a_        &quot;Sebaran charges makin lebar di usia lebih tua (variabilitas biaya meningkat).&quot;,_x000a_        &quot;Ada beberapa outlier (biaya sangat tinggi) yang bisa dijelaskan oleh faktor lain seperti perokok/penyakit/BMI.&quot;_x000a_    ],_x000a_    &quot;Scatter: BMI vs Charges&quot;: [_x000a_        &quot;Hubungan BMI ke charges cenderung positif, tapi tidak sekuat usia (titik lebih menyebar).&quot;,_x000a_        &quot;Pada BMI tinggi, muncul lebih banyak charges tinggi dan sebarannya makin lebar.&quot;,_x000a_        &quot;Outlier charges tinggi pada BMI tertentu mengindikasikan ada faktor lain yang memperkuat (mis. perokok).&quot;_x000a_    ],_x000a_    &quot;Scatter: BMI vs Charges (hue=smoker)&quot;: [_x000a_        &quot;Pemisahan jelas: perokok berada pada charges jauh lebih tinggi dibanding non-perokok.&quot;,_x000a_        &quot;Untuk non-perokok, kenaikan BMI tidak terlalu menaikkan charges secara drastis.&quot;,_x000a_        &quot;Untuk perokok, BMI tinggi sering diikuti charges yang jauh lebih tinggi (efek gabungan BMI + merokok).&quot;_x000a_    ]_x000a_}_x000a__x000a_for judul, poin in insight_per_grafik.items():_x000a_    print(judul)_x000a_    for p in poin:_x000a_        print(f&quot;- {p}&quot;)_x000a_    print()_x000a_```"/>
    <d v="2026-03-03T12:20:33"/>
    <x v="6"/>
    <n v="0"/>
    <n v="35"/>
    <n v="351"/>
    <n v="386"/>
    <n v="139"/>
    <n v="1180"/>
    <n v="3453"/>
    <n v="4"/>
    <n v="5"/>
    <n v="5"/>
    <s v="Clear request for insights on graphs."/>
    <s v="Could specify which diagrams or data are being referenced."/>
    <s v="Provides detailed insights for multiple graphs, clear and actionable."/>
    <s v="None significant; all insights are relevant and well-explained."/>
    <s v="Berikan insight singkat untuk setiap diagram grafik yang ada, termasuk apa yang perlu saya jelaskan."/>
    <s v="Consider adding a summary or conclusion for the insights provided."/>
    <s v="excellent"/>
    <b v="0"/>
    <s v="gpt-4o-mini"/>
    <s v="{&quot;prompt_score&quot;: 4, &quot;response_score&quot;: 5, &quot;overall_score&quot;: 5, &quot;prompt_strengths&quot;: &quot;Clear request for insights on graphs.&quot;, &quot;prompt_issues&quot;: &quot;Could specify which diagrams or data are being referenced.&quot;, &quot;response_strengths&quot;: &quot;Provides detailed insights for multiple graphs, clear and actionable.&quot;, &quot;response_issues&quot;: &quot;None significant; all insights are relevant and well-explained.&quot;, &quot;prompt_rewrite&quot;: &quot;Berikan insight singkat untuk setiap diagram grafik yang ada, termasuk apa yang perlu saya jelaskan.&quot;, &quot;response_improvement_suggestions&quot;: &quot;Consider adding a summary or conclusion for the insights provided.&quot;, &quot;verdict&quot;: &quot;excellent&quot;, &quot;needs_human_review&quot;: false}"/>
    <s v="ok"/>
    <n v="5"/>
  </r>
  <r>
    <x v="36"/>
    <s v="[MODE:code]_x000a_sekarang saya diminta untuk_x000a_Cobalah hitung  F1 score dari classifier Anda._x000a_Seharusnya nilai F1 score &gt;61%"/>
    <s v="done"/>
    <s v="from sklearn.metrics import f1_score_x000a__x000a_##### Your Code Here #####_x000a_f1 = f1_score(y, y_pred)_x000a_print(&quot;F1 Score:&quot;, f1)"/>
    <s v="```python_x000a_from sklearn.metrics import f1_score_x000a__x000a_##### Your Code Here #####_x000a_f1 = f1_score(y, y_pred)_x000a_print(&quot;F1 Score:&quot;, f1)_x000a_```"/>
    <d v="2026-03-17T12:20:41"/>
    <x v="4"/>
    <n v="0"/>
    <n v="37"/>
    <n v="38"/>
    <n v="75"/>
    <n v="117"/>
    <n v="126"/>
    <n v="3569"/>
    <n v="3"/>
    <n v="4"/>
    <n v="3"/>
    <s v="Directly asks for F1 score calculation."/>
    <s v="Lacks clarity in context and specific details about the classifier."/>
    <s v="Provides relevant code for calculating F1 score."/>
    <s v="Incomplete code; lacks context for 'y' and 'y_pred'."/>
    <s v="Hitung F1 score dari classifier Anda dan pastikan nilainya lebih dari 61%. Berikan detail tentang classifier yang digunakan."/>
    <s v="Include definitions or examples for 'y' and 'y_pred' to ensure completeness."/>
    <s v="fair"/>
    <b v="0"/>
    <s v="gpt-4o-mini"/>
    <s v="{&quot;prompt_score&quot;: 3, &quot;response_score&quot;: 4, &quot;overall_score&quot;: 3, &quot;prompt_strengths&quot;: &quot;Directly asks for F1 score calculation.&quot;, &quot;prompt_issues&quot;: &quot;Lacks clarity in context and specific details about the classifier.&quot;, &quot;response_strengths&quot;: &quot;Provides relevant code for calculating F1 score.&quot;, &quot;response_issues&quot;: &quot;Incomplete code; lacks context for 'y' and 'y_pred'.&quot;, &quot;prompt_rewrite&quot;: &quot;Hitung F1 score dari classifier Anda dan pastikan nilainya lebih dari 61%. Berikan detail tentang classifier yang digunakan.&quot;, &quot;response_improvement_suggestions&quot;: &quot;Include definitions or examples for 'y' and 'y_pred' to ensure completeness.&quot;, &quot;verdict&quot;: &quot;fair&quot;, &quot;needs_human_review&quot;: false}"/>
    <s v="ok"/>
    <n v="3"/>
  </r>
  <r>
    <x v="36"/>
    <s v="[MODE:code]_x000a_Apa fungsi df.isnull().sum()?_x000a_*_x000a_Menghitung missing value tiap kolom_x000a_Menghapus dataset_x000a_Menghapus missing value_x000a_Menghitung fitur"/>
    <s v="done"/>
    <s v="Menghitung missing value tiap kolom"/>
    <s v="```text_x000a_Menghitung missing value tiap kolom_x000a_```"/>
    <d v="2026-03-10T09:43:24"/>
    <x v="2"/>
    <n v="0"/>
    <n v="45"/>
    <n v="15"/>
    <n v="60"/>
    <n v="138"/>
    <n v="47"/>
    <n v="3776"/>
    <n v="4"/>
    <n v="5"/>
    <n v="4"/>
    <s v="Clear and specific question about a function."/>
    <s v="Could provide more context about the dataset or usage."/>
    <s v="Directly answers the question correctly."/>
    <s v="Could elaborate on the function's significance."/>
    <s v="[MODE:code] Apa fungsi df.isnull().sum() dalam konteks analisis data? * Menghitung missing value tiap kolom Menghapus dataset Menghapus missing value Menghitung fitur"/>
    <s v="Add a brief explanation of why counting missing values is important."/>
    <s v="good"/>
    <b v="0"/>
    <s v="gpt-4o-mini"/>
    <s v="{&quot;prompt_score&quot;: 4, &quot;response_score&quot;: 5, &quot;overall_score&quot;: 4, &quot;prompt_strengths&quot;: &quot;Clear and specific question about a function.&quot;, &quot;prompt_issues&quot;: &quot;Could provide more context about the dataset or usage.&quot;, &quot;response_strengths&quot;: &quot;Directly answers the question correctly.&quot;, &quot;response_issues&quot;: &quot;Could elaborate on the function's significance.&quot;, &quot;prompt_rewrite&quot;: &quot;[MODE:code] Apa fungsi df.isnull().sum() dalam konteks analisis data? * Menghitung missing value tiap kolom Menghapus dataset Menghapus missing value Menghitung fitur&quot;, &quot;response_improvement_suggestions&quot;: &quot;Add a brief explanation of why counting missing values is important.&quot;, &quot;verdict&quot;: &quot;good&quot;, &quot;needs_human_review&quot;: false}"/>
    <s v="ok"/>
    <n v="4"/>
  </r>
  <r>
    <x v="36"/>
    <s v="[MODE:code]_x000a_errornya tuh gini tadi pas saya run kode programnya_x000a__x000a_---------------------------------------------------------------------------_x000a_FileNotFoundError                         Traceback (most recent call last)_x000a_/usr/local/lib/python3.12/dist-packages/scipy/io/matlab/_mio.py in _open_file(file_like, appendmat, mode)_x000a_     38     try:_x000a_---&gt; 39         return open(file_like, mode), True_x000a_     40     except OSError as e:_x000a__x000a_FileNotFoundError: [Errno 2] No such file or directory: 'ex5data1.mat'_x000a__x000a_During handling of the above exception, another exception occurred:_x000a__x000a_FileNotFoundError                         Traceback (most recent call last)_x000a_4 frames_x000a_/usr/local/lib/python3.12/dist-packages/scipy/io/matlab/_mio.py in _open_file(file_like, appendmat, mode)_x000a_     43             if appendmat and not file_like.endswith('.mat'):_x000a_     44                 file_like += '.mat'_x000a_---&gt; 45             return open(file_like, mode), True_x000a_     46         else:_x000a_     47             raise OSError(_x000a__x000a_FileNotFoundError: [Errno 2] No such file or directory: 'ex5data1.mat'_x000a__x000a__x000a__x000a_jadi apa yang harus saya tulis agar si file ex5data1.mat saya dapat di impor dan dibaca oleh kode saya"/>
    <s v="done"/>
    <s v="#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    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
    <s v="```python_x000a_#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    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_x000a_```"/>
    <d v="2026-04-07T12:12:31"/>
    <x v="0"/>
    <n v="0"/>
    <n v="269"/>
    <n v="450"/>
    <n v="719"/>
    <n v="1159"/>
    <n v="1559"/>
    <n v="4232"/>
    <n v="4"/>
    <n v="5"/>
    <n v="5"/>
    <s v="The prompt clearly describes the error encountered and provides context for the issue."/>
    <s v="Could benefit from specifying the environment (e.g., Google Colab) for better context."/>
    <s v="The response is relevant, correct, and provides a complete solution with clear steps."/>
    <s v="None noted; the response is thorough and actionable."/>
    <s v="Saya mengalami FileNotFoundError saat menjalankan kode di Google Colab. Bagaimana cara memastikan file 'ex5data1.mat' dapat diimpor dan dibaca?"/>
    <s v="Consider adding a brief explanation of each step for better understanding."/>
    <s v="excellent"/>
    <b v="0"/>
    <s v="gpt-4o-mini"/>
    <s v="{&quot;prompt_score&quot;: 4, &quot;response_score&quot;: 5, &quot;overall_score&quot;: 5, &quot;prompt_strengths&quot;: &quot;The prompt clearly describes the error encountered and provides context for the issue.&quot;, &quot;prompt_issues&quot;: &quot;Could benefit from specifying the environment (e.g., Google Colab) for better context.&quot;, &quot;response_strengths&quot;: &quot;The response is relevant, correct, and provides a complete solution with clear steps.&quot;, &quot;response_issues&quot;: &quot;None noted; the response is thorough and actionable.&quot;, &quot;prompt_rewrite&quot;: &quot;Saya mengalami FileNotFoundError saat menjalankan kode di Google Colab. Bagaimana cara memastikan file 'ex5data1.mat' dapat diimpor dan dibaca?&quot;, &quot;response_improvement_suggestions&quot;: &quot;Consider adding a brief explanation of each step for better understanding.&quot;, &quot;verdict&quot;: &quot;excellent&quot;, &quot;needs_human_review&quot;: false}"/>
    <s v="ok"/>
    <n v="5"/>
  </r>
  <r>
    <x v="36"/>
    <s v="[MODE:code]_x000a_sekarang saya diminta untuk mengecek akurasi Silakan Anda tampilkan accuracy baseline ini. Accuracy baseline harusnya 96% jika benar"/>
    <s v="done"/>
    <s v="from sklearn.metrics import accuracy_score_x000a__x000a_y_pred = knn_clf.predict(X_test)_x000a_baseline_accuracy = accuracy_score(y_test, y_pred)_x000a__x000a_print(f&quot;Baseline accuracy: {baseline_accuracy:.2%}&quot;)"/>
    <s v="```python_x000a_from sklearn.metrics import accuracy_score_x000a__x000a_y_pred = knn_clf.predict(X_test)_x000a_baseline_accuracy = accuracy_score(y_test, y_pred)_x000a__x000a_print(f&quot;Baseline accuracy: {baseline_accuracy:.2%}&quot;)_x000a_```"/>
    <d v="2026-03-17T12:46:21"/>
    <x v="4"/>
    <n v="0"/>
    <n v="37"/>
    <n v="46"/>
    <n v="83"/>
    <n v="144"/>
    <n v="195"/>
    <n v="4389"/>
    <n v="3"/>
    <n v="4"/>
    <n v="3"/>
    <s v="The prompt specifies a task related to accuracy and provides a target value."/>
    <s v="Lacks clarity in the request and context for the accuracy baseline."/>
    <s v="The response provides relevant code for calculating accuracy."/>
    <s v="Missing context on how to define 'knn_clf', 'X_test', and 'y_test'."/>
    <s v="Tolong tampilkan kode untuk menghitung baseline accuracy yang seharusnya 96% menggunakan model KNN."/>
    <s v="Include definitions or examples for 'knn_clf', 'X_test', and 'y_test'."/>
    <s v="fair"/>
    <b v="0"/>
    <s v="gpt-4o-mini"/>
    <s v="{&quot;prompt_score&quot;: 3, &quot;response_score&quot;: 4, &quot;overall_score&quot;: 3, &quot;prompt_strengths&quot;: &quot;The prompt specifies a task related to accuracy and provides a target value.&quot;, &quot;prompt_issues&quot;: &quot;Lacks clarity in the request and context for the accuracy baseline.&quot;, &quot;response_strengths&quot;: &quot;The response provides relevant code for calculating accuracy.&quot;, &quot;response_issues&quot;: &quot;Missing context on how to define 'knn_clf', 'X_test', and 'y_test'.&quot;, &quot;prompt_rewrite&quot;: &quot;Tolong tampilkan kode untuk menghitung baseline accuracy yang seharusnya 96% menggunakan model KNN.&quot;, &quot;response_improvement_suggestions&quot;: &quot;Include definitions or examples for 'knn_clf', 'X_test', and 'y_test'.&quot;, &quot;verdict&quot;: &quot;fair&quot;, &quot;needs_human_review&quot;: false}"/>
    <s v="ok"/>
    <n v="3"/>
  </r>
  <r>
    <x v="37"/>
    <s v="[MODE:code]_x000a_berikan codingan cara untuk load dataset insurance.csv. file insurance.csv saya berisi age,sex,bmi,children,smoker,region,charges"/>
    <s v="done"/>
    <s v="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
    <s v="```python_x000a_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_x000a_```"/>
    <d v="2026-03-03T12:00:43"/>
    <x v="6"/>
    <n v="0"/>
    <n v="36"/>
    <n v="117"/>
    <n v="153"/>
    <n v="141"/>
    <n v="406"/>
    <n v="805"/>
    <n v="4"/>
    <n v="5"/>
    <n v="4"/>
    <s v="Clear request for coding assistance with specific dataset details."/>
    <s v="Could specify the programming language for clarity."/>
    <s v="Correct and complete code for loading and checking the dataset."/>
    <s v="None identified; response is clear and helpful."/>
    <s v="Berikan codingan dalam Python untuk load dataset insurance.csv yang berisi age, sex, bmi, children, smoker, region, charges."/>
    <s v="Consider adding comments explaining each step for beginners."/>
    <s v="good"/>
    <b v="0"/>
    <s v="gpt-4o-mini"/>
    <s v="{&quot;prompt_score&quot;: 4, &quot;response_score&quot;: 5, &quot;overall_score&quot;: 4, &quot;prompt_strengths&quot;: &quot;Clear request for coding assistance with specific dataset details.&quot;, &quot;prompt_issues&quot;: &quot;Could specify the programming language for clarity.&quot;, &quot;response_strengths&quot;: &quot;Correct and complete code for loading and checking the dataset.&quot;, &quot;response_issues&quot;: &quot;None identified; response is clear and helpful.&quot;, &quot;prompt_rewrite&quot;: &quot;Berikan codingan dalam Python untuk load dataset insurance.csv yang berisi age, sex, bmi, children, smoker, region, charges.&quot;, &quot;response_improvement_suggestions&quot;: &quot;Consider adding comments explaining each step for beginners.&quot;, &quot;verdict&quot;: &quot;good&quot;, &quot;needs_human_review&quot;: false}"/>
    <s v="ok"/>
    <n v="4"/>
  </r>
  <r>
    <x v="37"/>
    <s v="[MODE:code]_x000a_tolong jelaskan Mengapa feature scaling penting ketika fitur punya skala berbeda jauh dan jelaskan apa itu feature scaling?"/>
    <s v="done"/>
    <s v="def explain_feature_scaling():_x000a_    return (_x000a_        &quot;Feature scaling adalah proses mengubah skala tiap fitur (kolom) agar berada pada rentang/ukuran yang sebanding, &quot;_x000a_        &quot;tanpa mengubah makna relatif datanya. Tujuannya supaya satu fitur tidak 'mendominasi' hanya karena satuannya lebih besar.\n\n&quot;_x000a_        &quot;Contoh: fitur 'luas rumah' (0–300) dan 'jumlah kamar' (1–5). Tanpa scaling, perubahan kecil pada luas bisa menghasilkan &quot;_x000a_        &quot;nilai numerik jauh lebih besar dibanding perubahan pada jumlah kamar, sehingga algoritma yang sensitif terhadap skala &quot;_x000a_        &quot;akan lebih banyak 'memperhatikan' luas.\n\n&quot;_x000a_        &quot;Mengapa penting ketika skala fitur berbeda jauh:\n&quot;_x000a_        &quot;1) Gradient Descent jadi lambat/ sulit konvergen:\n&quot;_x000a_        &quot;   - Pada regresi linear dengan gradient descent, cost function membentuk kontur seperti elips memanjang jika skala fitur &quot;_x000a_        &quot;     sangat berbeda. Akibatnya langkah update parameter akan 'zig-zag' dan butuh iterasi lebih banyak.\n&quot;_x000a_        &quot;   - Dengan scaling, kontur lebih 'bulat' sehingga update lebih stabil dan cepat menuju minimum.\n\n&quot;_x000a_        &quot;2) Pemilihan learning rate (eta) jadi lebih mudah:\n&quot;_x000a_        &quot;   - Tanpa scaling, eta yang aman untuk fitur berskala besar bisa terlalu kecil untuk fitur berskala kecil (lambat), &quot;_x000a_        &quot;     atau eta yang cukup untuk fitur kecil bisa membuat divergen karena fitur besar.\n\n&quot;_x000a_        &quot;3) Algoritma berbasis jarak/kemiripan jadi adil:\n&quot;_x000a_        &quot;   - KNN, K-Means, SVM (tertentu), PCA, dan metode lain yang memakai jarak/variansi akan bias ke fitur dengan skala besar &quot;_x000a_        &quot;     jika tidak diskalakan.\n\n&quot;_x000a_        &quot;Metode scaling yang umum:\n&quot;_x000a_        &quot;A) Standardization (Z-score): x_scaled = (x - mu) / sigma\n&quot;_x000a_        &quot;   - Membuat fitur ber-mean 0 dan standar deviasi 1.\n&quot;_x000a_        &quot;B) Min-Max scaling: x_scaled = (x - min) / (max - min)\n&quot;_x000a_        &quot;   - Memetakan fitur ke rentang [0, 1] (atau rentang lain).\n\n&quot;_x000a_        &quot;Catatan praktik penting:\n&quot;_x000a_        &quot;- Hitung parameter scaling (mu, sigma / min, max) hanya dari data training, lalu terapkan ke validation/test &quot;_x000a_        &quot;  agar tidak terjadi data leakage.&quot;_x000a_    )"/>
    <s v="```python_x000a_def explain_feature_scaling():_x000a_    return (_x000a_        &quot;Feature scaling adalah proses mengubah skala tiap fitur (kolom) agar berada pada rentang/ukuran yang sebanding, &quot;_x000a_        &quot;tanpa mengubah makna relatif datanya. Tujuannya supaya satu fitur tidak 'mendominasi' hanya karena satuannya lebih besar.\n\n&quot;_x000a_        &quot;Contoh: fitur 'luas rumah' (0–300) dan 'jumlah kamar' (1–5). Tanpa scaling, perubahan kecil pada luas bisa menghasilkan &quot;_x000a_        &quot;nilai numerik jauh lebih besar dibanding perubahan pada jumlah kamar, sehingga algoritma yang sensitif terhadap skala &quot;_x000a_        &quot;akan lebih banyak 'memperhatikan' luas.\n\n&quot;_x000a_        &quot;Mengapa penting ketika skala fitur berbeda jauh:\n&quot;_x000a_        &quot;1) Gradient Descent jadi lambat/ sulit konvergen:\n&quot;_x000a_        &quot;   - Pada regresi linear dengan gradient descent, cost function membentuk kontur seperti elips memanjang jika skala fitur &quot;_x000a_        &quot;     sangat berbeda. Akibatnya langkah update parameter akan 'zig-zag' dan butuh iterasi lebih banyak.\n&quot;_x000a_        &quot;   - Dengan scaling, kontur lebih 'bulat' sehingga update lebih stabil dan cepat menuju minimum.\n\n&quot;_x000a_        &quot;2) Pemilihan learning rate (eta) jadi lebih mudah:\n&quot;_x000a_        &quot;   - Tanpa scaling, eta yang aman untuk fitur berskala besar bisa terlalu kecil untuk fitur berskala kecil (lambat), &quot;_x000a_        &quot;     atau eta yang cukup untuk fitur kecil bisa membuat divergen karena fitur besar.\n\n&quot;_x000a_        &quot;3) Algoritma berbasis jarak/kemiripan jadi adil:\n&quot;_x000a_        &quot;   - KNN, K-Means, SVM (tertentu), PCA, dan metode lain yang memakai jarak/variansi akan bias ke fitur dengan skala besar &quot;_x000a_        &quot;     jika tidak diskalakan.\n\n&quot;_x000a_        &quot;Metode scaling yang umum:\n&quot;_x000a_        &quot;A) Standardization (Z-score): x_scaled = (x - mu) / sigma\n&quot;_x000a_        &quot;   - Membuat fitur ber-mean 0 dan standar deviasi 1.\n&quot;_x000a_        &quot;B) Min-Max scaling: x_scaled = (x - min) / (max - min)\n&quot;_x000a_        &quot;   - Memetakan fitur ke rentang [0, 1] (atau rentang lain).\n\n&quot;_x000a_        &quot;Catatan praktik penting:\n&quot;_x000a_        &quot;- Hitung parameter scaling (mu, sigma / min, max) hanya dari data training, lalu terapkan ke validation/test &quot;_x000a_        &quot;  agar tidak terjadi data leakage.&quot;_x000a_    )_x000a_```"/>
    <d v="2026-03-31T11:45:37"/>
    <x v="5"/>
    <n v="0"/>
    <n v="37"/>
    <n v="641"/>
    <n v="678"/>
    <n v="135"/>
    <n v="2160"/>
    <n v="1564"/>
    <n v="4"/>
    <n v="5"/>
    <n v="4"/>
    <s v="Clear and specific about feature scaling importance."/>
    <s v="Could provide more context on the audience's knowledge level."/>
    <s v="Thorough explanation with relevant examples and methods."/>
    <s v="Could be more concise in some areas."/>
    <s v="[MODE:code] Jelaskan pentingnya feature scaling ketika fitur memiliki skala yang berbeda jauh dan definisikan feature scaling."/>
    <s v="Consider summarizing key points to enhance conciseness."/>
    <s v="good"/>
    <b v="0"/>
    <s v="gpt-4o-mini"/>
    <s v="{&quot;prompt_score&quot;: 4, &quot;response_score&quot;: 5, &quot;overall_score&quot;: 4, &quot;prompt_strengths&quot;: &quot;Clear and specific about feature scaling importance.&quot;, &quot;prompt_issues&quot;: &quot;Could provide more context on the audience's knowledge level.&quot;, &quot;response_strengths&quot;: &quot;Thorough explanation with relevant examples and methods.&quot;, &quot;response_issues&quot;: &quot;Could be more concise in some areas.&quot;, &quot;prompt_rewrite&quot;: &quot;[MODE:code] Jelaskan pentingnya feature scaling ketika fitur memiliki skala yang berbeda jauh dan definisikan feature scaling.&quot;, &quot;response_improvement_suggestions&quot;: &quot;Consider summarizing key points to enhance conciseness.&quot;, &quot;verdict&quot;: &quot;good&quot;, &quot;needs_human_review&quot;: false}"/>
    <s v="ok"/>
    <n v="4"/>
  </r>
  <r>
    <x v="37"/>
    <s v="[MODE:code]_x000a_bagaimana caranya Extract semua baris dan kolom ke-1 s.d. ke-7 ke dalam variabel X_x000a__x000a_##### Your Code Here #####_x000a_X ="/>
    <s v="done"/>
    <s v="X = dataframe.iloc[:, 0:7]"/>
    <s v="```python_x000a_X = dataframe.iloc[:, 0:7]_x000a_```"/>
    <d v="2026-03-10T11:56:39"/>
    <x v="2"/>
    <n v="0"/>
    <n v="40"/>
    <n v="14"/>
    <n v="54"/>
    <n v="126"/>
    <n v="40"/>
    <n v="1616"/>
    <n v="4"/>
    <n v="5"/>
    <n v="5"/>
    <s v="Clear and specific about the task."/>
    <s v="Could provide more context on the data structure."/>
    <s v="Correct and concise code for the task."/>
    <s v="None."/>
    <s v="[MODE:code] Bagaimana cara mengekstrak semua baris dan kolom ke-1 hingga ke-7 dari dataframe ke dalam variabel X? ##### Your Code Here ##### X ="/>
    <s v="None needed; the response is already complete."/>
    <s v="excellent"/>
    <b v="0"/>
    <s v="gpt-4o-mini"/>
    <s v="{&quot;prompt_score&quot;: 4, &quot;response_score&quot;: 5, &quot;overall_score&quot;: 5, &quot;prompt_strengths&quot;: &quot;Clear and specific about the task.&quot;, &quot;prompt_issues&quot;: &quot;Could provide more context on the data structure.&quot;, &quot;response_strengths&quot;: &quot;Correct and concise code for the task.&quot;, &quot;response_issues&quot;: &quot;None.&quot;, &quot;prompt_rewrite&quot;: &quot;[MODE:code] Bagaimana cara mengekstrak semua baris dan kolom ke-1 hingga ke-7 dari dataframe ke dalam variabel X? ##### Your Code Here ##### X =&quot;, &quot;response_improvement_suggestions&quot;: &quot;None needed; the response is already complete.&quot;, &quot;verdict&quot;: &quot;excellent&quot;, &quot;needs_human_review&quot;: false}"/>
    <s v="ok"/>
    <n v="5"/>
  </r>
  <r>
    <x v="37"/>
    <s v="[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2:04:49"/>
    <x v="2"/>
    <n v="0"/>
    <n v="29"/>
    <n v="22"/>
    <n v="51"/>
    <n v="115"/>
    <n v="113"/>
    <n v="2234"/>
    <n v="4"/>
    <n v="5"/>
    <n v="4"/>
    <s v="Clear and specific request for a LogisticRegression model."/>
    <s v="Could provide more context on usage or additional parameters."/>
    <s v="Correct implementation of the LogisticRegression model with specified solver."/>
    <s v="None."/>
    <s v="Buatlah `model` yang merupakan model `LogisticRegression` dengan parameter `solver` adalah `liblinear`. Sertakan contoh penggunaan model ini."/>
    <s v="Consider adding a brief explanation of the model or example usage."/>
    <s v="good"/>
    <b v="0"/>
    <s v="gpt-4o-mini"/>
    <s v="{&quot;prompt_score&quot;: 4, &quot;response_score&quot;: 5, &quot;overall_score&quot;: 4, &quot;prompt_strengths&quot;: &quot;Clear and specific request for a LogisticRegression model.&quot;, &quot;prompt_issues&quot;: &quot;Could provide more context on usage or additional parameters.&quot;, &quot;response_strengths&quot;: &quot;Correct implementation of the LogisticRegression model with specified solver.&quot;, &quot;response_issues&quot;: &quot;None.&quot;, &quot;prompt_rewrite&quot;: &quot;Buatlah `model` yang merupakan model `LogisticRegression` dengan parameter `solver` adalah `liblinear`. Sertakan contoh penggunaan model ini.&quot;, &quot;response_improvement_suggestions&quot;: &quot;Consider adding a brief explanation of the model or example usage.&quot;, &quot;verdict&quot;: &quot;good&quot;, &quot;needs_human_review&quot;: false}"/>
    <s v="ok"/>
    <n v="4"/>
  </r>
  <r>
    <x v="37"/>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s v="done"/>
    <s v="import numpy as np_x000a__x000a_def poly_features(X, p):_x000a_    X = np.asarray(X).reshape(-1)_x000a_    X_poly = np.zeros((X.size, p))_x000a__x000a_    P = np.arange(1, p + 1)_x000a_    X_poly = X.reshape(-1, 1) ** P_x000a__x000a_    return X_poly"/>
    <s v="```python_x000a_import numpy as np_x000a__x000a_def poly_features(X, p):_x000a_    X = np.asarray(X).reshape(-1)_x000a_    X_poly = np.zeros((X.size, p))_x000a__x000a_    P = np.arange(1, p + 1)_x000a_    X_poly = X.reshape(-1, 1) ** P_x000a__x000a_    return X_poly_x000a_```"/>
    <d v="2026-04-07T12:23:15"/>
    <x v="0"/>
    <n v="0"/>
    <n v="113"/>
    <n v="72"/>
    <n v="185"/>
    <n v="347"/>
    <n v="210"/>
    <n v="2642"/>
    <n v="3"/>
    <n v="4"/>
    <n v="3"/>
    <s v="The prompt specifies the task clearly and provides context."/>
    <s v="Lacks clarity in the instructions and has some formatting issues."/>
    <s v="The response is relevant and correctly implements the function."/>
    <s v="Could improve clarity and completeness by explaining the logic."/>
    <s v="Implement a function that takes a vector X and an integer p, returning a matrix X_poly where each column k contains X raised to the power of (k + 1)."/>
    <s v="Add comments to explain the steps in the code for better clarity."/>
    <s v="good"/>
    <b v="0"/>
    <s v="gpt-4o-mini"/>
    <s v="{&quot;prompt_score&quot;: 3, &quot;response_score&quot;: 4, &quot;overall_score&quot;: 3, &quot;prompt_strengths&quot;: &quot;The prompt specifies the task clearly and provides context.&quot;, &quot;prompt_issues&quot;: &quot;Lacks clarity in the instructions and has some formatting issues.&quot;, &quot;response_strengths&quot;: &quot;The response is relevant and correctly implements the function.&quot;, &quot;response_issues&quot;: &quot;Could improve clarity and completeness by explaining the logic.&quot;, &quot;prompt_rewrite&quot;: &quot;Implement a function that takes a vector X and an integer p, returning a matrix X_poly where each column k contains X raised to the power of (k + 1).&quot;, &quot;response_improvement_suggestions&quot;: &quot;Add comments to explain the steps in the code for better clarity.&quot;, &quot;verdict&quot;: &quot;good&quot;, &quot;needs_human_review&quot;: false}"/>
    <s v="ok"/>
    <n v="4"/>
  </r>
  <r>
    <x v="37"/>
    <s v="[MODE:code]_x000a_Bagaimana caranya membuatvariabel `loocv` dari kelas `LeaveOneOut`._x000a__x000a_##### Your Code Here #####_x000a_loocv ="/>
    <s v="done"/>
    <s v="from sklearn.model_selection import LeaveOneOut"/>
    <s v="from sklearn.model_selection import LeaveOneOut_x000a__x000a_loocv = LeaveOneOut()"/>
    <d v="2026-03-10T12:20:22"/>
    <x v="2"/>
    <n v="0"/>
    <n v="36"/>
    <n v="17"/>
    <n v="53"/>
    <n v="115"/>
    <n v="70"/>
    <n v="2686"/>
    <n v="3"/>
    <n v="2"/>
    <n v="2"/>
    <s v="The prompt specifies the task and context."/>
    <s v="Lacks clarity and specificity in the expected output."/>
    <s v="Correctly imports the necessary class."/>
    <s v="Incomplete; does not show how to create the variable `loocv`."/>
    <s v="Bagaimana cara membuat variabel `loocv` dari kelas `LeaveOneOut` dan berikan contoh penggunaannya."/>
    <s v="Provide a complete example of how to instantiate `LeaveOneOut` and assign it to `loocv`."/>
    <s v="fair"/>
    <b v="0"/>
    <s v="gpt-4o-mini"/>
    <s v="{&quot;prompt_score&quot;: 3, &quot;response_score&quot;: 2, &quot;overall_score&quot;: 2, &quot;prompt_strengths&quot;: &quot;The prompt specifies the task and context.&quot;, &quot;prompt_issues&quot;: &quot;Lacks clarity and specificity in the expected output.&quot;, &quot;response_strengths&quot;: &quot;Correctly imports the necessary class.&quot;, &quot;response_issues&quot;: &quot;Incomplete; does not show how to create the variable `loocv`.&quot;, &quot;prompt_rewrite&quot;: &quot;Bagaimana cara membuat variabel `loocv` dari kelas `LeaveOneOut` dan berikan contoh penggunaannya.&quot;, &quot;response_improvement_suggestions&quot;: &quot;Provide a complete example of how to instantiate `LeaveOneOut` and assign it to `loocv`.&quot;, &quot;verdict&quot;: &quot;fair&quot;, &quot;needs_human_review&quot;: false}"/>
    <s v="ok"/>
    <n v="3"/>
  </r>
  <r>
    <x v="37"/>
    <s v="[MODE:code]_x000a_##### DONT CHANGE THE CODE #####_x000a_grid = GridSearchCV(_x000a_    estimator=model,_x000a_    param_grid=param_grid,_x000a_    cv=10,_x000a_    scoring='accuracy'_x000a_)_x000a__x000a_sekarang kita latih `grid` menggunakan `.fit`_x000a__x000a_bagaimana codenya"/>
    <s v="done"/>
    <s v="grid.fit(X_train, y_train)"/>
    <s v="```python_x000a_grid.fit(X_train, y_train)_x000a_```"/>
    <d v="2026-03-10T12:16:42"/>
    <x v="2"/>
    <n v="0"/>
    <n v="60"/>
    <n v="12"/>
    <n v="72"/>
    <n v="215"/>
    <n v="40"/>
    <n v="3571"/>
    <n v="4"/>
    <n v="5"/>
    <n v="5"/>
    <s v="Clear and specific about the task."/>
    <s v="Could provide more context on the model and data."/>
    <s v="Directly answers the prompt with correct code."/>
    <s v="None."/>
    <s v="Please provide the code to fit the GridSearchCV object `grid` using the `.fit` method with training data."/>
    <s v="None needed; response is complete."/>
    <s v="excellent"/>
    <b v="0"/>
    <s v="gpt-4o-mini"/>
    <s v="{&quot;prompt_score&quot;: 4, &quot;response_score&quot;: 5, &quot;overall_score&quot;: 5, &quot;prompt_strengths&quot;: &quot;Clear and specific about the task.&quot;, &quot;prompt_issues&quot;: &quot;Could provide more context on the model and data.&quot;, &quot;response_strengths&quot;: &quot;Directly answers the prompt with correct code.&quot;, &quot;response_issues&quot;: &quot;None.&quot;, &quot;prompt_rewrite&quot;: &quot;Please provide the code to fit the GridSearchCV object `grid` using the `.fit` method with training data.&quot;, &quot;response_improvement_suggestions&quot;: &quot;None needed; response is complete.&quot;, &quot;verdict&quot;: &quot;excellent&quot;, &quot;needs_human_review&quot;: false}"/>
    <s v="ok"/>
    <n v="5"/>
  </r>
  <r>
    <x v="38"/>
    <s v="[MODE:summary]_x000a_Buat heatmap korelasi untuk fitur numerik,  kolom&quot; numerik dari awal ke akhir memiliki nilai 1.0 yang diagonal sampai ke kolom akhir, berikan insightnya"/>
    <s v="done"/>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d v="2026-04-14T11:21:53"/>
    <x v="3"/>
    <n v="0"/>
    <n v="50"/>
    <n v="304"/>
    <n v="354"/>
    <n v="167"/>
    <n v="1107"/>
    <n v="103"/>
    <n v="4"/>
    <n v="5"/>
    <n v="4"/>
    <s v="Clear and specific request for a heatmap and insights."/>
    <s v="Could provide more context on the dataset or features involved."/>
    <s v="Thorough explanation of heatmap interpretation and implications for modeling."/>
    <s v="Could include specific examples or visualizations for clarity."/>
    <s v="Buat heatmap korelasi untuk fitur numerik dari dataset yang diberikan dan berikan insight tentang hubungan antar fitur."/>
    <s v="Include specific examples of features and their correlations to enhance understanding."/>
    <s v="good"/>
    <b v="0"/>
    <s v="gpt-4o-mini"/>
    <s v="{&quot;prompt_score&quot;: 4, &quot;response_score&quot;: 5, &quot;overall_score&quot;: 4, &quot;prompt_strengths&quot;: &quot;Clear and specific request for a heatmap and insights.&quot;, &quot;prompt_issues&quot;: &quot;Could provide more context on the dataset or features involved.&quot;, &quot;response_strengths&quot;: &quot;Thorough explanation of heatmap interpretation and implications for modeling.&quot;, &quot;response_issues&quot;: &quot;Could include specific examples or visualizations for clarity.&quot;, &quot;prompt_rewrite&quot;: &quot;Buat heatmap korelasi untuk fitur numerik dari dataset yang diberikan dan berikan insight tentang hubungan antar fitur.&quot;, &quot;response_improvement_suggestions&quot;: &quot;Include specific examples of features and their correlations to enhance understanding.&quot;, &quot;verdict&quot;: &quot;good&quot;, &quot;needs_human_review&quot;: false}"/>
    <s v="ok"/>
    <n v="4"/>
  </r>
  <r>
    <x v="38"/>
    <s v="[MODE:summary_code_explanation]_x000a_Sekarang, kita akan membuat variabel correlation yang berisikan informasi korelasi dari dataset_x000a__x000a_correlation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done"/>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d v="2026-03-10T12:09:09"/>
    <x v="2"/>
    <n v="0"/>
    <n v="83"/>
    <n v="168"/>
    <n v="251"/>
    <n v="386"/>
    <n v="673"/>
    <n v="792"/>
    <n v="4"/>
    <n v="5"/>
    <n v="5"/>
    <s v="Clear and specific about the task."/>
    <s v="Could provide more context on the dataset."/>
    <s v="Accurate, complete, and well-explained."/>
    <s v="None."/>
    <s v="Buat variabel `correlation` yang berisi matriks korelasi dari kolom numerik pada dataset dan tampilkan sebagai heatmap."/>
    <s v="Consider adding an example dataset for clarity."/>
    <s v="excellent"/>
    <b v="0"/>
    <s v="gpt-4o-mini"/>
    <s v="{&quot;prompt_score&quot;: 4, &quot;response_score&quot;: 5, &quot;overall_score&quot;: 5, &quot;prompt_strengths&quot;: &quot;Clear and specific about the task.&quot;, &quot;prompt_issues&quot;: &quot;Could provide more context on the dataset.&quot;, &quot;response_strengths&quot;: &quot;Accurate, complete, and well-explained.&quot;, &quot;response_issues&quot;: &quot;None.&quot;, &quot;prompt_rewrite&quot;: &quot;Buat variabel `correlation` yang berisi matriks korelasi dari kolom numerik pada dataset dan tampilkan sebagai heatmap.&quot;, &quot;response_improvement_suggestions&quot;: &quot;Consider adding an example dataset for clarity.&quot;, &quot;verdict&quot;: &quot;excellent&quot;, &quot;needs_human_review&quot;: false}"/>
    <s v="ok"/>
    <n v="5"/>
  </r>
  <r>
    <x v="38"/>
    <s v="[MODE:summary_code_explanation]_x000a_Cobalah hitung recall dari classifier Anda. from sklearn.metrics import recall_score ##### Your Code Here #####"/>
    <s v="done"/>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d v="2026-03-17T12:05:06"/>
    <x v="4"/>
    <n v="0"/>
    <n v="29"/>
    <n v="105"/>
    <n v="134"/>
    <n v="143"/>
    <n v="384"/>
    <n v="1209"/>
    <n v="4"/>
    <n v="5"/>
    <n v="5"/>
    <s v="Clear and specific about the task."/>
    <s v="Could provide more context on the classifier."/>
    <s v="Correct, complete, and clearly explains recall calculation."/>
    <s v="None significant."/>
    <s v="Cobalah hitung recall dari classifier Anda menggunakan `recall_score` dari sklearn.metrics. Sertakan label asli dan prediksi."/>
    <s v="Consider adding an example with sample data for clarity."/>
    <s v="excellent"/>
    <b v="0"/>
    <s v="gpt-4o-mini"/>
    <s v="{&quot;prompt_score&quot;: 4, &quot;response_score&quot;: 5, &quot;overall_score&quot;: 5, &quot;prompt_strengths&quot;: &quot;Clear and specific about the task.&quot;, &quot;prompt_issues&quot;: &quot;Could provide more context on the classifier.&quot;, &quot;response_strengths&quot;: &quot;Correct, complete, and clearly explains recall calculation.&quot;, &quot;response_issues&quot;: &quot;None significant.&quot;, &quot;prompt_rewrite&quot;: &quot;Cobalah hitung recall dari classifier Anda menggunakan `recall_score` dari sklearn.metrics. Sertakan label asli dan prediksi.&quot;, &quot;response_improvement_suggestions&quot;: &quot;Consider adding an example with sample data for clarity.&quot;, &quot;verdict&quot;: &quot;excellent&quot;, &quot;needs_human_review&quot;: false}"/>
    <s v="ok"/>
    <n v="5"/>
  </r>
  <r>
    <x v="38"/>
    <s v="[MODE:summary_code_explanation]_x000a_Selanjutnya, kita coba menghitung ROC Area Under Curve (AUC) from sklearn.metrics import roc_auc_score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d v="2026-03-17T12:13:08"/>
    <x v="4"/>
    <n v="0"/>
    <n v="39"/>
    <n v="123"/>
    <n v="162"/>
    <n v="161"/>
    <n v="410"/>
    <n v="1702"/>
    <n v="4"/>
    <n v="5"/>
    <n v="5"/>
    <s v="Clear and specific about the task."/>
    <s v="Could provide more context on input data."/>
    <s v="Accurate, complete, and clearly explains the code."/>
    <s v="None."/>
    <s v="[MODE:summary_code_explanation] Hitung ROC Area Under Curve (AUC) menggunakan data asli `y` dan skor keputusan `y_scores`. Pastikan untuk menjelaskan input yang digunakan."/>
    <s v="Consider adding an example of input data for clarity."/>
    <s v="excellent"/>
    <b v="0"/>
    <s v="gpt-4o-mini"/>
    <s v="{&quot;prompt_score&quot;: 4, &quot;response_score&quot;: 5, &quot;overall_score&quot;: 5, &quot;prompt_strengths&quot;: &quot;Clear and specific about the task.&quot;, &quot;prompt_issues&quot;: &quot;Could provide more context on input data.&quot;, &quot;response_strengths&quot;: &quot;Accurate, complete, and clearly explains the code.&quot;, &quot;response_issues&quot;: &quot;None.&quot;, &quot;prompt_rewrite&quot;: &quot;[MODE:summary_code_explanation] Hitung ROC Area Under Curve (AUC) menggunakan data asli `y` dan skor keputusan `y_scores`. Pastikan untuk menjelaskan input yang digunakan.&quot;, &quot;response_improvement_suggestions&quot;: &quot;Consider adding an example of input data for clarity.&quot;, &quot;verdict&quot;: &quot;excellent&quot;, &quot;needs_human_review&quot;: false}"/>
    <s v="ok"/>
    <n v="5"/>
  </r>
  <r>
    <x v="38"/>
    <s v="[MODE:summary_code_explanation]_x000a_Pertanyaan Refleksi Apakah nilai precision lebih besar daripada nilai recall? Ataukah sebaliknya? 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d v="2026-03-17T12:06:32"/>
    <x v="4"/>
    <n v="0"/>
    <n v="57"/>
    <n v="335"/>
    <n v="392"/>
    <n v="217"/>
    <n v="1234"/>
    <n v="2577"/>
    <n v="4"/>
    <n v="5"/>
    <n v="4"/>
    <s v="Clear and specific question about precision and recall."/>
    <s v="Could provide more context on the importance of precision and recall."/>
    <s v="Thorough explanation of precision and recall with relevant examples."/>
    <s v="Could be more concise in some areas."/>
    <s v="[MODE:summary_code_explanation] Apa perbedaan antara nilai precision dan recall dalam konteks evaluasi model? Berikan penjelasan dan contoh."/>
    <s v="Consider summarizing key points more succinctly to enhance clarity."/>
    <s v="good"/>
    <b v="0"/>
    <s v="gpt-4o-mini"/>
    <s v="{&quot;prompt_score&quot;: 4, &quot;response_score&quot;: 5, &quot;overall_score&quot;: 4, &quot;prompt_strengths&quot;: &quot;Clear and specific question about precision and recall.&quot;, &quot;prompt_issues&quot;: &quot;Could provide more context on the importance of precision and recall.&quot;, &quot;response_strengths&quot;: &quot;Thorough explanation of precision and recall with relevant examples.&quot;, &quot;response_issues&quot;: &quot;Could be more concise in some areas.&quot;, &quot;prompt_rewrite&quot;: &quot;[MODE:summary_code_explanation] Apa perbedaan antara nilai precision dan recall dalam konteks evaluasi model? Berikan penjelasan dan contoh.&quot;, &quot;response_improvement_suggestions&quot;: &quot;Consider summarizing key points more succinctly to enhance clarity.&quot;, &quot;verdict&quot;: &quot;good&quot;, &quot;needs_human_review&quot;: false}"/>
    <s v="ok"/>
    <n v="4"/>
  </r>
  <r>
    <x v="38"/>
    <s v="[MODE:summary_code_explanation]_x000a_Buatlah confusion matrix dari hasil prediksi (y_pred) dan nilai sebenarnya (y).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d v="2026-03-17T12:00:57"/>
    <x v="4"/>
    <n v="0"/>
    <n v="46"/>
    <n v="119"/>
    <n v="165"/>
    <n v="188"/>
    <n v="430"/>
    <n v="3455"/>
    <n v="4"/>
    <n v="5"/>
    <n v="5"/>
    <s v="Clear and specific about the task."/>
    <s v="Could provide more context on the data types."/>
    <s v="Correct, complete, and clearly explains the confusion matrix."/>
    <s v="None."/>
    <s v="Buatlah confusion matrix dari hasil prediksi (y_pred) dan nilai sebenarnya (y) menggunakan sklearn. Pastikan untuk menjelaskan input yang diharapkan."/>
    <s v="Consider adding an example of the output of the confusion matrix."/>
    <s v="excellent"/>
    <b v="0"/>
    <s v="gpt-4o-mini"/>
    <s v="{&quot;prompt_score&quot;: 4, &quot;response_score&quot;: 5, &quot;overall_score&quot;: 5, &quot;prompt_strengths&quot;: &quot;Clear and specific about the task.&quot;, &quot;prompt_issues&quot;: &quot;Could provide more context on the data types.&quot;, &quot;response_strengths&quot;: &quot;Correct, complete, and clearly explains the confusion matrix.&quot;, &quot;response_issues&quot;: &quot;None.&quot;, &quot;prompt_rewrite&quot;: &quot;Buatlah confusion matrix dari hasil prediksi (y_pred) dan nilai sebenarnya (y) menggunakan sklearn. Pastikan untuk menjelaskan input yang diharapkan.&quot;, &quot;response_improvement_suggestions&quot;: &quot;Consider adding an example of the output of the confusion matrix.&quot;, &quot;verdict&quot;: &quot;excellent&quot;, &quot;needs_human_review&quot;: false}"/>
    <s v="ok"/>
    <n v="5"/>
  </r>
  <r>
    <x v="38"/>
    <s v="[MODE:summary_code_explanation]_x000a_##### Your Code Here #####_x000a_array = dataframe.values_x000a_Extract semua baris dan kolom ke-1 s.d. ke-7 ke dalam variabel X_x000a_##### Your Code Here #####_x000a_X =_x000a_Simpan semua baris dari kolom ke-7 ke dalam variabel y._x000a_##### Your Code Here #####_x000a_y ="/>
    <s v="done"/>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d v="2026-03-17T11:53:46"/>
    <x v="4"/>
    <n v="0"/>
    <n v="74"/>
    <n v="145"/>
    <n v="219"/>
    <n v="266"/>
    <n v="360"/>
    <n v="4141"/>
    <n v="3"/>
    <n v="4"/>
    <n v="4"/>
    <s v="The prompt specifies the task clearly and provides context."/>
    <s v="Lacks clarity in the instruction format and specific variable names."/>
    <s v="The response is relevant, correct, and provides a clear explanation."/>
    <s v="Could include more detail on the implications of the code."/>
    <s v="Extract rows and columns 1 to 7 into variable X and column 7 into variable y from the dataframe values."/>
    <s v="Add examples of how X and y can be used in further analysis."/>
    <s v="good"/>
    <b v="0"/>
    <s v="gpt-4o-mini"/>
    <s v="{&quot;prompt_score&quot;: 3, &quot;response_score&quot;: 4, &quot;overall_score&quot;: 4, &quot;prompt_strengths&quot;: &quot;The prompt specifies the task clearly and provides context.&quot;, &quot;prompt_issues&quot;: &quot;Lacks clarity in the instruction format and specific variable names.&quot;, &quot;response_strengths&quot;: &quot;The response is relevant, correct, and provides a clear explanation.&quot;, &quot;response_issues&quot;: &quot;Could include more detail on the implications of the code.&quot;, &quot;prompt_rewrite&quot;: &quot;Extract rows and columns 1 to 7 into variable X and column 7 into variable y from the dataframe values.&quot;, &quot;response_improvement_suggestions&quot;: &quot;Add examples of how X and y can be used in further analysis.&quot;, &quot;verdict&quot;: &quot;good&quot;, &quot;needs_human_review&quot;: false}"/>
    <s v="ok"/>
    <n v="4"/>
  </r>
  <r>
    <x v="38"/>
    <s v="[MODE:code]_x000a_linreg_pipeline = Pipeline([_x000a_    (&quot;preprocessing&quot;, preprocessor),_x000a_    (&quot;model&quot;, LinearRegression())_x000a_])_x000a__x000a_ini linear regression pipeline saya,saaya mempunyai model yang di train menggunakan linear regression, itu prompt nya gimana ya saya punya variabel dengan nama pred"/>
    <s v="done"/>
    <s v="linreg_pipeline.fit(X_train, y_train)_x000a_pred = linreg_pipeline.predict(X_test)"/>
    <s v="```python_x000a_linreg_pipeline.fit(X_train, y_train)_x000a_pred = linreg_pipeline.predict(X_test)_x000a_```"/>
    <d v="2026-03-03T11:47:27"/>
    <x v="6"/>
    <n v="0"/>
    <n v="61"/>
    <n v="23"/>
    <n v="84"/>
    <n v="280"/>
    <n v="90"/>
    <n v="4147"/>
    <n v="3"/>
    <n v="4"/>
    <n v="3"/>
    <s v="Includes relevant context about linear regression and a pipeline."/>
    <s v="Lacks clarity and specificity in asking for help."/>
    <s v="Provides a relevant and correct continuation of the code."/>
    <s v="Could include more explanation or context for clarity."/>
    <s v="Bagaimana cara melanjutkan kode ini untuk memprediksi menggunakan model linear regression yang sudah dilatih?"/>
    <s v="Add comments or explanations to clarify the code's purpose."/>
    <s v="fair"/>
    <b v="0"/>
    <s v="gpt-4o-mini"/>
    <s v="{&quot;prompt_score&quot;: 3, &quot;response_score&quot;: 4, &quot;overall_score&quot;: 3, &quot;prompt_strengths&quot;: &quot;Includes relevant context about linear regression and a pipeline.&quot;, &quot;prompt_issues&quot;: &quot;Lacks clarity and specificity in asking for help.&quot;, &quot;response_strengths&quot;: &quot;Provides a relevant and correct continuation of the code.&quot;, &quot;response_issues&quot;: &quot;Could include more explanation or context for clarity.&quot;, &quot;prompt_rewrite&quot;: &quot;Bagaimana cara melanjutkan kode ini untuk memprediksi menggunakan model linear regression yang sudah dilatih?&quot;, &quot;response_improvement_suggestions&quot;: &quot;Add comments or explanations to clarify the code's purpose.&quot;, &quot;verdict&quot;: &quot;fair&quot;, &quot;needs_human_review&quot;: false}"/>
    <s v="ok"/>
    <n v="3"/>
  </r>
  <r>
    <x v="38"/>
    <s v="[MODE:code]_x000a_Kita buat classifier dari kelas KNeighborsClassifier berikan codenya_x000a_##### Your Code Here #####_x000a_knn_clf ="/>
    <s v="done"/>
    <s v="from sklearn.neighbors import KNeighborsClassifier_x000a__x000a_knn_clf = KNeighborsClassifier()"/>
    <s v="```python_x000a_from sklearn.neighbors import KNeighborsClassifier_x000a__x000a_knn_clf = KNeighborsClassifier()_x000a_```"/>
    <d v="2026-03-17T12:24:02"/>
    <x v="4"/>
    <n v="0"/>
    <n v="33"/>
    <n v="21"/>
    <n v="54"/>
    <n v="117"/>
    <n v="98"/>
    <n v="4201"/>
    <n v="3"/>
    <n v="5"/>
    <n v="4"/>
    <s v="Directly asks for code implementation."/>
    <s v="Lacks clarity and context for the classifier's purpose."/>
    <s v="Correct and complete code for the classifier."/>
    <s v="Could include comments or explanations for clarity."/>
    <s v="Buatlah kode untuk mengimplementasikan KNeighborsClassifier dari sklearn, sertakan penjelasan singkat tentang penggunaannya."/>
    <s v="Add comments explaining the code and its purpose."/>
    <s v="good"/>
    <b v="0"/>
    <s v="gpt-4o-mini"/>
    <s v="{&quot;prompt_score&quot;: 3, &quot;response_score&quot;: 5, &quot;overall_score&quot;: 4, &quot;prompt_strengths&quot;: &quot;Directly asks for code implementation.&quot;, &quot;prompt_issues&quot;: &quot;Lacks clarity and context for the classifier's purpose.&quot;, &quot;response_strengths&quot;: &quot;Correct and complete code for the classifier.&quot;, &quot;response_issues&quot;: &quot;Could include comments or explanations for clarity.&quot;, &quot;prompt_rewrite&quot;: &quot;Buatlah kode untuk mengimplementasikan KNeighborsClassifier dari sklearn, sertakan penjelasan singkat tentang penggunaannya.&quot;, &quot;response_improvement_suggestions&quot;: &quot;Add comments explaining the code and its purpose.&quot;, &quot;verdict&quot;: &quot;good&quot;, &quot;needs_human_review&quot;: false}"/>
    <s v="ok"/>
    <n v="4"/>
  </r>
  <r>
    <x v="38"/>
    <s v="[MODE:summary]_x000a_Terdapat pertanyaan refleksi tolong bantu jawab .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d v="2026-03-31T11:37:41"/>
    <x v="5"/>
    <n v="0"/>
    <n v="38"/>
    <n v="109"/>
    <n v="147"/>
    <n v="126"/>
    <n v="385"/>
    <n v="4382"/>
    <n v="4"/>
    <n v="5"/>
    <n v="5"/>
    <s v="Clear and specific question about MSE curve behavior."/>
    <s v="Could provide more context on MSE and iterations."/>
    <s v="Accurate, complete, and clearly explains the relationship between iterations and MSE."/>
    <s v="None significant; well-articulated."/>
    <s v="Tolong bantu jawab pertanyaan refleksi: Apa yang terjadi pada kurva MSE jika jumlah iterasi dalam algoritma pembelajaran mesin ditambah?"/>
    <s v="Consider adding examples or visual aids to enhance understanding."/>
    <s v="excellent"/>
    <b v="0"/>
    <s v="gpt-4o-mini"/>
    <s v="{&quot;prompt_score&quot;: 4, &quot;response_score&quot;: 5, &quot;overall_score&quot;: 5, &quot;prompt_strengths&quot;: &quot;Clear and specific question about MSE curve behavior.&quot;, &quot;prompt_issues&quot;: &quot;Could provide more context on MSE and iterations.&quot;, &quot;response_strengths&quot;: &quot;Accurate, complete, and clearly explains the relationship between iterations and MSE.&quot;, &quot;response_issues&quot;: &quot;None significant; well-articulated.&quot;, &quot;prompt_rewrite&quot;: &quot;Tolong bantu jawab pertanyaan refleksi: Apa yang terjadi pada kurva MSE jika jumlah iterasi dalam algoritma pembelajaran mesin ditambah?&quot;, &quot;response_improvement_suggestions&quot;: &quot;Consider adding examples or visual aids to enhance understanding.&quot;, &quot;verdict&quot;: &quot;excellent&quot;, &quot;needs_human_review&quot;: false}"/>
    <s v="ok"/>
    <n v="5"/>
  </r>
  <r>
    <x v="38"/>
    <s v="[MODE:summary_code_explanation]_x000a_pada scatter plot pengaruh bmi ke charge itu kenapa, rentang bmi 20-40 itu harganya banyak yang sama, dan jelaskan apa pengaruh bmi ke charge asuransinya, berikan insightnya"/>
    <s v="done"/>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 **BMI bukan satu-satunya driver biaya**: di rentang 20–40, banyak orang masih berada pada kategori “normal–overweight–obese ringan”, sehingga biaya tidak otomatis melonjak hanya karena BMI.  _x000a_  - **Faktor lain lebih dominan**: `smoker`, `age`, dan kondisi kesehatan bisa membuat dua orang dengan BMI sama punya biaya sangat berbeda—atau sebaliknya, banyak orang dengan BMI berbeda tetap punya biaya mirip karena faktor lain mereka mirip.  _x000a_  - **Overplotting (titik menumpuk)**: jika datanya banyak, titik-titik bisa saling menimpa sehingga terlihat seperti “nilai charges sama”, padahal sebenarnya hanya berdekatan/menumpuk._x000a__x000a_- **Apa pengaruh BMI terhadap charges?**  _x000a_  - **Arah pengaruh cenderung positif**: semakin tinggi BMI, risiko penyakit terkait (mis. hipertensi, diabetes) meningkat, sehingga secara rata-rata `charges` ikut naik.  _x000a_  - **Efek BMI sering tidak linear dan lebih terasa di BMI tinggi**: lonjakan biaya biasanya lebih terlihat saat BMI masuk **obesitas lebih berat** (mis. &gt;30 atau &gt;35), bukan di seluruh rentang 20–40 secara merata.  _x000a_  -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 **BMI bukan satu-satunya driver biaya**: di rentang 20–40, banyak orang masih berada pada kategori “normal–overweight–obese ringan”, sehingga biaya tidak otomatis melonjak hanya karena BMI.  _x000a_  - **Faktor lain lebih dominan**: `smoker`, `age`, dan kondisi kesehatan bisa membuat dua orang dengan BMI sama punya biaya sangat berbeda—atau sebaliknya, banyak orang dengan BMI berbeda tetap punya biaya mirip karena faktor lain mereka mirip.  _x000a_  - **Overplotting (titik menumpuk)**: jika datanya banyak, titik-titik bisa saling menimpa sehingga terlihat seperti “nilai charges sama”, padahal sebenarnya hanya berdekatan/menumpuk._x000a__x000a_- **Apa pengaruh BMI terhadap charges?**  _x000a_  - **Arah pengaruh cenderung positif**: semakin tinggi BMI, risiko penyakit terkait (mis. hipertensi, diabetes) meningkat, sehingga secara rata-rata `charges` ikut naik.  _x000a_  - **Efek BMI sering tidak linear dan lebih terasa di BMI tinggi**: lonjakan biaya biasanya lebih terlihat saat BMI masuk **obesitas lebih berat** (mis. &gt;30 atau &gt;35), bukan di seluruh rentang 20–40 secara merata.  _x000a_  -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d v="2026-03-03T12:22:14"/>
    <x v="6"/>
    <n v="0"/>
    <n v="56"/>
    <n v="816"/>
    <n v="872"/>
    <n v="205"/>
    <n v="2665"/>
    <n v="4407"/>
    <n v="4"/>
    <n v="5"/>
    <n v="5"/>
    <s v="Clear and specific about the analysis needed."/>
    <s v="Could provide more context on the dataset."/>
    <s v="Thorough explanation with relevant insights and code examples."/>
    <s v="None significant; very comprehensive."/>
    <s v="Jelaskan pengaruh BMI terhadap biaya asuransi berdasarkan scatter plot, terutama mengapa banyak titik di rentang BMI 20-40 memiliki biaya yang sama, dan berikan insight yang mendalam."/>
    <s v="Consider adding visual examples or references to specific data points for clarity."/>
    <s v="excellent"/>
    <b v="0"/>
    <s v="gpt-4o-mini"/>
    <s v="{&quot;prompt_score&quot;: 4, &quot;response_score&quot;: 5, &quot;overall_score&quot;: 5, &quot;prompt_strengths&quot;: &quot;Clear and specific about the analysis needed.&quot;, &quot;prompt_issues&quot;: &quot;Could provide more context on the dataset.&quot;, &quot;response_strengths&quot;: &quot;Thorough explanation with relevant insights and code examples.&quot;, &quot;response_issues&quot;: &quot;None significant; very comprehensive.&quot;, &quot;prompt_rewrite&quot;: &quot;Jelaskan pengaruh BMI terhadap biaya asuransi berdasarkan scatter plot, terutama mengapa banyak titik di rentang BMI 20-40 memiliki biaya yang sama, dan berikan insight yang mendalam.&quot;, &quot;response_improvement_suggestions&quot;: &quot;Consider adding visual examples or references to specific data points for clarity.&quot;, &quot;verdict&quot;: &quot;excellent&quot;, &quot;needs_human_review&quot;: false}"/>
    <s v="ok"/>
    <n v="5"/>
  </r>
  <r>
    <x v="38"/>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d v="2026-03-10T11:54:45"/>
    <x v="2"/>
    <n v="0"/>
    <n v="112"/>
    <n v="788"/>
    <n v="900"/>
    <n v="504"/>
    <n v="2493"/>
    <n v="4703"/>
    <n v="4"/>
    <n v="5"/>
    <n v="4"/>
    <s v="Clear and specific question about dataset values."/>
    <s v="Could provide more context on the dataset's purpose."/>
    <s v="Thorough explanation with relevant code examples."/>
    <s v="Could be more concise in some areas."/>
    <s v="Apakah ada nilai null di dataset ini? Apakah nilai 0 dalam kolom-kolom tertentu wajar atau perlu dihilangkan? Jelaskan alasannya."/>
    <s v="Summarize key points more succinctly to enhance clarity."/>
    <s v="good"/>
    <b v="0"/>
    <s v="gpt-4o-mini"/>
    <s v="{&quot;prompt_score&quot;: 4, &quot;response_score&quot;: 5, &quot;overall_score&quot;: 4, &quot;prompt_strengths&quot;: &quot;Clear and specific question about dataset values.&quot;, &quot;prompt_issues&quot;: &quot;Could provide more context on the dataset's purpose.&quot;, &quot;response_strengths&quot;: &quot;Thorough explanation with relevant code examples.&quot;, &quot;response_issues&quot;: &quot;Could be more concise in some areas.&quot;, &quot;prompt_rewrite&quot;: &quot;Apakah ada nilai null di dataset ini? Apakah nilai 0 dalam kolom-kolom tertentu wajar atau perlu dihilangkan? Jelaskan alasannya.&quot;, &quot;response_improvement_suggestions&quot;: &quot;Summarize key points more succinctly to enhance clarity.&quot;, &quot;verdict&quot;: &quot;good&quot;, &quot;needs_human_review&quot;: false}"/>
    <s v="ok"/>
    <n v="4"/>
  </r>
  <r>
    <x v="39"/>
    <s v="[MODE:code]_x000a_Saya perlu bantuan untuk melakukan split database saya, dimana saya ingin charge sebagai kolom target berada di variable y, sedangkan kolom lainnya menjadi fitur berada di variabel x"/>
    <s v="done"/>
    <s v="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
    <s v="```python_x000a_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_x000a_```"/>
    <d v="2026-03-03T11:51:31"/>
    <x v="6"/>
    <n v="0"/>
    <n v="48"/>
    <n v="104"/>
    <n v="152"/>
    <n v="194"/>
    <n v="360"/>
    <n v="588"/>
    <n v="4"/>
    <n v="4"/>
    <n v="4"/>
    <s v="Clear request for database splitting."/>
    <s v="Could specify the format of the database."/>
    <s v="Provides relevant code and clear steps."/>
    <s v="Assumes prior knowledge of pandas; lacks explanation."/>
    <s v="Bisa bantu saya melakukan split pada database saya? Saya ingin kolom 'charge' sebagai target (variabel y) dan kolom lainnya sebagai fitur (variabel x). Format database saya adalah CSV."/>
    <s v="Add comments explaining each step for clarity."/>
    <s v="good"/>
    <b v="0"/>
    <s v="gpt-4o-mini"/>
    <s v="{&quot;prompt_score&quot;: 4, &quot;response_score&quot;: 4, &quot;overall_score&quot;: 4, &quot;prompt_strengths&quot;: &quot;Clear request for database splitting.&quot;, &quot;prompt_issues&quot;: &quot;Could specify the format of the database.&quot;, &quot;response_strengths&quot;: &quot;Provides relevant code and clear steps.&quot;, &quot;response_issues&quot;: &quot;Assumes prior knowledge of pandas; lacks explanation.&quot;, &quot;prompt_rewrite&quot;: &quot;Bisa bantu saya melakukan split pada database saya? Saya ingin kolom 'charge' sebagai target (variabel y) dan kolom lainnya sebagai fitur (variabel x). Format database saya adalah CSV.&quot;, &quot;response_improvement_suggestions&quot;: &quot;Add comments explaining each step for clarity.&quot;, &quot;verdict&quot;: &quot;good&quot;, &quot;needs_human_review&quot;: false}"/>
    <s v="ok"/>
    <n v="4"/>
  </r>
  <r>
    <x v="39"/>
    <s v="[MODE:summary_code_explanation]_x000a_rapihkan kode agar mudah di baca dan di copy untuk membantu saya menyelesaikan permasalahan saya. bagi dua section mana untuk tugas regresi dan mana untuk tugas klasifikasi"/>
    <s v="done"/>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    y_clf = (_x000a_        y_clf_raw.astype(str)_x000a_        .str.strip()_x000a_        .str.lower()_x000a_        .map({&quot;fail&quot;: 0, &quot;pass&quot;: 1})_x000a_    )_x000a_else:_x000a_    y_clf = y_clf_raw_x000a__x000a_# Validasi mapping_x000a_if y_clf.isna().any():_x000a_    unknown = sorted(set(y_clf_raw[y_clf.isna()].astype(str)))_x000a_    raise ValueError(_x000a_        f&quot;Ada label pass_fail yang tidak dikenali: {unknown}. &quot;_x000a_        f&quot;Sesuaikan mapping {{'fail':0,'pass':1}} sesuai dataset Anda.&quot;_x000a_    )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    X, y_reg, y_clf,_x000a_    test_size=0.2,_x000a_    random_state=42,_x000a_    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quot;, preprocess_reg),_x000a_    (&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model&quot;, LogisticRegression(max_iter=2000))_x000a_])_x000a__x000a_# Train klasifikasi_x000a_clf_model.fit(X_train_clf, y"/>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    y_clf = (_x000a_        y_clf_raw.astype(str)_x000a_        .str.strip()_x000a_        .str.lower()_x000a_        .map({&quot;fail&quot;: 0, &quot;pass&quot;: 1})_x000a_    )_x000a_else:_x000a_    y_clf = y_clf_raw_x000a__x000a_# Validasi mapping_x000a_if y_clf.isna().any():_x000a_    unknown = sorted(set(y_clf_raw[y_clf.isna()].astype(str)))_x000a_    raise ValueError(_x000a_        f&quot;Ada label pass_fail yang tidak dikenali: {unknown}. &quot;_x000a_        f&quot;Sesuaikan mapping {{'fail':0,'pass':1}} sesuai dataset Anda.&quot;_x000a_    )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    X, y_reg, y_clf,_x000a_    test_size=0.2,_x000a_    random_state=42,_x000a_    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quot;, preprocess_reg),_x000a_    (&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model&quot;, LogisticRegression(max_iter=2000))_x000a_])_x000a__x000a_# Train klasifikasi_x000a_clf_model.fit(X_train_clf, y"/>
    <d v="2026-04-14T10:49:43"/>
    <x v="3"/>
    <n v="0"/>
    <n v="55"/>
    <n v="1041"/>
    <n v="1096"/>
    <n v="204"/>
    <n v="4275"/>
    <n v="753"/>
    <n v="4"/>
    <n v="4"/>
    <n v="4"/>
    <s v="Clear request for code organization and separation of tasks."/>
    <s v="Could specify the programming language for clarity."/>
    <s v="Well-structured code with clear sections for regression and classification tasks."/>
    <s v="Response is cut off at the end, missing completion."/>
    <s v="[MODE:summary_code_explanation] Rapihkan kode Python agar mudah dibaca dan dicopy untuk membantu saya menyelesaikan permasalahan saya. Bagi dua section: satu untuk tugas regresi dan satu untuk tugas klasifikasi."/>
    <s v="Complete the response by including the missing parts of the classification task and any evaluation metrics."/>
    <s v="good"/>
    <b v="0"/>
    <s v="gpt-4o-mini"/>
    <s v="{&quot;prompt_score&quot;: 4, &quot;response_score&quot;: 4, &quot;overall_score&quot;: 4, &quot;prompt_strengths&quot;: &quot;Clear request for code organization and separation of tasks.&quot;, &quot;prompt_issues&quot;: &quot;Could specify the programming language for clarity.&quot;, &quot;response_strengths&quot;: &quot;Well-structured code with clear sections for regression and classification tasks.&quot;, &quot;response_issues&quot;: &quot;Response is cut off at the end, missing completion.&quot;, &quot;prompt_rewrite&quot;: &quot;[MODE:summary_code_explanation] Rapihkan kode Python agar mudah dibaca dan dicopy untuk membantu saya menyelesaikan permasalahan saya. Bagi dua section: satu untuk tugas regresi dan satu untuk tugas klasifikasi.&quot;, &quot;response_improvement_suggestions&quot;: &quot;Complete the response by including the missing parts of the classification task and any evaluation metrics.&quot;, &quot;verdict&quot;: &quot;good&quot;, &quot;needs_human_review&quot;: false}"/>
    <s v="ok"/>
    <n v="4"/>
  </r>
  <r>
    <x v="39"/>
    <s v="[MODE:code]_x000a_saya sudah membuat model traning, saya perlu melihat hasil dari model train menggunakan Linear Regression"/>
    <s v="done"/>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s v="```python_x000a_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_x000a_```"/>
    <d v="2026-03-03T12:08:41"/>
    <x v="6"/>
    <n v="0"/>
    <n v="25"/>
    <n v="374"/>
    <n v="399"/>
    <n v="117"/>
    <n v="1378"/>
    <n v="1805"/>
    <n v="4"/>
    <n v="5"/>
    <n v="5"/>
    <s v="Clear request for model evaluation using Linear Regression."/>
    <s v="Could specify the type of results desired (e.g., metrics, visualizations)."/>
    <s v="Comprehensive code covering model training, evaluation metrics, and predictions."/>
    <s v="None significant; code is clear and complete."/>
    <s v="Saya sudah membuat model training dan ingin melihat hasil evaluasi model menggunakan Linear Regression, termasuk metrik dan prediksi."/>
    <s v="Consider adding comments to explain each step of the code for better clarity."/>
    <s v="excellent"/>
    <b v="0"/>
    <s v="gpt-4o-mini"/>
    <s v="{&quot;prompt_score&quot;: 4, &quot;response_score&quot;: 5, &quot;overall_score&quot;: 5, &quot;prompt_strengths&quot;: &quot;Clear request for model evaluation using Linear Regression.&quot;, &quot;prompt_issues&quot;: &quot;Could specify the type of results desired (e.g., metrics, visualizations).&quot;, &quot;response_strengths&quot;: &quot;Comprehensive code covering model training, evaluation metrics, and predictions.&quot;, &quot;response_issues&quot;: &quot;None significant; code is clear and complete.&quot;, &quot;prompt_rewrite&quot;: &quot;Saya sudah membuat model training dan ingin melihat hasil evaluasi model menggunakan Linear Regression, termasuk metrik dan prediksi.&quot;, &quot;response_improvement_suggestions&quot;: &quot;Consider adding comments to explain each step of the code for better clarity.&quot;, &quot;verdict&quot;: &quot;excellent&quot;, &quot;needs_human_review&quot;: false}"/>
    <s v="ok"/>
    <n v="5"/>
  </r>
  <r>
    <x v="39"/>
    <s v="[MODE:summary_code_explanation]_x000a_sekarang, buat scatter plot untuk melihat pengaruh bmi terhadap charges buatkan insiht nya di mana sumbu y adalah charges dan sumbu y bmi"/>
    <s v="done"/>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d v="2026-03-03T12:40:36"/>
    <x v="6"/>
    <n v="0"/>
    <n v="46"/>
    <n v="533"/>
    <n v="579"/>
    <n v="169"/>
    <n v="1795"/>
    <n v="1882"/>
    <n v="3"/>
    <n v="5"/>
    <n v="4"/>
    <s v="The prompt specifies the task clearly and provides context."/>
    <s v="The prompt has minor grammatical issues and could be more specific about the desired insights."/>
    <s v="The response is relevant, correct, and provides a comprehensive explanation with clear insights."/>
    <s v="The response could be more concise in some areas to enhance clarity."/>
    <s v="Buat scatter plot untuk menganalisis pengaruh BMI terhadap charges, dengan sumbu Y sebagai charges dan sumbu X sebagai BMI. Sertakan analisis mendalam tentang hubungan yang terlihat."/>
    <s v="Consider summarizing key insights more concisely to improve clarity and focus."/>
    <s v="good"/>
    <b v="0"/>
    <s v="gpt-4o-mini"/>
    <s v="{&quot;prompt_score&quot;: 3, &quot;response_score&quot;: 5, &quot;overall_score&quot;: 4, &quot;prompt_strengths&quot;: &quot;The prompt specifies the task clearly and provides context.&quot;, &quot;prompt_issues&quot;: &quot;The prompt has minor grammatical issues and could be more specific about the desired insights.&quot;, &quot;response_strengths&quot;: &quot;The response is relevant, correct, and provides a comprehensive explanation with clear insights.&quot;, &quot;response_issues&quot;: &quot;The response could be more concise in some areas to enhance clarity.&quot;, &quot;prompt_rewrite&quot;: &quot;Buat scatter plot untuk menganalisis pengaruh BMI terhadap charges, dengan sumbu Y sebagai charges dan sumbu X sebagai BMI. Sertakan analisis mendalam tentang hubungan yang terlihat.&quot;, &quot;response_improvement_suggestions&quot;: &quot;Consider summarizing key insights more concisely to improve clarity and focus.&quot;, &quot;verdict&quot;: &quot;good&quot;, &quot;needs_human_review&quot;: false}"/>
    <s v="ok"/>
    <n v="4"/>
  </r>
  <r>
    <x v="39"/>
    <s v="[MODE:code]_x000a_gridsearchcv digunakan untuk apa? apakah untuk_x000a_Mengganti model,Mencari hyperparameter terbaik,Menghapus fitur atau Membersihkan dataset"/>
    <s v="done"/>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s v="```text_x000a_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_x000a_```"/>
    <d v="2026-03-10T09:37:45"/>
    <x v="2"/>
    <n v="0"/>
    <n v="40"/>
    <n v="93"/>
    <n v="133"/>
    <n v="147"/>
    <n v="390"/>
    <n v="2026"/>
    <n v="4"/>
    <n v="5"/>
    <n v="5"/>
    <s v="Clear question about GridSearchCV usage."/>
    <s v="Could provide more context on the audience's knowledge level."/>
    <s v="Accurate, detailed, and clearly explains the purpose of GridSearchCV."/>
    <s v="None noted."/>
    <s v="Apa fungsi GridSearchCV dalam machine learning? Apakah untuk mengganti model, mencari hyperparameter terbaik, menghapus fitur, atau membersihkan dataset?"/>
    <s v="None needed; response is comprehensive."/>
    <s v="excellent"/>
    <b v="0"/>
    <s v="gpt-4o-mini"/>
    <s v="{&quot;prompt_score&quot;: 4, &quot;response_score&quot;: 5, &quot;overall_score&quot;: 5, &quot;prompt_strengths&quot;: &quot;Clear question about GridSearchCV usage.&quot;, &quot;prompt_issues&quot;: &quot;Could provide more context on the audience's knowledge level.&quot;, &quot;response_strengths&quot;: &quot;Accurate, detailed, and clearly explains the purpose of GridSearchCV.&quot;, &quot;response_issues&quot;: &quot;None noted.&quot;, &quot;prompt_rewrite&quot;: &quot;Apa fungsi GridSearchCV dalam machine learning? Apakah untuk mengganti model, mencari hyperparameter terbaik, menghapus fitur, atau membersihkan dataset?&quot;, &quot;response_improvement_suggestions&quot;: &quot;None needed; response is comprehensive.&quot;, &quot;verdict&quot;: &quot;excellent&quot;, &quot;needs_human_review&quot;: false}"/>
    <s v="ok"/>
    <n v="5"/>
  </r>
  <r>
    <x v="39"/>
    <s v="[MODE:summary_code_explanation]_x000a_Konteks: Saya sedang mengerjakan fitur dan target._x000a_Error:NameError: name 'r2_score' is not defined._x000a_Kode terkait: ---------------------------------------------------------------------------_x000a_NameError                                 Traceback (most recent call last)_x000a_Cell In[11], line 61_x000a_     59 print(&quot;\n=== Regression Metrics ===&quot;)_x000a_     60 print(&quot;MAE:&quot;, mean_absolute_error(y_reg_test, y_reg_pred_test))_x000a_---&gt; 61 print(&quot;R2 :&quot;, r2_score(y_reg_test, y_reg_pred_test))_x000a_     63 # =========================_x000a_     64 # 5) KLASIFIKASI: gunakan prediksi regresi sebagai fitur tambahan_x000a_     65 # =========================_x000a_     66 X_train_clf = X_train.copy()_x000a__x000a_NameError: name 'r2_score' is not defined._x000a_Ekspektasi: r2_score sudah muncul"/>
    <s v="done"/>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    mean_absolute_error,_x000a_    r2_score,              # &lt;-- FIX: tambahkan ini_x000a_    accuracy_score,_x000a_    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    mean_absolute_error,_x000a_    r2_score,              # &lt;-- FIX: tambahkan ini_x000a_    accuracy_score,_x000a_    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d v="2026-04-14T11:11:16"/>
    <x v="3"/>
    <n v="0"/>
    <n v="195"/>
    <n v="294"/>
    <n v="489"/>
    <n v="758"/>
    <n v="1101"/>
    <n v="2723"/>
    <n v="4"/>
    <n v="5"/>
    <n v="4"/>
    <s v="Clear context and specific error message."/>
    <s v="Could provide more detail on the expected output."/>
    <s v="Thorough explanation and clear code correction."/>
    <s v="None significant; very complete."/>
    <s v="[MODE:summary_code_explanation] Konteks: Saya sedang mengerjakan fitur dan target. Error: NameError: name 'r2_score' is not defined. Kode terkait: ... Ekspektasi: r2_score sudah muncul dan penjelasan tentang cara memperbaikinya."/>
    <s v="Consider adding a brief example of how to test the fix."/>
    <s v="excellent"/>
    <b v="0"/>
    <s v="gpt-4o-mini"/>
    <s v="{&quot;prompt_score&quot;: 4, &quot;response_score&quot;: 5, &quot;overall_score&quot;: 4, &quot;prompt_strengths&quot;: &quot;Clear context and specific error message.&quot;, &quot;prompt_issues&quot;: &quot;Could provide more detail on the expected output.&quot;, &quot;response_strengths&quot;: &quot;Thorough explanation and clear code correction.&quot;, &quot;response_issues&quot;: &quot;None significant; very complete.&quot;, &quot;prompt_rewrite&quot;: &quot;[MODE:summary_code_explanation] Konteks: Saya sedang mengerjakan fitur dan target. Error: NameError: name 'r2_score' is not defined. Kode terkait: ... Ekspektasi: r2_score sudah muncul dan penjelasan tentang cara memperbaikinya.&quot;, &quot;response_improvement_suggestions&quot;: &quot;Consider adding a brief example of how to test the fix.&quot;, &quot;verdict&quot;: &quot;excellent&quot;, &quot;needs_human_review&quot;: false}"/>
    <s v="ok"/>
    <n v="5"/>
  </r>
  <r>
    <x v="39"/>
    <s v="[MODE:summary_code_explanation]_x000a_dari data set saya Apakah nilai precision lebih besar daripada nilai recall? Ataukah sebaliknya? Jika nilai precision lebih besar daripada nilai recall atau sebaliknya, apakah artinya?"/>
    <s v="done"/>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d v="2026-03-17T12:28:51"/>
    <x v="4"/>
    <n v="0"/>
    <n v="55"/>
    <n v="527"/>
    <n v="582"/>
    <n v="216"/>
    <n v="1948"/>
    <n v="4503"/>
    <n v="4"/>
    <n v="5"/>
    <n v="5"/>
    <s v="Clear and specific question about precision and recall."/>
    <s v="Could provide more context about the dataset."/>
    <s v="Thorough explanation with relevant code examples."/>
    <s v="None significant; very comprehensive."/>
    <s v="Dari dataset saya, apakah nilai precision lebih besar daripada nilai recall? Jika ya, apa artinya dalam konteks model saya?"/>
    <s v="None; response is already complete and clear."/>
    <s v="excellent"/>
    <b v="0"/>
    <s v="gpt-4o-mini"/>
    <s v="{&quot;prompt_score&quot;: 4, &quot;response_score&quot;: 5, &quot;overall_score&quot;: 5, &quot;prompt_strengths&quot;: &quot;Clear and specific question about precision and recall.&quot;, &quot;prompt_issues&quot;: &quot;Could provide more context about the dataset.&quot;, &quot;response_strengths&quot;: &quot;Thorough explanation with relevant code examples.&quot;, &quot;response_issues&quot;: &quot;None significant; very comprehensive.&quot;, &quot;prompt_rewrite&quot;: &quot;Dari dataset saya, apakah nilai precision lebih besar daripada nilai recall? Jika ya, apa artinya dalam konteks model saya?&quot;, &quot;response_improvement_suggestions&quot;: &quot;None; response is already complete and clear.&quot;, &quot;verdict&quot;: &quot;excellent&quot;, &quot;needs_human_review&quot;: false}"/>
    <s v="ok"/>
    <n v="5"/>
  </r>
  <r>
    <x v="39"/>
    <s v="[MODE:summary_code_explanation]_x000a_Konteks: Saya sedang mengerjakan [topik/tugas]._x000a_Error: ---------------------------------------------------------------------------_x000a_NameError                                 Traceback (most recent call last)_x000a_Cell In[9], line 51_x000a_     44 print(&quot;y_clf_train:&quot;, y_clf_train.shape, &quot;y_clf_test:&quot;, y_clf_test.shape)_x000a_     46 # =========================_x000a_     47 # 4) Gunakan hasil prediksi regresi sebagai input klasifikasi_x000a_     48 #    (Placeholder: nanti setelah Anda melatih model regresi dan menghasilkan y_reg_pred)_x000a_     49 # =========================_x000a_     50 #Contoh alur (setelah ada model regresi):_x000a_---&gt; 51 y_reg_pred_train = reg_model.predict(X_train)_x000a_     52 y_reg_pred_test  = reg_model.predict(X_test)_x000a_     54 X_train_clf = X_train.copy()_x000a__x000a_NameError: name 'reg_model' is not defined_x000a_Kode terkait: .target_reg = &quot;final_exam_score&quot;_x000a_if target_reg not in df.columns:_x000a_    raise ValueError(f&quot;Kolom target regresi '{target_reg}' tidak ditemukan. Kolom tersedia: {list(df.columns)}&quot;)_x000a__x000a_target_clf = &quot;pass_fail&quot;_x000a__x000a_drop_cols = [c for c in [target_reg, target_clf] if c in df.columns]_x000a_X = df.drop(columns=drop_cols)_x000a_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Contoh alur (setelah ada model regresi):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_x000a_Ekspektasi: reg_model ada setelah train model._x000a__x000a_tolong perbaiki code ini"/>
    <s v="done"/>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 Jika mapping tidak cocok, fallback ke factorize_x000a_    if y_clf.isna().any():_x000a_        y_clf = pd.factorize(y_clf_raw)[0]_x000a_else:_x000a_    y_clf = y_clf_raw_x000a__x000a_# =========================_x000a_# 3) Split data 80:20_x000a_# =========================_x000a_X_train, X_test, y_reg_train, y_reg_test, y_clf_train, y_clf_test = train_test_split(_x000a_    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 Jika mapping tidak cocok, fallback ke factorize_x000a_    if y_clf.isna().any():_x000a_        y_clf = pd.factorize(y_clf_raw)[0]_x000a_else:_x000a_    y_clf = y_clf_raw_x000a__x000a_# =========================_x000a_# 3) Split data 80:20_x000a_# =========================_x000a_X_train, X_test, y_reg_train, y_reg_test, y_clf_train, y_clf_test = train_test_split(_x000a_    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d v="2026-04-14T10:58:22"/>
    <x v="3"/>
    <n v="0"/>
    <n v="933"/>
    <n v="1066"/>
    <n v="1999"/>
    <n v="3183"/>
    <n v="3842"/>
    <n v="4925"/>
    <n v="4"/>
    <n v="5"/>
    <n v="5"/>
    <s v="Clear context and specific error message."/>
    <s v="Could provide more details on the expected output format."/>
    <s v="Thorough explanation with corrected code and reasoning."/>
    <s v="None significant; all aspects addressed well."/>
    <s v="[MODE:summary_code_explanation] Konteks: Saya sedang mengerjakan [topik/tugas]. Saya mengalami error saat menjalankan kode berikut: [sertakan kode dan error]. Tolong perbaiki dan jelaskan langkah-langkah perbaikannya."/>
    <s v="Consider adding comments in the code to enhance understanding."/>
    <s v="excellent"/>
    <b v="0"/>
    <s v="gpt-4o-mini"/>
    <s v="{&quot;prompt_score&quot;: 4, &quot;response_score&quot;: 5, &quot;overall_score&quot;: 5, &quot;prompt_strengths&quot;: &quot;Clear context and specific error message.&quot;, &quot;prompt_issues&quot;: &quot;Could provide more details on the expected output format.&quot;, &quot;response_strengths&quot;: &quot;Thorough explanation with corrected code and reasoning.&quot;, &quot;response_issues&quot;: &quot;None significant; all aspects addressed well.&quot;, &quot;prompt_rewrite&quot;: &quot;[MODE:summary_code_explanation] Konteks: Saya sedang mengerjakan [topik/tugas]. Saya mengalami error saat menjalankan kode berikut: [sertakan kode dan error]. Tolong perbaiki dan jelaskan langkah-langkah perbaikannya.&quot;, &quot;response_improvement_suggestions&quot;: &quot;Consider adding comments in the code to enhance understanding.&quot;, &quot;verdict&quot;: &quot;excellent&quot;, &quot;needs_human_review&quot;: false}"/>
    <s v="ok"/>
    <n v="5"/>
  </r>
  <r>
    <x v="40"/>
    <s v="[MODE:code]_x000a_Extract semua baris dan kolom ke-1 s.d. ke-7 ke dalam variabel X. bantu aku kerjakan ini dong. tolong"/>
    <s v="done"/>
    <s v="X = array[:, 0:7]"/>
    <s v="```python_x000a_X = array[:, 0:7]_x000a_```"/>
    <d v="2026-03-11T16:09:38"/>
    <x v="2"/>
    <n v="0"/>
    <n v="38"/>
    <n v="13"/>
    <n v="51"/>
    <n v="113"/>
    <n v="31"/>
    <n v="2847"/>
    <n v="3"/>
    <n v="4"/>
    <n v="3"/>
    <s v="Request is clear about the task."/>
    <s v="Lacks specificity on the data structure and programming language."/>
    <s v="Response is relevant and mostly correct."/>
    <s v="Incomplete; does not specify the data structure or context."/>
    <s v="[MODE:code] Extract all rows and columns 1 to 7 from a given dataset into variable X. Please specify the programming language and data structure."/>
    <s v="Clarify the data structure and ensure the syntax is correct for the specified programming language."/>
    <s v="fair"/>
    <b v="0"/>
    <s v="gpt-4o-mini"/>
    <s v="{&quot;prompt_score&quot;: 3, &quot;response_score&quot;: 4, &quot;overall_score&quot;: 3, &quot;prompt_strengths&quot;: &quot;Request is clear about the task.&quot;, &quot;prompt_issues&quot;: &quot;Lacks specificity on the data structure and programming language.&quot;, &quot;response_strengths&quot;: &quot;Response is relevant and mostly correct.&quot;, &quot;response_issues&quot;: &quot;Incomplete; does not specify the data structure or context.&quot;, &quot;prompt_rewrite&quot;: &quot;[MODE:code] Extract all rows and columns 1 to 7 from a given dataset into variable X. Please specify the programming language and data structure.&quot;, &quot;response_improvement_suggestions&quot;: &quot;Clarify the data structure and ensure the syntax is correct for the specified programming language.&quot;, &quot;verdict&quot;: &quot;fair&quot;, &quot;needs_human_review&quot;: false}"/>
    <s v="ok"/>
    <n v="3"/>
  </r>
  <r>
    <x v="40"/>
    <s v="[MODE:code]_x000a_Sekarang, kita akan lihat hasil dari model yang di train menggunakan linear regression. bantu aku apak"/>
    <s v="done"/>
    <s v="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    X, y, test_size=0.2, random_state=42_x000a_)_x000a__x000a_# Identify numeric columns_x000a_numeric_features = X.select_dtypes(include=[&quot;number&quot;]).columns_x000a__x000a_# Preprocessor for numeric data_x000a_preprocessor = ColumnTransformer(_x000a_    transformers=[_x000a_        (&quot;num&quot;, numeric_pipeline, numeric_features),_x000a_    ],_x000a_    remainder=&quot;drop&quot;_x000a_)_x000a__x000a_# Build model pipeline_x000a_model = Pipeline(steps=[_x000a_    (&quot;preprocess&quot;, preprocessor),_x000a_    (&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
    <s v="```python_x000a_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    X, y, test_size=0.2, random_state=42_x000a_)_x000a__x000a_# Identify numeric columns_x000a_numeric_features = X.select_dtypes(include=[&quot;number&quot;]).columns_x000a__x000a_# Preprocessor for numeric data_x000a_preprocessor = ColumnTransformer(_x000a_    transformers=[_x000a_        (&quot;num&quot;, numeric_pipeline, numeric_features),_x000a_    ],_x000a_    remainder=&quot;drop&quot;_x000a_)_x000a__x000a_# Build model pipeline_x000a_model = Pipeline(steps=[_x000a_    (&quot;preprocess&quot;, preprocessor),_x000a_    (&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_x000a_```"/>
    <d v="2026-03-04T15:52:02"/>
    <x v="6"/>
    <n v="0"/>
    <n v="29"/>
    <n v="276"/>
    <n v="305"/>
    <n v="114"/>
    <n v="1084"/>
    <n v="3000"/>
    <n v="3"/>
    <n v="4"/>
    <n v="4"/>
    <s v="The prompt indicates a coding context and requests assistance with linear regression."/>
    <s v="The prompt is incomplete and lacks clarity on what specific help is needed."/>
    <s v="The response provides a complete and relevant code example for training a linear regression model."/>
    <s v="The response could benefit from additional comments or explanations for clarity."/>
    <s v="[MODE:code] Please help me understand the results of a linear regression model I trained. What should I look for?"/>
    <s v="Add comments to explain each step of the code for better understanding."/>
    <s v="good"/>
    <b v="0"/>
    <s v="gpt-4o-mini"/>
    <s v="{&quot;prompt_score&quot;: 3, &quot;response_score&quot;: 4, &quot;overall_score&quot;: 4, &quot;prompt_strengths&quot;: &quot;The prompt indicates a coding context and requests assistance with linear regression.&quot;, &quot;prompt_issues&quot;: &quot;The prompt is incomplete and lacks clarity on what specific help is needed.&quot;, &quot;response_strengths&quot;: &quot;The response provides a complete and relevant code example for training a linear regression model.&quot;, &quot;response_issues&quot;: &quot;The response could benefit from additional comments or explanations for clarity.&quot;, &quot;prompt_rewrite&quot;: &quot;[MODE:code] Please help me understand the results of a linear regression model I trained. What should I look for?&quot;, &quot;response_improvement_suggestions&quot;: &quot;Add comments to explain each step of the code for better understanding.&quot;, &quot;verdict&quot;: &quot;good&quot;, &quot;needs_human_review&quot;: false}"/>
    <s v="ok"/>
    <n v="4"/>
  </r>
  <r>
    <x v="41"/>
    <s v="[MODE:code]_x000a_[ASSESSMENT_ID:1771cf81-0a65-11f1-b762-3e0936ad7efb]_x000a_[FORCE_GPT:true]_x000a_[AUTO_FALLBACK:true]_x000a_step selanjutnya setelah eksplorasi data, yang saya mau lakukan adalah Simpan semua nilai dataframe ke dalam variabel array. Hint: gunakan attribute values dari dataframe._x000a__x000a_Setelah itu saya mau Extract semua baris dan kolom ke-1 s.d. ke-7 ke dalam variabel X._x000a__x000a_Setelah diextract, tolong Simpan semua baris dari kolom ke-7 ke dalam variabel `y`._x000a__x000a_Lalu step terakhir ialah Buatlah variabel yang bernama seed dengan nilai 7._x000a__x000a_Tolong pisahkan kode agar kode dapat dibaca/terlihat dengan mudah."/>
    <s v="done"/>
    <s v="import numpy as np_x000a__x000a_# 1) Simpan semua nilai dataframe ke dalam variabel array_x000a_array = df.values_x000a__x000a_# 2) Extract semua baris dan kolom ke-1 s.d. ke-7 (1-based) ke dalam variabel X_x000a_#    (1-based kolom 1..7 =&gt; 0-based index 0..6)_x000a_X = array[:, 0:7]_x000a__x000a_# 3) Simpan semua baris dari kolom ke-7 (1-based) ke dalam variabel y_x000a_#    (kolom ke-7 =&gt; index 6)_x000a_y = array[:, 6]_x000a__x000a_# 4) Buat variabel seed bernilai 7_x000a_seed = 7"/>
    <s v="```python_x000a_import numpy as np_x000a__x000a_# 1) Simpan semua nilai dataframe ke dalam variabel array_x000a_array = df.values_x000a__x000a_# 2) Extract semua baris dan kolom ke-1 s.d. ke-7 (1-based) ke dalam variabel X_x000a_#    (1-based kolom 1..7 =&gt; 0-based index 0..6)_x000a_X = array[:, 0:7]_x000a__x000a_# 3) Simpan semua baris dari kolom ke-7 (1-based) ke dalam variabel y_x000a_#    (kolom ke-7 =&gt; index 6)_x000a_y = array[:, 6]_x000a__x000a_# 4) Buat variabel seed bernilai 7_x000a_seed = 7_x000a_```"/>
    <d v="2026-03-17T12:17:24"/>
    <x v="4"/>
    <n v="0"/>
    <n v="180"/>
    <n v="154"/>
    <n v="334"/>
    <n v="592"/>
    <n v="417"/>
    <n v="190"/>
    <n v="4"/>
    <n v="5"/>
    <n v="4"/>
    <s v="Clear instructions and specific steps."/>
    <s v="Could benefit from clearer formatting."/>
    <s v="Correct and complete code implementation."/>
    <s v="Could use more comments for clarity."/>
    <s v="Setelah eksplorasi data, simpan semua nilai dataframe ke dalam variabel array menggunakan attribute values. Extract semua baris dan kolom ke-1 s.d. ke-7 ke dalam variabel X, dan simpan semua baris dari kolom ke-7 ke dalam variabel y. Buat variabel seed dengan nilai 7. Pisahkan kode agar mudah dibaca."/>
    <s v="Add more comments to explain each step of the code."/>
    <s v="good"/>
    <b v="0"/>
    <s v="gpt-4o-mini"/>
    <s v="{&quot;prompt_score&quot;: 4, &quot;response_score&quot;: 5, &quot;overall_score&quot;: 4, &quot;prompt_strengths&quot;: &quot;Clear instructions and specific steps.&quot;, &quot;prompt_issues&quot;: &quot;Could benefit from clearer formatting.&quot;, &quot;response_strengths&quot;: &quot;Correct and complete code implementation.&quot;, &quot;response_issues&quot;: &quot;Could use more comments for clarity.&quot;, &quot;prompt_rewrite&quot;: &quot;Setelah eksplorasi data, simpan semua nilai dataframe ke dalam variabel array menggunakan attribute values. Extract semua baris dan kolom ke-1 s.d. ke-7 ke dalam variabel X, dan simpan semua baris dari kolom ke-7 ke dalam variabel y. Buat variabel seed dengan nilai 7. Pisahkan kode agar mudah dibaca.&quot;, &quot;response_improvement_suggestions&quot;: &quot;Add more comments to explain each step of the code.&quot;, &quot;verdict&quot;: &quot;good&quot;, &quot;needs_human_review&quot;: false}"/>
    <s v="ok"/>
    <n v="4"/>
  </r>
  <r>
    <x v="41"/>
    <s v="[MODE:code]_x000a_Sekarang saya mau membuat model yang merupakan model LogisticRegression dengan parameter solver adalah liblinear. _x000a__x000a_Setelah itu saya mau menggunakan method `cross_val_score` dengan parameter sbb:    _x000a_- `model`,_x000a_- `X`,_x000a_- `y`, dan_x000a_- parameter `cv` yang bernilai `loocv`.    _x000a__x000a_Simpan hasil `cross_val_score` dalam variabel `results`._x000a__x000a_Terakhir, tolong Cetaklah hasil cross-validation sbb:     _x000a_`Accuracy: &lt;Nilai Rata-Rata&gt;% (&lt;Nilai Simpangan Baku&gt;%)`    _x000a_Harapannya nilai akurasi $\approx 76\%$_x000a_    _x000a_**Hint**: Gunakan method masing-masing `mean` dan `std` untuk rata-rata dan simpangan baku."/>
    <s v="done"/>
    <s v="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
    <s v="```python_x000a_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_x000a_```"/>
    <d v="2026-03-10T13:16:04"/>
    <x v="2"/>
    <n v="0"/>
    <n v="168"/>
    <n v="73"/>
    <n v="241"/>
    <n v="600"/>
    <n v="289"/>
    <n v="849"/>
    <n v="4"/>
    <n v="5"/>
    <n v="5"/>
    <s v="Clear instructions with specific requirements."/>
    <s v="Could specify the expected format for 'loocv'."/>
    <s v="Correct implementation of the prompt requirements."/>
    <s v="None."/>
    <s v="Buat model LogisticRegression dengan solver 'liblinear', gunakan cross_val_score dengan model, X, y, dan cv=loocv. Simpan hasilnya dalam 'results' dan cetak 'Accuracy: &lt;Nilai Rata-Rata&gt;% (&lt;Nilai Simpangan Baku&gt;%)'."/>
    <s v="Ensure 'loocv' is defined or clarify its expected value."/>
    <s v="excellent"/>
    <b v="0"/>
    <s v="gpt-4o-mini"/>
    <s v="{&quot;prompt_score&quot;: 4, &quot;response_score&quot;: 5, &quot;overall_score&quot;: 5, &quot;prompt_strengths&quot;: &quot;Clear instructions with specific requirements.&quot;, &quot;prompt_issues&quot;: &quot;Could specify the expected format for 'loocv'.&quot;, &quot;response_strengths&quot;: &quot;Correct implementation of the prompt requirements.&quot;, &quot;response_issues&quot;: &quot;None.&quot;, &quot;prompt_rewrite&quot;: &quot;Buat model LogisticRegression dengan solver 'liblinear', gunakan cross_val_score dengan model, X, y, dan cv=loocv. Simpan hasilnya dalam 'results' dan cetak 'Accuracy: &lt;Nilai Rata-Rata&gt;% (&lt;Nilai Simpangan Baku&gt;%)'.&quot;, &quot;response_improvement_suggestions&quot;: &quot;Ensure 'loocv' is defined or clarify its expected value.&quot;, &quot;verdict&quot;: &quot;excellent&quot;, &quot;needs_human_review&quot;: false}"/>
    <s v="ok"/>
    <n v="5"/>
  </r>
  <r>
    <x v="41"/>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
    <s v="done"/>
    <s v="import matplotlib.pyplot as plt_x000a_import seaborn as sns_x000a__x000a_# Asumsi: DataFrame bernama `df` sudah tersedia_x000a_target_col = &quot;Outcome&quot;_x000a__x000a_# Kolom fitur sesuai dataset (sesuaikan jika ada perbedaan nama)_x000a_feature_cols = [_x000a_    &quot;Pregnancie&quot;, &quot;Glucose&quot;, &quot;BloodPressure&quot;, &quot;SkinThickness&quot;, &quot;Insulin&quot;,_x000a_    &quot;BMI&quot;, &quot;DiabetesPedigreeFunction&quot;, &quot;Age&quot;_x000a_]_x000a__x000a_sns.set_theme(style=&quot;whitegrid&quot;)_x000a__x000a_# 1) Heatmap korelasi (untuk melihat hubungan antar fitur &amp; dengan target)_x000a_plt.figure(figsize=(10, 7))_x000a_corr = df[feature_cols + [target_col]].corr(numeric_only=True)_x000a_sns.heatmap(corr, annot=True, fmt=&quot;.2f&quot;, cmap=&quot;RdBu_r&quot;, center=0, square=True, linewidths=0.5)_x000a_plt.title(&quot;Correlation Heatmap (Fitur + Outcome)&quot;)_x000a_plt.tight_layout()_x000a_plt.show()_x000a__x000a_# 2) Distribusi fitur per kelas (Outcome) menggunakan boxplot (mendeteksi perbedaan &amp; outlier)_x000a_melted = df.melt(id_vars=target_col, value_vars=feature_cols, var_name=&quot;Feature&quot;, value_name=&quot;Value&quot;)_x000a__x000a_plt.figure(figsize=(12, 6))_x000a_sns.boxplot(data=melted, x=&quot;Feature&quot;, y=&quot;Value&quot;, hue=target_col)_x000a_plt.title(&quot;Distribusi Fitur per Kelas (Outcome) - Boxplot&quot;)_x000a_plt.xlabel(&quot;&quot;)_x000a_plt.ylabel(&quot;Nilai&quot;)_x000a_plt.xticks(rotation=30, ha=&quot;right&quot;)_x000a_plt.legend(title=&quot;Outcome&quot;, loc=&quot;upper right&quot;)_x000a_plt.tight_layout()_x000a_plt.show()"/>
    <s v="```python_x000a_import matplotlib.pyplot as plt_x000a_import seaborn as sns_x000a__x000a_# Asumsi: DataFrame bernama `df` sudah tersedia_x000a_target_col = &quot;Outcome&quot;_x000a__x000a_# Kolom fitur sesuai dataset (sesuaikan jika ada perbedaan nama)_x000a_feature_cols = [_x000a_    &quot;Pregnancie&quot;, &quot;Glucose&quot;, &quot;BloodPressure&quot;, &quot;SkinThickness&quot;, &quot;Insulin&quot;,_x000a_    &quot;BMI&quot;, &quot;DiabetesPedigreeFunction&quot;, &quot;Age&quot;_x000a_]_x000a__x000a_sns.set_theme(style=&quot;whitegrid&quot;)_x000a__x000a_# 1) Heatmap korelasi (untuk melihat hubungan antar fitur &amp; dengan target)_x000a_plt.figure(figsize=(10, 7))_x000a_corr = df[feature_cols + [target_col]].corr(numeric_only=True)_x000a_sns.heatmap(corr, annot=True, fmt=&quot;.2f&quot;, cmap=&quot;RdBu_r&quot;, center=0, square=True, linewidths=0.5)_x000a_plt.title(&quot;Correlation Heatmap (Fitur + Outcome)&quot;)_x000a_plt.tight_layout()_x000a_plt.show()_x000a__x000a_# 2) Distribusi fitur per kelas (Outcome) menggunakan boxplot (mendeteksi perbedaan &amp; outlier)_x000a_melted = df.melt(id_vars=target_col, value_vars=feature_cols, var_name=&quot;Feature&quot;, value_name=&quot;Value&quot;)_x000a__x000a_plt.figure(figsize=(12, 6))_x000a_sns.boxplot(data=melted, x=&quot;Feature&quot;, y=&quot;Value&quot;, hue=target_col)_x000a_plt.title(&quot;Distribusi Fitur per Kelas (Outcome) - Boxplot&quot;)_x000a_plt.xlabel(&quot;&quot;)_x000a_plt.ylabel(&quot;Nilai&quot;)_x000a_plt.xticks(rotation=30, ha=&quot;right&quot;)_x000a_plt.legend(title=&quot;Outcome&quot;, loc=&quot;upper right&quot;)_x000a_plt.tight_layout()_x000a_plt.show()_x000a_```"/>
    <d v="2026-03-17T12:12:37"/>
    <x v="4"/>
    <n v="0"/>
    <n v="316"/>
    <n v="352"/>
    <n v="668"/>
    <n v="1110"/>
    <n v="1220"/>
    <n v="881"/>
    <n v="4"/>
    <n v="5"/>
    <n v="5"/>
    <s v="Clear and specific about EDA requirements."/>
    <s v="Could provide more context on the dataset."/>
    <s v="Relevant, correct, and complete visualizations provided."/>
    <s v="None identified."/>
    <s v="Setelah membuat ringkasan data dan mencari null, buat 2 visualisasi data yang diperlukan untuk memahami dataset ini lebih dalam, termasuk konteks dataset."/>
    <s v="Consider adding comments to explain each visualization step."/>
    <s v="excellent"/>
    <b v="0"/>
    <s v="gpt-4o-mini"/>
    <s v="{&quot;prompt_score&quot;: 4, &quot;response_score&quot;: 5, &quot;overall_score&quot;: 5, &quot;prompt_strengths&quot;: &quot;Clear and specific about EDA requirements.&quot;, &quot;prompt_issues&quot;: &quot;Could provide more context on the dataset.&quot;, &quot;response_strengths&quot;: &quot;Relevant, correct, and complete visualizations provided.&quot;, &quot;response_issues&quot;: &quot;None identified.&quot;, &quot;prompt_rewrite&quot;: &quot;Setelah membuat ringkasan data dan mencari null, buat 2 visualisasi data yang diperlukan untuk memahami dataset ini lebih dalam, termasuk konteks dataset.&quot;, &quot;response_improvement_suggestions&quot;: &quot;Consider adding comments to explain each visualization step.&quot;, &quot;verdict&quot;: &quot;excellent&quot;, &quot;needs_human_review&quot;: false}"/>
    <s v="ok"/>
    <n v="5"/>
  </r>
  <r>
    <x v="41"/>
    <s v="[MODE:summary]_x000a_untuk nomor dua, Jelaskan apa arti dari kedua temuan tersebut terhadap **variasi dan distribusi data**."/>
    <s v="done"/>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d v="2026-03-10T12:28:46"/>
    <x v="2"/>
    <n v="0"/>
    <n v="35"/>
    <n v="223"/>
    <n v="258"/>
    <n v="118"/>
    <n v="848"/>
    <n v="2660"/>
    <n v="4"/>
    <n v="5"/>
    <n v="4"/>
    <s v="Clear and specific request for explanation."/>
    <s v="Could provide more context on the findings."/>
    <s v="Thorough explanation of mean and standard deviation relevance."/>
    <s v="Could be more concise."/>
    <s v="[MODE:summary] Jelaskan arti dari kedua temuan tersebut terhadap variasi dan distribusi data, dengan konteks yang lebih jelas."/>
    <s v="Summarize key points more concisely for clarity."/>
    <s v="good"/>
    <b v="0"/>
    <s v="gpt-4o-mini"/>
    <s v="{&quot;prompt_score&quot;: 4, &quot;response_score&quot;: 5, &quot;overall_score&quot;: 4, &quot;prompt_strengths&quot;: &quot;Clear and specific request for explanation.&quot;, &quot;prompt_issues&quot;: &quot;Could provide more context on the findings.&quot;, &quot;response_strengths&quot;: &quot;Thorough explanation of mean and standard deviation relevance.&quot;, &quot;response_issues&quot;: &quot;Could be more concise.&quot;, &quot;prompt_rewrite&quot;: &quot;[MODE:summary] Jelaskan arti dari kedua temuan tersebut terhadap variasi dan distribusi data, dengan konteks yang lebih jelas.&quot;, &quot;response_improvement_suggestions&quot;: &quot;Summarize key points more concisely for clarity.&quot;, &quot;verdict&quot;: &quot;good&quot;, &quot;needs_human_review&quot;: false}"/>
    <s v="ok"/>
    <n v="4"/>
  </r>
  <r>
    <x v="41"/>
    <s v="[MODE:summary_code_explanation]_x000a_# 1) Pilih model regresi terbaik dari Bagian 4 (berdasarkan RMSE terendah)_x000a_best_reg_name = results_df.iloc[0][&quot;model&quot;]_x000a_best_reg_model = models[best_reg_name]_x000a__x000a_bagian ini ada yang salah"/>
    <s v="done"/>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d v="2026-04-14T11:30:05"/>
    <x v="3"/>
    <n v="0"/>
    <n v="64"/>
    <n v="324"/>
    <n v="388"/>
    <n v="216"/>
    <n v="1087"/>
    <n v="2712"/>
    <n v="3"/>
    <n v="5"/>
    <n v="4"/>
    <s v="Identifies a specific coding issue."/>
    <s v="Lacks clarity and context for users unfamiliar with the code."/>
    <s v="Provides a clear and correct explanation with actionable code examples."/>
    <s v="Could be more concise."/>
    <s v="[MODE:summary_code_explanation] # 1) Pilih model regresi terbaik dari Bagian 4 berdasarkan RMSE terendah. Terdapat kesalahan dalam akses kolom pada DataFrame results_df."/>
    <s v="Consider summarizing the explanation to focus on the key points more directly."/>
    <s v="good"/>
    <b v="0"/>
    <s v="gpt-4o-mini"/>
    <s v="{&quot;prompt_score&quot;: 3, &quot;response_score&quot;: 5, &quot;overall_score&quot;: 4, &quot;prompt_strengths&quot;: &quot;Identifies a specific coding issue.&quot;, &quot;prompt_issues&quot;: &quot;Lacks clarity and context for users unfamiliar with the code.&quot;, &quot;response_strengths&quot;: &quot;Provides a clear and correct explanation with actionable code examples.&quot;, &quot;response_issues&quot;: &quot;Could be more concise.&quot;, &quot;prompt_rewrite&quot;: &quot;[MODE:summary_code_explanation] # 1) Pilih model regresi terbaik dari Bagian 4 berdasarkan RMSE terendah. Terdapat kesalahan dalam akses kolom pada DataFrame results_df.&quot;, &quot;response_improvement_suggestions&quot;: &quot;Consider summarizing the explanation to focus on the key points more directly.&quot;, &quot;verdict&quot;: &quot;good&quot;, &quot;needs_human_review&quot;: false}"/>
    <s v="ok"/>
    <n v="4"/>
  </r>
  <r>
    <x v="41"/>
    <s v="[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d v="2026-03-10T12:22:07"/>
    <x v="2"/>
    <n v="0"/>
    <n v="408"/>
    <n v="738"/>
    <n v="1146"/>
    <n v="1423"/>
    <n v="2506"/>
    <n v="3396"/>
    <n v="4"/>
    <n v="5"/>
    <n v="5"/>
    <s v="Detailed and structured with clear questions."/>
    <s v="Could be slightly overwhelming due to length."/>
    <s v="Thorough, relevant, and provides actionable guidance."/>
    <s v="Lacks specific examples from the dataset."/>
    <s v="[MODE:summary] 1. **Struktur Dataset**: Berapa jumlah **observasi** dan **fitur** pada dataset? Sebutkan **target variable**. 2. **Statistik Deskriptif**: Fitur dengan **mean tertinggi** dan **standar deviasi terbesar**? Apa arti temuan ini? 3. **Pemeriksaan Nilai Minimum**: Fitur dengan **nilai minimum = 0** yang tidak realistis? Sebutkan dan jelaskan penyebabnya. 4. **Analisis Correlation Matrix**: Fitur dengan **korelasi paling kuat** terhadap `class`? Hubungan positif atau negatif? 5. **Korelasi Antar Fitur**: Pasangan fitur dengan **korelasi tinggi**? Implikasi terhadap model?"/>
    <s v="Include specific examples or hypothetical values to illustrate points."/>
    <s v="excellent"/>
    <b v="0"/>
    <s v="gpt-4o-mini"/>
    <s v="{&quot;prompt_score&quot;: 4, &quot;response_score&quot;: 5, &quot;overall_score&quot;: 5, &quot;prompt_strengths&quot;: &quot;Detailed and structured with clear questions.&quot;, &quot;prompt_issues&quot;: &quot;Could be slightly overwhelming due to length.&quot;, &quot;response_strengths&quot;: &quot;Thorough, relevant, and provides actionable guidance.&quot;, &quot;response_issues&quot;: &quot;Lacks specific examples from the dataset.&quot;, &quot;prompt_rewrite&quot;: &quot;[MODE:summary] 1. **Struktur Dataset**: Berapa jumlah **observasi** dan **fitur** pada dataset? Sebutkan **target variable**. 2. **Statistik Deskriptif**: Fitur dengan **mean tertinggi** dan **standar deviasi terbesar**? Apa arti temuan ini? 3. **Pemeriksaan Nilai Minimum**: Fitur dengan **nilai minimum = 0** yang tidak realistis? Sebutkan dan jelaskan penyebabnya. 4. **Analisis Correlation Matrix**: Fitur dengan **korelasi paling kuat** terhadap `class`? Hubungan positif atau negatif? 5. **Korelasi Antar Fitur**: Pasangan fitur dengan **korelasi tinggi**? Implikasi terhadap model?&quot;, &quot;response_improvement_suggestions&quot;: &quot;Include specific examples or hypothetical values to illustrate points.&quot;, &quot;verdict&quot;: &quot;excellent&quot;, &quot;needs_human_review&quot;: false}"/>
    <s v="ok"/>
    <n v="5"/>
  </r>
  <r>
    <x v="41"/>
    <s v="[MODE:code]_x000a_Sekarang ayo kita munculkan best score dan best parameter dari grid. buatkan saya kode untuk memunculkan best score dan best parameter dari  grid saya"/>
    <s v="done"/>
    <s v="print(&quot;Best Score:&quot;, grid.best_score_)_x000a_print(&quot;Best Parameters:&quot;, grid.best_params_)"/>
    <s v="```python_x000a_print(&quot;Best Score:&quot;, grid.best_score_)_x000a_print(&quot;Best Parameters:&quot;, grid.best_params_)_x000a_```"/>
    <d v="2026-03-10T13:12:42"/>
    <x v="2"/>
    <n v="0"/>
    <n v="41"/>
    <n v="22"/>
    <n v="63"/>
    <n v="162"/>
    <n v="97"/>
    <n v="3435"/>
    <n v="4"/>
    <n v="4"/>
    <n v="4"/>
    <s v="Clear request for code to display best score and parameters."/>
    <s v="Could specify the programming language for clarity."/>
    <s v="Correct and relevant code snippet provided."/>
    <s v="Lacks explanation or context for the code."/>
    <s v="Buatkan saya kode Python untuk memunculkan best score dan best parameter dari grid saya."/>
    <s v="Add comments to explain the code functionality."/>
    <s v="good"/>
    <b v="0"/>
    <s v="gpt-4o-mini"/>
    <s v="{&quot;prompt_score&quot;: 4, &quot;response_score&quot;: 4, &quot;overall_score&quot;: 4, &quot;prompt_strengths&quot;: &quot;Clear request for code to display best score and parameters.&quot;, &quot;prompt_issues&quot;: &quot;Could specify the programming language for clarity.&quot;, &quot;response_strengths&quot;: &quot;Correct and relevant code snippet provided.&quot;, &quot;response_issues&quot;: &quot;Lacks explanation or context for the code.&quot;, &quot;prompt_rewrite&quot;: &quot;Buatkan saya kode Python untuk memunculkan best score dan best parameter dari grid saya.&quot;, &quot;response_improvement_suggestions&quot;: &quot;Add comments to explain the code functionality.&quot;, &quot;verdict&quot;: &quot;good&quot;, &quot;needs_human_review&quot;: false}"/>
    <s v="ok"/>
    <n v="4"/>
  </r>
  <r>
    <x v="41"/>
    <s v="[MODE:summary_code_explanation]_x000a_saya mau melakukan training data dengan 2 model dimana saya akan menggunakan linear reggresion dan juga random forest. berikut kode yang sudah saya buat :_x000a__x000a_linreg_pipeline = Pipeline([_x000a_    (&quot;preprocessing&quot;, preprocessor),_x000a_    (&quot;model&quot;, LinearRegression())_x000a_])_x000a__x000a_linreg_pipeline.fit(X_train, y_train)_x000a__x000a_pred = ## YOUR CODE HERE ##_x000a__x000a_mae = mean_absolute_error(y_test, pred)_x000a_rmse = np.sqrt(mean_squared_error(y_test, pred))_x000a_r2 = r2_score(y_test, pred)_x000a__x000a_print(&quot;MAE :&quot;, mae)_x000a_print(&quot;RMSE:&quot;, rmse)_x000a_print(&quot;R2  :&quot;, r2)_x000a__x000a_PROMPT: tolong isi bagian ##YOUR CODE HERE ## dan berikan juga penjelasannya"/>
    <s v="done"/>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d v="2026-03-03T12:13:35"/>
    <x v="6"/>
    <n v="0"/>
    <n v="163"/>
    <n v="198"/>
    <n v="361"/>
    <n v="615"/>
    <n v="708"/>
    <n v="3950"/>
    <n v="4"/>
    <n v="5"/>
    <n v="4"/>
    <s v="Clear request for code completion and explanation."/>
    <s v="Minor spelling error in 'reggresion'."/>
    <s v="Accurate and detailed explanation of the code."/>
    <s v="None identified."/>
    <s v="Saya mau melakukan training data dengan 2 model, yaitu linear regression dan random forest. Berikut kode yang sudah saya buat: linreg_pipeline = Pipeline([ (&quot;preprocessing&quot;, preprocessor), (&quot;model&quot;, LinearRegression()) ]) linreg_pipeline.fit(X_train, y_train) pred = ## YOUR CODE HERE ## mae = mean_absolute_error(y_test, pred) rmse = np.sqrt(mean_squared_error(y_test, pred)) r2 = r2_score(y_test, pred) print(&quot;MAE :&quot;, mae) print(&quot;RMSE:&quot;, rmse) print(&quot;R2 :&quot;, r2) Tolong isi bagian ##YOUR CODE HERE## dan berikan juga penjelasannya."/>
    <s v="None needed; response is complete and clear."/>
    <s v="good"/>
    <b v="0"/>
    <s v="gpt-4o-mini"/>
    <s v="{&quot;prompt_score&quot;: 4, &quot;response_score&quot;: 5, &quot;overall_score&quot;: 4, &quot;prompt_strengths&quot;: &quot;Clear request for code completion and explanation.&quot;, &quot;prompt_issues&quot;: &quot;Minor spelling error in 'reggresion'.&quot;, &quot;response_strengths&quot;: &quot;Accurate and detailed explanation of the code.&quot;, &quot;response_issues&quot;: &quot;None identified.&quot;, &quot;prompt_rewrite&quot;: &quot;Saya mau melakukan training data dengan 2 model, yaitu linear regression dan random forest. Berikut kode yang sudah saya buat: linreg_pipeline = Pipeline([ (\&quot;preprocessing\&quot;, preprocessor), (\&quot;model\&quot;, LinearRegression()) ]) linreg_pipeline.fit(X_train, y_train) pred = ## YOUR CODE HERE ## mae = mean_absolute_error(y_test, pred) rmse = np.sqrt(mean_squared_error(y_test, pred)) r2 = r2_score(y_test, pred) print(\&quot;MAE :\&quot;, mae) print(\&quot;RMSE:\&quot;, rmse) print(\&quot;R2 :\&quot;, r2) Tolong isi bagian ##YOUR CODE HERE## dan berikan juga penjelasannya.&quot;, &quot;response_improvement_suggestions&quot;: &quot;None needed; response is complete and clear.&quot;, &quot;verdict&quot;: &quot;good&quot;, &quot;needs_human_review&quot;: false}"/>
    <s v="ok"/>
    <n v="4"/>
  </r>
  <r>
    <x v="41"/>
    <s v="[MODE:code]_x000a_Konteks: Saya sedang mengerjakan tugas machError: [paste pesan error lengkap]._x000a_Kode terkait: [paste potongan kode minimal yang error]._x000a_Ekspektasi: [hasil yang seharusnya]._x000a_Hasil aktual: [hasil saat ini]._x000a_Output diminta: 1) akar masalah 2) perbaikan kode 3) alasan perbaikan 4) cara verifikasi."/>
    <s v="done"/>
    <s v="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 import yang relevan_x000a_  - definisi fungsi/kelas terkait_x000a_  - baris yang memunculkan error_x000a_  -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
    <s v="```text_x000a_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 import yang relevan_x000a_  - definisi fungsi/kelas terkait_x000a_  - baris yang memunculkan error_x000a_  -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_x000a_```"/>
    <d v="2026-04-07T12:08:14"/>
    <x v="0"/>
    <n v="0"/>
    <n v="100"/>
    <n v="383"/>
    <n v="483"/>
    <n v="305"/>
    <n v="1198"/>
    <n v="4705"/>
    <n v="4"/>
    <n v="4"/>
    <n v="4"/>
    <s v="Clear structure and detailed requirements."/>
    <s v="Could be more concise."/>
    <s v="Thorough and covers all necessary details."/>
    <s v="Requires user input, which may delay assistance."/>
    <s v="[MODE:code] Konteks: Saya mengerjakan tugas machError. Kode terkait: [potongan kode minimal]. Ekspektasi: [hasil yang seharusnya]. Hasil aktual: [hasil saat ini]. Mohon berikan: 1) pesan error lengkap 2) akar masalah 3) perbaikan kode 4) alasan perbaikan 5) cara verifikasi."/>
    <s v="Provide a sample response or template to guide the user."/>
    <s v="good"/>
    <b v="0"/>
    <s v="gpt-4o-mini"/>
    <s v="{&quot;prompt_score&quot;: 4, &quot;response_score&quot;: 4, &quot;overall_score&quot;: 4, &quot;prompt_strengths&quot;: &quot;Clear structure and detailed requirements.&quot;, &quot;prompt_issues&quot;: &quot;Could be more concise.&quot;, &quot;response_strengths&quot;: &quot;Thorough and covers all necessary details.&quot;, &quot;response_issues&quot;: &quot;Requires user input, which may delay assistance.&quot;, &quot;prompt_rewrite&quot;: &quot;[MODE:code] Konteks: Saya mengerjakan tugas machError. Kode terkait: [potongan kode minimal]. Ekspektasi: [hasil yang seharusnya]. Hasil aktual: [hasil saat ini]. Mohon berikan: 1) pesan error lengkap 2) akar masalah 3) perbaikan kode 4) alasan perbaikan 5) cara verifikasi.&quot;, &quot;response_improvement_suggestions&quot;: &quot;Provide a sample response or template to guide the user.&quot;, &quot;verdict&quot;: &quot;good&quot;, &quot;needs_human_review&quot;: false}"/>
    <s v="ok"/>
    <n v="4"/>
  </r>
  <r>
    <x v="41"/>
    <s v="[MODE:summary]_x000a_sekarang saya mau masuk ke bagian training data dan test set. _x000a__x000a_##### DO NOT CHANGE HE CODE #####_x000a_array = dataframe.values"/>
    <s v="done"/>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d v="2026-03-10T12:50:37"/>
    <x v="2"/>
    <n v="0"/>
    <n v="34"/>
    <n v="104"/>
    <n v="138"/>
    <n v="137"/>
    <n v="358"/>
    <n v="4766"/>
    <n v="3"/>
    <n v="4"/>
    <n v="3"/>
    <s v="Direct and specific about the topic."/>
    <s v="Lacks clarity in the context and purpose of the request."/>
    <s v="Accurate explanation of the code and its purpose."/>
    <s v="Could provide more context on the importance of train-test split."/>
    <s v="Jelaskan tentang penggunaan `array = dataframe.values` dalam konteks pemisahan data untuk training dan testing."/>
    <s v="Include a brief explanation of why train-test split is important."/>
    <s v="good"/>
    <b v="0"/>
    <s v="gpt-4o-mini"/>
    <s v="{&quot;prompt_score&quot;: 3, &quot;response_score&quot;: 4, &quot;overall_score&quot;: 3, &quot;prompt_strengths&quot;: &quot;Direct and specific about the topic.&quot;, &quot;prompt_issues&quot;: &quot;Lacks clarity in the context and purpose of the request.&quot;, &quot;response_strengths&quot;: &quot;Accurate explanation of the code and its purpose.&quot;, &quot;response_issues&quot;: &quot;Could provide more context on the importance of train-test split.&quot;, &quot;prompt_rewrite&quot;: &quot;Jelaskan tentang penggunaan `array = dataframe.values` dalam konteks pemisahan data untuk training dan testing.&quot;, &quot;response_improvement_suggestions&quot;: &quot;Include a brief explanation of why train-test split is important.&quot;, &quot;verdict&quot;: &quot;good&quot;, &quot;needs_human_review&quot;: false}"/>
    <s v="ok"/>
    <n v="4"/>
  </r>
  <r>
    <x v="42"/>
    <s v="[MODE:code]_x000a_Konteks: Jelaskan konsep Epoch untuk mahasiswa._x000a_Level: pemula._x000a_Minta: apkah Epoch itu 1 gradient, 1 fitur, 1iterasi atau 1 loop data"/>
    <s v="done"/>
    <s v="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  iterasi_per_epoch = ceil(N / B)_x000a__x000a_Contoh:_x000a_- N = 1000 data, batch size B = 100_x000a_- 1 epoch = lewat 1000 data sekali_x000a_- iterasi per epoch = 1000/100 = 10 iterasi (10 kali update bobot)_x000a__x000a_Catatan:_x000a_- Kalau pakai “full-batch gradient descent” (B = N), maka:_x000a_  1 epoch = 1 iterasi (1 update)_x000a_- Kalau pakai “mini-batch” (umum), maka:_x000a_  1 epoch = banyak iterasi (banyak update)"/>
    <s v="```text_x000a_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  iterasi_per_epoch = ceil(N / B)_x000a__x000a_Contoh:_x000a_- N = 1000 data, batch size B = 100_x000a_- 1 epoch = lewat 1000 data sekali_x000a_- iterasi per epoch = 1000/100 = 10 iterasi (10 kali update bobot)_x000a__x000a_Catatan:_x000a_- Kalau pakai “full-batch gradient descent” (B = N), maka:_x000a_  1 epoch = 1 iterasi (1 update)_x000a_- Kalau pakai “mini-batch” (umum), maka:_x000a_  1 epoch = banyak iterasi (banyak update)_x000a_```"/>
    <d v="2026-04-15T13:16:27"/>
    <x v="3"/>
    <n v="0"/>
    <n v="49"/>
    <n v="352"/>
    <n v="401"/>
    <n v="144"/>
    <n v="1075"/>
    <n v="233"/>
    <n v="4"/>
    <n v="5"/>
    <n v="4"/>
    <s v="Clear context and specific request."/>
    <s v="Could be more concise."/>
    <s v="Accurate, detailed, and well-structured explanation."/>
    <s v="None significant."/>
    <s v="[MODE:code] Konteks: Jelaskan konsep Epoch untuk mahasiswa pemula. Apa itu Epoch dalam konteks pelatihan model?"/>
    <s v="Consider summarizing key points for brevity."/>
    <s v="good"/>
    <b v="0"/>
    <s v="gpt-4o-mini"/>
    <s v="{&quot;prompt_score&quot;: 4, &quot;response_score&quot;: 5, &quot;overall_score&quot;: 4, &quot;prompt_strengths&quot;: &quot;Clear context and specific request.&quot;, &quot;prompt_issues&quot;: &quot;Could be more concise.&quot;, &quot;response_strengths&quot;: &quot;Accurate, detailed, and well-structured explanation.&quot;, &quot;response_issues&quot;: &quot;None significant.&quot;, &quot;prompt_rewrite&quot;: &quot;[MODE:code] Konteks: Jelaskan konsep Epoch untuk mahasiswa pemula. Apa itu Epoch dalam konteks pelatihan model?&quot;, &quot;response_improvement_suggestions&quot;: &quot;Consider summarizing key points for brevity.&quot;, &quot;verdict&quot;: &quot;good&quot;, &quot;needs_human_review&quot;: false}"/>
    <s v="ok"/>
    <n v="4"/>
  </r>
  <r>
    <x v="42"/>
    <s v="[MODE:summary]_x000a_Buatlah `model` yang merupakan model `LogisticRegression` dengan parameter `solver` adalah `liblinear`. model ="/>
    <s v="done"/>
    <s v="**SUMMARY**  _x000a_Buat instance `LogisticRegression` dan set `solver='liblinear'`, lalu simpan ke variabel `model`._x000a__x000a_model = LogisticRegression(solver='liblinear')"/>
    <s v="**SUMMARY**  _x000a_Buat instance `LogisticRegression` dan set `solver='liblinear'`, lalu simpan ke variabel `model`._x000a__x000a_model = LogisticRegression(solver='liblinear')"/>
    <d v="2026-03-11T16:13:21"/>
    <x v="2"/>
    <n v="0"/>
    <n v="31"/>
    <n v="42"/>
    <n v="73"/>
    <n v="126"/>
    <n v="159"/>
    <n v="407"/>
    <n v="4"/>
    <n v="5"/>
    <n v="4"/>
    <s v="Clear and specific about the model and parameters."/>
    <s v="Could provide more context on the purpose of the model."/>
    <s v="Correct and complete implementation of the prompt request."/>
    <s v="Could include a brief explanation of the model's purpose."/>
    <s v="Buatlah model `LogisticRegression` dengan parameter `solver` adalah `liblinear` untuk klasifikasi data."/>
    <s v="Add a brief explanation of what Logistic Regression is used for."/>
    <s v="good"/>
    <b v="0"/>
    <s v="gpt-4o-mini"/>
    <s v="{&quot;prompt_score&quot;: 4, &quot;response_score&quot;: 5, &quot;overall_score&quot;: 4, &quot;prompt_strengths&quot;: &quot;Clear and specific about the model and parameters.&quot;, &quot;prompt_issues&quot;: &quot;Could provide more context on the purpose of the model.&quot;, &quot;response_strengths&quot;: &quot;Correct and complete implementation of the prompt request.&quot;, &quot;response_issues&quot;: &quot;Could include a brief explanation of the model's purpose.&quot;, &quot;prompt_rewrite&quot;: &quot;Buatlah model `LogisticRegression` dengan parameter `solver` adalah `liblinear` untuk klasifikasi data.&quot;, &quot;response_improvement_suggestions&quot;: &quot;Add a brief explanation of what Logistic Regression is used for.&quot;, &quot;verdict&quot;: &quot;good&quot;, &quot;needs_human_review&quot;: false}"/>
    <s v="ok"/>
    <n v="4"/>
  </r>
  <r>
    <x v="42"/>
    <s v="[MODE:code]_x000a_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safe numeric conversion_x000a_# -----------------------------_x000a_def to_num(s):_x000a_    return pd.to_numeric(s, errors=&quot;coerce&quot;)_x000a__x000a_# Ensure expected numeric columns are numeric if present_x000a_numeric_candidates = [_x000a_    &quot;attendance_rate&quot;,_x000a_    &quot;assignment_completion_rate&quot;,_x000a_    &quot;participation_score&quot;,_x000a_    &quot;social_media_hours&quot;,_x000a_    &quot;study_hours_per_day&quot;,_x000a_    &quot;online_courses_completed&quot;,_x000a_]_x000a_for c in numeric_candidates:_x000a_    if c in df.columns:_x000a_        df[c] = to_num(df[c])_x000a__x000a_# -----------------------------_x000a_# Feature Engineering_x000a_# -----------------------------_x000a_# 1) engagement_index: combine attendance_rate, assignment_completion_rate, participation_score_x000a_eng_cols = [c for c in [&quot;attendance_rate&quot;, &quot;assignment_completion_rate&quot;, &quot;participation_score&quot;] if c in df.columns]_x000a_if len(eng_cols) &gt;= 2:_x000a_    df[&quot;engagement_index&quot;] = df[eng_cols].mean(axis=1)_x000a_else:_x000a_    df[&quot;engagement_index&quot;] = np.nan_x000a__x000a_# 2) digital_distraction_ratio: social_media_hours / (study_hours_per_day + 1)_x000a_if &quot;social_media_hours&quot; in df.columns and &quot;study_hours_per_day&quot; in df.columns:_x000a_    df[&quot;digital_distraction_ratio&quot;] = df[&quot;social_media_hours&quot;] / (df[&quot;study_hours_per_day&quot;].replace(0, np.nan))_x000a_    df[&quot;digital_distraction_ratio&quot;] = df[&quot;digital_distraction_ratio&quot;].replace([np.inf, -np.inf], np.nan)_x000a_else:_x000a_    df[&quot;digital_distraction_ratio&quot;] = np.nan_x000a__x000a_# 3) support_score: online_courses_completed + tutoring info_x000a_# Try to find a tutoring column (common variants)_x000a_tutoring_col = None_x000a_for cand in [&quot;tutoring&quot;, &quot;tutoring_support&quot;, &quot;received_tutoring&quot;, &quot;tutoring_sessions&quot;, &quot;has_tutoring&quot;]:_x000a_    if cand in df.columns:_x000a_        tutoring_col = cand_x000a_        break_x000a__x000a_tutoring_numeric = None_x000a_if tutoring_col is not None:_x000a_    if pd.api.types.is_numeric_dtype(df[tutoring_col]):_x000a_        tutoring_numeric = to_num(df[tutoring_col]).fillna(0)_x000a_    else:_x000a_        # map common yes/no strings to 1/0_x000a_        tutoring_numeric = (_x000a_            df[tutoring_col]_x000a_            .astype(str)_x000a_            .str.strip()_x000a_            .str.lower()_x000a_            .map({&quot;yes&quot;: 1, &quot;y&quot;: 1, &quot;true&quot;: 1, &quot;1&quot;: 1, &quot;no&quot;: 0, &quot;n&quot;: 0, &quot;false&quot;: 0, &quot;0&quot;: 0})_x000a_            .fillna(0)_x000a_        )_x000a_else:_x000a_    tutoring_numeric = pd.Series(0, index=df.index)_x000a__x000a_if &quot;online_courses_completed&quot; in df.columns:_x000a_    df[&quot;support_score&quot;] = df[&quot;online_courses_completed&quot;].fillna(0) + tutoring_numeric_x000a_else:_x000a_    df[&quot;support_score&quot;] = tutoring_numeric_x000a__x000a_# -----------------------------_x000a_# 1. Create classification target: at_risk_x000a_# Definition (no leakage): at_risk = 1 if pass_fail indicates Fail, else 0_x000a_# Fallback: if pass_fail not present, use grade_category if present (e.g., &quot;D/F&quot; or &quot;Failing&quot;)_x000a_if &quot;pass_fail&quot; in df.columns:_x000a_    pf = df[&quot;pass_fail&quot;].astype(str).str.strip().str.lower()_x000a_    df[&quot;at_risk&quot;] = pf.map({&quot;fail&quot;: 1, &quot;pass&quot;: 0})_x000a_    # If mapping yields NaN, try alternative labels_x000a_    df.loc[df[&quot;at_risk&quot;].isna(), &quot;at_risk&quot;] = pf.map({&quot;0&quot;: 1, &quot;1&quot;: 0, &quot;f&quot;: 1, &quot;p&quot;: 0})_x000a_    df[&quot;at_risk&quot;] = df[&quot;at_risk&quot;].astype(&quot;float&quot;)_x000a_elif &quot;grade_category&quot; in df.columns:_x000a_    gc = df[&quot;grade_category&quot;].astype(str).str.strip().str.lower()_x000a_    # treat low categories as at risk_x000a_    df[&quot;at_risk&quot;] = gc.isin([&quot;f&quot;, &quot;d&quot;, &quot;e&quot;, &quot;fail&quot;, &quot;failing&quot;, &quot;poor&quot;, &quot;low&quot;]).astype(int)_x000a_else:_x000a_    raise ValueError(&quot;Tidak ditemukan kolom 'pass_fail' atau 'grade_category' untuk membuat target 'at_risk'.&quot;)_x000a__x000a_# -----------------------------_x000a_# 2. Select features for modeling WITHOUT leakage_x000a_# Exclude direct outcome/label columns and obvious post-exam metrics if present._x000a_leakage_cols = {_x000a_    &quot;pass_fail&quot;,_x000a_    &quot;grade_category&quot;,_x000a_    &quot;final_score&quot;,_x000a_    &quot;final_exam_score&quot;,_x000a_    &quot;exam_score&quot;,_x000a_    &quot;midterm_score&quot;,_x000a_    &quot;overall_score&quot;,_x000a_    &quot;gpa&quot;,_x000a_    &quot;result&quot;,"/>
    <d v="2026-04-15T14:16:20"/>
    <x v="3"/>
    <n v="0"/>
    <n v="166"/>
    <n v="1018"/>
    <n v="1184"/>
    <n v="607"/>
    <n v="3843"/>
    <n v="430"/>
    <n v="4"/>
    <n v="2"/>
    <n v="3"/>
    <s v="Clear and specific instructions for feature engineering."/>
    <s v="Could provide more context on the dataset and expected output."/>
    <s v="Correctly imports necessary libraries for data manipulation."/>
    <s v="Incomplete; does not implement the required feature engineering or data preparation steps."/>
    <s v="Bagian 3 - Feature Engineering dan Persiapan Dat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buat target klasifikasi `at_risk`, tentukan fitur untuk regresi yang tidak menyebabkan leakage, dan bagi data menjadi train-test dengan rasio `80:20` dan `random_state=42`. Sertakan contoh kode untuk setiap langkah."/>
    <s v="Expand the response to include the implementation of feature engineering, creation of the target variable, and data splitting."/>
    <s v="fair"/>
    <b v="0"/>
    <s v="gpt-4o-mini"/>
    <s v="{&quot;prompt_score&quot;: 4, &quot;response_score&quot;: 2, &quot;overall_score&quot;: 3, &quot;prompt_strengths&quot;: &quot;Clear and specific instructions for feature engineering.&quot;, &quot;prompt_issues&quot;: &quot;Could provide more context on the dataset and expected output.&quot;, &quot;response_strengths&quot;: &quot;Correctly imports necessary libraries for data manipulation.&quot;, &quot;response_issues&quot;: &quot;Incomplete; does not implement the required feature engineering or data preparation steps.&quot;, &quot;prompt_rewrite&quot;: &quot;Bagian 3 - Feature Engineering dan Persiapan Data: Buat minimal tiga fitur turunan berikut: - `engagement_index` dari kombinasi `attendance_rate`, `assignment_completion_rate`, dan `participation_score` - `digital_distraction_ratio` dari `social_media_hours` dan `study_hours_per_day` - `support_score` dari `online_courses_completed` dan informasi `tutoring`. Kemudian, buat target klasifikasi `at_risk`, tentukan fitur untuk regresi yang tidak menyebabkan leakage, dan bagi data menjadi train-test dengan rasio `80:20` dan `random_state=42`. Sertakan contoh kode untuk setiap langkah.&quot;, &quot;response_improvement_suggestions&quot;: &quot;Expand the response to include the implementation of feature engineering, creation of the target variable, and data splitting.&quot;, &quot;verdict&quot;: &quot;fair&quot;, &quot;needs_human_review&quot;: false}"/>
    <s v="ok"/>
    <n v="3"/>
  </r>
  <r>
    <x v="42"/>
    <s v="[MODE:summary_code_explanation]_x000a_pipe = Pipeline([('scaler', StandardScaler()), ('svc', SVC())]) ubah dari sini saja sesuai yang tadi"/>
    <s v="done"/>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    (&quot;preprocessing&quot;, preprocessing),  # ColumnTransformer yang sudah kamu buat_x000a_    (&quot;svr&quot;, SVR())_x000a_])_x000a__x000a_# GridSearchCV (3-fold, scoring neg_root_mean_squared_error)_x000a_grid_search = GridSearchCV(_x000a_    estimator=svr_pipeline,_x000a_    param_grid=param_grid,  # pastikan key SVR diawali &quot;svr__&quot;_x000a_    cv=3,_x000a_    scoring=&quot;neg_root_mean_squared_error&quot;,_x000a_    n_jobs=-1,_x000a_    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    (&quot;preprocessing&quot;, preprocessing),  # ColumnTransformer yang sudah kamu buat_x000a_    (&quot;svr&quot;, SVR())_x000a_])_x000a__x000a_# GridSearchCV (3-fold, scoring neg_root_mean_squared_error)_x000a_grid_search = GridSearchCV(_x000a_    estimator=svr_pipeline,_x000a_    param_grid=param_grid,  # pastikan key SVR diawali &quot;svr__&quot;_x000a_    cv=3,_x000a_    scoring=&quot;neg_root_mean_squared_error&quot;,_x000a_    n_jobs=-1,_x000a_    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d v="2026-02-25T16:31:57"/>
    <x v="1"/>
    <n v="0"/>
    <n v="35"/>
    <n v="359"/>
    <n v="394"/>
    <n v="132"/>
    <n v="1318"/>
    <n v="1507"/>
    <n v="3"/>
    <n v="4"/>
    <n v="4"/>
    <s v="The prompt specifies a clear task related to modifying a pipeline."/>
    <s v="Lacks clarity on what specific changes are needed beyond 'ubah dari sini saja'."/>
    <s v="The response provides a detailed and correct code modification with explanations."/>
    <s v="Could be more concise and focused on the specific changes requested in the prompt."/>
    <s v="[MODE:summary_code_explanation] Modify the pipeline to replace StandardScaler and SVC with preprocessing and SVR. Please provide the updated code."/>
    <s v="Summarize the changes more succinctly and directly relate them to the prompt's request."/>
    <s v="good"/>
    <b v="0"/>
    <s v="gpt-4o-mini"/>
    <s v="{&quot;prompt_score&quot;: 3, &quot;response_score&quot;: 4, &quot;overall_score&quot;: 4, &quot;prompt_strengths&quot;: &quot;The prompt specifies a clear task related to modifying a pipeline.&quot;, &quot;prompt_issues&quot;: &quot;Lacks clarity on what specific changes are needed beyond 'ubah dari sini saja'.&quot;, &quot;response_strengths&quot;: &quot;The response provides a detailed and correct code modification with explanations.&quot;, &quot;response_issues&quot;: &quot;Could be more concise and focused on the specific changes requested in the prompt.&quot;, &quot;prompt_rewrite&quot;: &quot;[MODE:summary_code_explanation] Modify the pipeline to replace StandardScaler and SVC with preprocessing and SVR. Please provide the updated code.&quot;, &quot;response_improvement_suggestions&quot;: &quot;Summarize the changes more succinctly and directly relate them to the prompt's request.&quot;, &quot;verdict&quot;: &quot;good&quot;, &quot;needs_human_review&quot;: false}"/>
    <s v="ok"/>
    <n v="4"/>
  </r>
  <r>
    <x v="42"/>
    <s v="[MODE:code]_x000a_tolong buatkan Buatlah `KFold` dengan parameter `n_splits=10` dan simpan dalam varibel `kfold` pada jupyter"/>
    <s v="done"/>
    <s v="from sklearn.model_selection import KFold_x000a__x000a_kfold = KFold(n_splits=10)"/>
    <s v="```python_x000a_from sklearn.model_selection import KFold_x000a__x000a_kfold = KFold(n_splits=10)_x000a_```"/>
    <d v="2026-03-11T16:36:19"/>
    <x v="2"/>
    <n v="0"/>
    <n v="38"/>
    <n v="22"/>
    <n v="60"/>
    <n v="119"/>
    <n v="83"/>
    <n v="3019"/>
    <n v="4"/>
    <n v="5"/>
    <n v="4"/>
    <s v="Clear and specific request for code implementation."/>
    <s v="Could provide more context on the intended use of KFold."/>
    <s v="Correct and complete code implementation."/>
    <s v="Lacks comments or explanation for clarity."/>
    <s v="Buatlah `KFold` dengan parameter `n_splits=10` untuk digunakan dalam validasi model, dan simpan dalam variabel `kfold` pada Jupyter Notebook."/>
    <s v="Add comments to explain the code for better understanding."/>
    <s v="good"/>
    <b v="0"/>
    <s v="gpt-4o-mini"/>
    <s v="{&quot;prompt_score&quot;: 4, &quot;response_score&quot;: 5, &quot;overall_score&quot;: 4, &quot;prompt_strengths&quot;: &quot;Clear and specific request for code implementation.&quot;, &quot;prompt_issues&quot;: &quot;Could provide more context on the intended use of KFold.&quot;, &quot;response_strengths&quot;: &quot;Correct and complete code implementation.&quot;, &quot;response_issues&quot;: &quot;Lacks comments or explanation for clarity.&quot;, &quot;prompt_rewrite&quot;: &quot;Buatlah `KFold` dengan parameter `n_splits=10` untuk digunakan dalam validasi model, dan simpan dalam variabel `kfold` pada Jupyter Notebook.&quot;, &quot;response_improvement_suggestions&quot;: &quot;Add comments to explain the code for better understanding.&quot;, &quot;verdict&quot;: &quot;good&quot;, &quot;needs_human_review&quot;: false}"/>
    <s v="ok"/>
    <n v="4"/>
  </r>
  <r>
    <x v="42"/>
    <s v="[MODE:summary]_x000a_apakah Pipeline([(‘scaler' StandardScaler()), (‘model’, SVR())]) untuk scalling lalu training model, atau clustering, atau menghapus dataset, atau classificcation"/>
    <s v="done"/>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d v="2026-03-11T13:28:57"/>
    <x v="2"/>
    <n v="0"/>
    <n v="44"/>
    <n v="79"/>
    <n v="123"/>
    <n v="177"/>
    <n v="315"/>
    <n v="3124"/>
    <n v="3"/>
    <n v="4"/>
    <n v="4"/>
    <s v="The prompt is specific about the use of a pipeline."/>
    <s v="The phrasing is somewhat unclear and contains typographical errors."/>
    <s v="The response is relevant, correct, and provides a clear explanation."/>
    <s v="Could provide more detail on the implications of using SVR versus SVC."/>
    <s v="[MODE:summary] Apakah Pipeline([('scaler', StandardScaler()), ('model', SVR())]) digunakan untuk scaling dan pelatihan model, atau untuk clustering, penghapusan dataset, atau klasifikasi?"/>
    <s v="Include examples of when to use SVR versus SVC for clarity."/>
    <s v="good"/>
    <b v="0"/>
    <s v="gpt-4o-mini"/>
    <s v="{&quot;prompt_score&quot;: 3, &quot;response_score&quot;: 4, &quot;overall_score&quot;: 4, &quot;prompt_strengths&quot;: &quot;The prompt is specific about the use of a pipeline.&quot;, &quot;prompt_issues&quot;: &quot;The phrasing is somewhat unclear and contains typographical errors.&quot;, &quot;response_strengths&quot;: &quot;The response is relevant, correct, and provides a clear explanation.&quot;, &quot;response_issues&quot;: &quot;Could provide more detail on the implications of using SVR versus SVC.&quot;, &quot;prompt_rewrite&quot;: &quot;[MODE:summary] Apakah Pipeline([('scaler', StandardScaler()), ('model', SVR())]) digunakan untuk scaling dan pelatihan model, atau untuk clustering, penghapusan dataset, atau klasifikasi?&quot;, &quot;response_improvement_suggestions&quot;: &quot;Include examples of when to use SVR versus SVC for clarity.&quot;, &quot;verdict&quot;: &quot;good&quot;, &quot;needs_human_review&quot;: false}"/>
    <s v="ok"/>
    <n v="4"/>
  </r>
  <r>
    <x v="43"/>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s v="done"/>
    <s v="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pandas as pd_x000a_import matplotlib.pyplot as plt_x000a_import seaborn as sns_x000a__x000a_# =========================_x000a_# Bagian 2 -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fitur numerik penting + insight_x000a_def distribution_insight(series: pd.Series, col_name: str) -&gt; str:_x000a_    s = series.dropna()_x000a_    if s.empty:_x000a_        return f&quot;Insight {col_name}: tidak ada data (semua NaN).&quot;_x000a__x000a_    min_ = float(s.min())_x000a_    max_ = float(s.max())_x000a_    mean_ = float(s.mean())_x000a_    median_ = float(s.median())_x000a_    std_ = float(s.std(ddof=1)) if len(s) &gt; 1 else 0.0_x000a_    q1_ = float(s.quantile(0.25))_x000a_    q3_ = float(s.quantile(0.75))_x000a_    iqr_ = q3_ - q1__x000a_    skew_ = float(s.skew()) if len(s) &gt; 2 else 0.0_x000a__x000a_    # Center comparison_x000a_    if np.isclose(mean_, median_, rtol=0.02, atol=1e-9):_x000a_        center_text = &quot;mean ~ median (cukup simetris)&quot;_x000a_    elif mean_ &gt; median_:_x000a_        center_text = &quot;mean &gt; median (indikasi skew ke kanan)&quot;_x000a_    else:_x000a_        center_text = &quot;mean &lt; median (indikasi skew ke kiri)&quot;_x000a__x000a_    # Spread text_x000a_    if iqr_ == 0:_x000a_        spread_text = &quot;IQR=0 (banyak nilai sama/konstan)&quot;_x000a_    else:_x000a_        spread_text = &quot;IQR menunjukkan sebaran tengah data&quot;_x000a__x000a_    # Shape text_x000a_    if skew_ &gt; 0.5:_x000a_        shape_text = &quot;miring ke kanan (right-skewed)&quot;_x000a_    elif skew_ &lt; -0.5:_x000a_        shape_text = &quot;miring ke kiri (left-skewed)&quot;_x000a_    else:_x000a_        shape_text = &quot;relatif simetris&quot;_x000a__x000a_    # Outliers via IQR rule_x000a_    lower = q1_ - 1.5 * iqr__x000a_    upper = q3_ + 1.5 * iqr__x000a_    outliers = int(((s &lt; lower) | (s &gt; upper)).sum()) if iqr_ &gt; 0 else 0_x000a__x000a_    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Kolom distribusi yang diminta (pastikan ada di dataset)_x000a_requested_cols = [_x000a_    &quot;age&quot;,_x000a_    &quot;study_hours_per_day&quot;,_x000a_    &quot;attendance_rate&quot;,_x000a_    &quot;sleep_hours&quot;,_x000a_    &quot;social_media_hours&quot;,_x000a_    &quot;assignment_completion_rate&quot;,_x000a_]_x000a__x000a_missing_requested = [c for c in requested_cols if c not in df.columns]_x000a_if missing_requested:_x000a_    print(&quot;\nPERINGATAN: Kolom berikut tidak ditemukan di df dan akan dilewati:&quot;)_x000a_    print(missing_requested)_x000a__x000a_cols_to_plot = [c for c in requested_cols if c in df.columns]_x000a__x000a_if len(cols_to_plot) == 0:_x000a_    print(&quot;\nTidak ada kolom numerik yang diminta tersedia untuk divisualisasikan.&quot;)_x000a_else:_x000a_    sns.set(style=&quot;whitegrid&quot;)_x000a__x000a_    n = len(cols_to_plot)_x000a_    ncols = 3_x000a_    nrows = int(np.ceil(n / ncols))_x000a__x000a_    fig, axes = plt.subplots(nrows=nrows, ncols=ncols, figsize=(5 * ncols, 4 * nrows))_x000a_    axes = np.array(axes).reshape(-1)_x000a__x000a_    for i, col in enumerate(cols_to_plot):_x000a_        ax"/>
    <d v="2026-04-14T11:48:32"/>
    <x v="3"/>
    <n v="0"/>
    <n v="805"/>
    <n v="1041"/>
    <n v="1846"/>
    <n v="2814"/>
    <n v="3294"/>
    <n v="1042"/>
    <n v="4"/>
    <n v="3"/>
    <n v="3"/>
    <s v="Detailed and specific instructions for data analysis."/>
    <s v="Could be clearer on the expected format for insights."/>
    <s v="Provides a structured format for insights."/>
    <s v="Lacks completeness; does not include all necessary calculations or context."/>
    <s v="Saya sedang mengerjakan Praktikum Kecerdasan Mesin mengenai analisis performa akademik mahasiswa. Gunakan dataset student_exam_performance_dataset. Lakukan EDA dengan langkah-langkah berikut: 1. Cek missing value. 2. Tampilkan statistik deskriptif. 3. Visualisasikan distribusi fitur numerik penting dan tambahkan insight di bawah setiap tabel distribusi. Pastikan untuk menyertakan informasi seperti rentang nilai, pusat data, sebaran, bentuk distribusi, dan outlier."/>
    <s v="Include calculations for min, max, mean, median, std, Q1, Q3, IQR, skewness, and outlier detection in the response."/>
    <s v="fair"/>
    <b v="0"/>
    <s v="gpt-4o-mini"/>
    <s v="{&quot;prompt_score&quot;: 4, &quot;response_score&quot;: 3, &quot;overall_score&quot;: 3, &quot;prompt_strengths&quot;: &quot;Detailed and specific instructions for data analysis.&quot;, &quot;prompt_issues&quot;: &quot;Could be clearer on the expected format for insights.&quot;, &quot;response_strengths&quot;: &quot;Provides a structured format for insights.&quot;, &quot;response_issues&quot;: &quot;Lacks completeness; does not include all necessary calculations or context.&quot;, &quot;prompt_rewrite&quot;: &quot;Saya sedang mengerjakan Praktikum Kecerdasan Mesin mengenai analisis performa akademik mahasiswa. Gunakan dataset student_exam_performance_dataset. Lakukan EDA dengan langkah-langkah berikut: 1. Cek missing value. 2. Tampilkan statistik deskriptif. 3. Visualisasikan distribusi fitur numerik penting dan tambahkan insight di bawah setiap tabel distribusi. Pastikan untuk menyertakan informasi seperti rentang nilai, pusat data, sebaran, bentuk distribusi, dan outlier.&quot;, &quot;response_improvement_suggestions&quot;: &quot;Include calculations for min, max, mean, median, std, Q1, Q3, IQR, skewness, and outlier detection in the response.&quot;, &quot;verdict&quot;: &quot;fair&quot;, &quot;needs_human_review&quot;: false}"/>
    <s v="ok"/>
    <n v="3"/>
  </r>
  <r>
    <x v="43"/>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_x000a__x000a_import numpy as np_x000a_import pandas as pd_x000a_import matplotlib.pyplot as plt_x000a_import seaborn as sns_x000a__x000a_# Helper: ringkas insight distribusi numerik_x000a_def distribution_insight(series: pd.Series, name: str) -&gt; str:_x000a_    s = pd.to_numeric(series, errors=&quot;coerce&quot;).dropna()_x000a_    if s.empty:_x000a_        return f&quot;Insight {name}: tidak ada data numerik valid.&quot;_x000a__x000a_    n = s.shape[0]_x000a_    mean = s.mean()_x000a_    median = s.median()_x000a_    std = s.std(ddof=1) if n &gt; 1 else 0.0_x000a_    q1, q3 = s.quantile(0.25), s.quantile(0.75)_x000a_    iqr = q3 - q1_x000a_    low, high = q1 - 1.5 * iqr, q3 + 1.5 * iqr_x000a_    outliers = ((s &lt; low) | (s &gt; high)).sum()_x000a_    outlier_pct = (outliers / n) * 100_x000a__x000a_    # Skewness heuristic_x000a_    skew = s.skew() if n &gt; 2 else 0.0_x000a_    if skew &gt; 0.5:_x000a_        skew_txt = &quot;condong ke kanan (right-skewed)&quot;_x000a_    elif skew &lt; -0.5:_x000a_        skew_txt = &quot;condong ke kiri (left-skewed)&quot;_x000a_    else:_x000a_        skew_txt = &quot;relatif simetris&quot;_x000a__x000a_    # Mean vs median heuristic_x000a_    if mean &gt; median * 1.02:_x000a_        mm_txt = &quot;mean &gt; median (indikasi right-skew / nilai tinggi dominan)&quot;_x000a_    elif median &gt; mean * 1.02:_x000a_        mm_txt = &quot;median &gt; mean (indikasi left-skew / nilai rendah dominan)&quot;_x000a_    else:_x000a_        mm_txt = &quot;mean ~ median (sebaran cukup seimbang)&quot;_x000a__x000a_    return (_x000a_        f&quot;Insight {name}: n={n}, mean={mean:.2f}, median={median:.2f}, std={std:.2f}, &quot;_x000a_        f&quot;IQR={iqr:.2f}, outlier≈{outliers} ({outlier_pct:.1f}%), sebaran {skew_txt}; {mm_txt}.&quot;_x000a_    )_x000a__x000a_# a) Cek missing value_x000a_missing_count = df.isna().sum().sort_values(ascending=False)_x000a_missing_pct = (df.isna().mean() * 100).sort_values(ascending=False)_x000a__x000a_print(&quot;Missing value (jumlah) per kolom:&quot;)_x000a_display(missing_count.to_frame(&quot;missing_count&quot;))_x000a__x000a_print(&quot;Missing value (persentase %) per kolom:&quot;)_x000a_display(missing_pct.round(2).to_frame(&quot;missing_pct&quot;))_x000a__x000a_# b) Statistik deskriptif untuk kolom numerik_x000a_num_cols = df.select_dtypes(include=[np.number]).columns.tolist()_x000a_print(&quot;Kolom numerik terdeteksi:&quot;, num_cols)_x000a__x000a_if len(num_cols) &gt; 0:_x000a_    desc_num = df[num_cols].describe().T_x000a_    display(desc_num)_x000a_else:_x000a_    print(&quot;Tidak ada kolom numerik pada dataset.&quot;)_x000a__x000a_# c) Visualisasi distribusi beberapa fitur numerik penting + insight di bawah tiap plot_x000a_# Pilih beberapa kolom numerik (maks 6) agar plot tidak terlalu ramai_x000a_cols_to_plot = num_cols[: min(6, len(num_cols))]_x000a__x000a_if len(cols_to_plot) == 0:_x000a_    print(&quot;Tidak ada kolom numerik untuk divisualisasikan.&quot;)_x000a_else:_x000a_    for col in cols_to_plot:_x000a_        fig, axes = plt.subplots(2, 1, figsize=(8, 6), gridspec_kw={&quot;height_ratios&quot;: [4, 1]})_x000a__x000a_        # Plot distribusi_x000a_        sns.histplot(df[col].dropna(), bins=30, kde=True, ax=axes[0])_x000a_        axes[0].set_title(f&quot;Distribusi: {col}&quot;)_x000a_        axes[0].set_xlabel(col)_x000a_        axes[0].set_ylabel(&quot;Count&quot;)_x000a__x000a_        # Insight text (di bawah plot)_x000a_        insight_text = distribution_insight(df[col], col)_x000a_        axes[1].axis(&quot;off&quot;)_x000a_        axes[1].text(_x000a_            0.01,_x000a_            0.5,_x000a_            insight_text,_x000a_            va=&quot;center&quot;,_x000a_            ha=&quot;left&quot;,_x000a_            fontsize=10,_x000a_            wrap=True,_x000a_        )_x000a__x000a_        plt.tight_layout()_x000a_        plt.show()_x000a__x000a_    # (Opsional) Boxplot ringkas untuk subset fitur numerik_x000a_    fig, axes = plt.subplots(2, 1, figsize=(10, 6), gridspec_kw={&quot;height_ratios&quot;: [4, 1]})_x000a_    sns.boxplot(data=df[cols_to_plot], orient=&quot;h&quot;, ax=axes[0])_x000a_    axes[0].set_title(&quot;Box"/>
    <d v="2026-04-14T11:18:10"/>
    <x v="3"/>
    <n v="0"/>
    <n v="357"/>
    <n v="1044"/>
    <n v="1401"/>
    <n v="1444"/>
    <n v="3432"/>
    <n v="1280"/>
    <n v="3"/>
    <n v="2"/>
    <n v="2"/>
    <s v="Provides a clear context and specific tasks."/>
    <s v="Could be more concise and structured for better readability."/>
    <s v="Includes necessary imports for data analysis."/>
    <s v="Incomplete; does not address the tasks outlined in the prompt."/>
    <s v="Saya sedang mengerjakan Praktikum Kecerdasan Mesin mengenai analisis performa akademik mahasiswa. Gunakan dataset student_exam_performance_dataset. Tugas: 1. Load dataset. 2. Lakukan EDA: a. Cek missing value. b. Tampilkan statistik deskriptif. c. Visualisasikan distribusi fitur numerik. d. Buat heatmap korelasi. Berikan insight di bawah visualisasi."/>
    <s v="Expand the response to include EDA steps and visualizations as requested in the prompt."/>
    <s v="weak"/>
    <b v="0"/>
    <s v="gpt-4o-mini"/>
    <s v="{&quot;prompt_score&quot;: 3, &quot;response_score&quot;: 2, &quot;overall_score&quot;: 2, &quot;prompt_strengths&quot;: &quot;Provides a clear context and specific tasks.&quot;, &quot;prompt_issues&quot;: &quot;Could be more concise and structured for better readability.&quot;, &quot;response_strengths&quot;: &quot;Includes necessary imports for data analysis.&quot;, &quot;response_issues&quot;: &quot;Incomplete; does not address the tasks outlined in the prompt.&quot;, &quot;prompt_rewrite&quot;: &quot;Saya sedang mengerjakan Praktikum Kecerdasan Mesin mengenai analisis performa akademik mahasiswa. Gunakan dataset student_exam_performance_dataset. Tugas: 1. Load dataset. 2. Lakukan EDA: a. Cek missing value. b. Tampilkan statistik deskriptif. c. Visualisasikan distribusi fitur numerik. d. Buat heatmap korelasi. Berikan insight di bawah visualisasi.&quot;, &quot;response_improvement_suggestions&quot;: &quot;Expand the response to include EDA steps and visualizations as requested in the prompt.&quot;, &quot;verdict&quot;: &quot;weak&quot;, &quot;needs_human_review&quot;: false}"/>
    <s v="ok"/>
    <n v="1"/>
  </r>
  <r>
    <x v="43"/>
    <s v="[LANG:Python]_x000a_[MODE:summary]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_x000a_Berdasarkan praktikum sejauh ini, jawablah pertanyaan berikut:_x000a_1. Apakah Nilai precision lebih besar daripada nilai recall?_x000a_2. Kemudian apabila nilai precision lebih besar daripada nilai recall atau sebaliknya, apa artinya?"/>
    <s v="done"/>
    <s v="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
    <s v="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
    <d v="2026-03-17T13:34:15"/>
    <x v="4"/>
    <n v="0"/>
    <n v="925"/>
    <n v="155"/>
    <n v="1080"/>
    <n v="3404"/>
    <n v="572"/>
    <n v="1332"/>
    <n v="4"/>
    <n v="4"/>
    <n v="4"/>
    <s v="Detailed and specific about the task requirements."/>
    <s v="Could be more concise and organized."/>
    <s v="Accurate explanation of precision and recall concepts."/>
    <s v="Could provide more context or examples for clarity."/>
    <s v="Buat implementasi praktikum Kecerdasan Mesin untuk menggambar grafik Precision-Recall dan membangun classifier untuk dataset MNIST dan Pima Indian Diabetes. Sertakan kode Python yang diperlukan."/>
    <s v="Include examples or visual aids to enhance understanding."/>
    <s v="good"/>
    <b v="0"/>
    <s v="gpt-4o-mini"/>
    <s v="{&quot;prompt_score&quot;: 4, &quot;response_score&quot;: 4, &quot;overall_score&quot;: 4, &quot;prompt_strengths&quot;: &quot;Detailed and specific about the task requirements.&quot;, &quot;prompt_issues&quot;: &quot;Could be more concise and organized.&quot;, &quot;response_strengths&quot;: &quot;Accurate explanation of precision and recall concepts.&quot;, &quot;response_issues&quot;: &quot;Could provide more context or examples for clarity.&quot;, &quot;prompt_rewrite&quot;: &quot;Buat implementasi praktikum Kecerdasan Mesin untuk menggambar grafik Precision-Recall dan membangun classifier untuk dataset MNIST dan Pima Indian Diabetes. Sertakan kode Python yang diperlukan.&quot;, &quot;response_improvement_suggestions&quot;: &quot;Include examples or visual aids to enhance understanding.&quot;, &quot;verdict&quot;: &quot;good&quot;, &quot;needs_human_review&quot;: false}"/>
    <s v="ok"/>
    <n v="4"/>
  </r>
  <r>
    <x v="43"/>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
    <s v="done"/>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    estimator=svr_pipeline,_x000a_    param_grid=param_grid,_x000a_    cv=3,_x000a_    scoring=&quot;neg_root_mean_squared_error&quot;,_x000a_    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    estimator=svr_pipeline,_x000a_    param_grid=param_grid,_x000a_    cv=3,_x000a_    scoring=&quot;neg_root_mean_squared_error&quot;,_x000a_    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d v="2026-02-24T15:53:16"/>
    <x v="1"/>
    <n v="0"/>
    <n v="593"/>
    <n v="178"/>
    <n v="771"/>
    <n v="2338"/>
    <n v="758"/>
    <n v="1455"/>
    <n v="3"/>
    <n v="4"/>
    <n v="3"/>
    <s v="Provides a detailed context and specific requirements."/>
    <s v="Lacks clarity in some areas and has minor grammatical errors."/>
    <s v="Relevant and correct code snippet with clear explanation."/>
    <s v="Could provide more detail on the implications of the hyperparameter tuning."/>
    <s v="Summarize the regression and SVM problem using Python, detailing the imported libraries, data shape, preprocessing steps, and the creation of a pipeline for hyperparameter tuning with GridSearchCV. Ensure clarity and correct any grammatical errors."/>
    <s v="Include a brief explanation of the importance of each hyperparameter in the context of SVM."/>
    <s v="good"/>
    <b v="0"/>
    <s v="gpt-4o-mini"/>
    <s v="{&quot;prompt_score&quot;: 3, &quot;response_score&quot;: 4, &quot;overall_score&quot;: 3, &quot;prompt_strengths&quot;: &quot;Provides a detailed context and specific requirements.&quot;, &quot;prompt_issues&quot;: &quot;Lacks clarity in some areas and has minor grammatical errors.&quot;, &quot;response_strengths&quot;: &quot;Relevant and correct code snippet with clear explanation.&quot;, &quot;response_issues&quot;: &quot;Could provide more detail on the implications of the hyperparameter tuning.&quot;, &quot;prompt_rewrite&quot;: &quot;Summarize the regression and SVM problem using Python, detailing the imported libraries, data shape, preprocessing steps, and the creation of a pipeline for hyperparameter tuning with GridSearchCV. Ensure clarity and correct any grammatical errors.&quot;, &quot;response_improvement_suggestions&quot;: &quot;Include a brief explanation of the importance of each hyperparameter in the context of SVM.&quot;, &quot;verdict&quot;: &quot;good&quot;, &quot;needs_human_review&quot;: false}"/>
    <s v="ok"/>
    <n v="4"/>
  </r>
  <r>
    <x v="43"/>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python_x000a_#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_x000a_```"/>
    <d v="2026-04-14T10:53:38"/>
    <x v="3"/>
    <n v="0"/>
    <n v="312"/>
    <n v="1008"/>
    <n v="1320"/>
    <n v="1295"/>
    <n v="3748"/>
    <n v="1487"/>
    <n v="4"/>
    <n v="5"/>
    <n v="5"/>
    <s v="Clear and specific about the tasks and requirements."/>
    <s v="Could provide more context on the dataset."/>
    <s v="Comprehensive, correct, and well-structured code addressing all tasks."/>
    <s v="None significant; could include comments for clarity."/>
    <s v="Saya sedang mengerjakan Praktikum Kecerdasan Mesin mengenai analisis performa akademik mahasiswa menggunakan dataset student_exam_performance_dataset. Tugas yang harus dilakukan: Persiapan fitur dan target untuk regresi dan klasifikasi dengan penjelasan lebih lanjut tentang dataset."/>
    <s v="Add comments to explain each step of the code for better clarity."/>
    <s v="excellent"/>
    <b v="0"/>
    <s v="gpt-4o-mini"/>
    <s v="{&quot;prompt_score&quot;: 4, &quot;response_score&quot;: 5, &quot;overall_score&quot;: 5, &quot;prompt_strengths&quot;: &quot;Clear and specific about the tasks and requirements.&quot;, &quot;prompt_issues&quot;: &quot;Could provide more context on the dataset.&quot;, &quot;response_strengths&quot;: &quot;Comprehensive, correct, and well-structured code addressing all tasks.&quot;, &quot;response_issues&quot;: &quot;None significant; could include comments for clarity.&quot;, &quot;prompt_rewrite&quot;: &quot;Saya sedang mengerjakan Praktikum Kecerdasan Mesin mengenai analisis performa akademik mahasiswa menggunakan dataset student_exam_performance_dataset. Tugas yang harus dilakukan: Persiapan fitur dan target untuk regresi dan klasifikasi dengan penjelasan lebih lanjut tentang dataset.&quot;, &quot;response_improvement_suggestions&quot;: &quot;Add comments to explain each step of the code for better clarity.&quot;, &quot;verdict&quot;: &quot;excellent&quot;, &quot;needs_human_review&quot;: false}"/>
    <s v="ok"/>
    <n v="5"/>
  </r>
  <r>
    <x v="43"/>
    <s v="[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_x000a_```"/>
    <d v="2026-03-17T12:08:10"/>
    <x v="4"/>
    <n v="0"/>
    <n v="1186"/>
    <n v="653"/>
    <n v="1839"/>
    <n v="3692"/>
    <n v="2267"/>
    <n v="1538"/>
    <n v="4"/>
    <n v="5"/>
    <n v="4"/>
    <s v="Detailed and specific about the task requirements."/>
    <s v="Could be clearer in separating the two parts of the task."/>
    <s v="Correctly implements the required code with clarity and completeness."/>
    <s v="Could include comments for better understanding of each step."/>
    <s v="Buatlah implementasi untuk menggambar grafik Precision-Recall dan membangun classifier untuk dataset MNIST. Pertama, gunakan dataset Pima Indian Diabetes untuk menggambar kurva precision dan recall. Kedua, implementasikan classifier yang mencapai akurasi 97% pada dataset MNIST. Sertakan semua kode yang diperlukan dalam Python."/>
    <s v="Add comments to explain each section of the code for better clarity."/>
    <s v="good"/>
    <b v="0"/>
    <s v="gpt-4o-mini"/>
    <s v="{&quot;prompt_score&quot;: 4, &quot;response_score&quot;: 5, &quot;overall_score&quot;: 4, &quot;prompt_strengths&quot;: &quot;Detailed and specific about the task requirements.&quot;, &quot;prompt_issues&quot;: &quot;Could be clearer in separating the two parts of the task.&quot;, &quot;response_strengths&quot;: &quot;Correctly implements the required code with clarity and completeness.&quot;, &quot;response_issues&quot;: &quot;Could include comments for better understanding of each step.&quot;, &quot;prompt_rewrite&quot;: &quot;Buatlah implementasi untuk menggambar grafik Precision-Recall dan membangun classifier untuk dataset MNIST. Pertama, gunakan dataset Pima Indian Diabetes untuk menggambar kurva precision dan recall. Kedua, implementasikan classifier yang mencapai akurasi 97% pada dataset MNIST. Sertakan semua kode yang diperlukan dalam Python.&quot;, &quot;response_improvement_suggestions&quot;: &quot;Add comments to explain each section of the code for better clarity.&quot;, &quot;verdict&quot;: &quot;good&quot;, &quot;needs_human_review&quot;: false}"/>
    <s v="ok"/>
    <n v="4"/>
  </r>
  <r>
    <x v="43"/>
    <s v="[LANG:Python]_x000a_[MODE:code]_x000a_[ASSESSMENT_ID:1771cf8b-0a65-11f1-b762-3e0936ad7efb]_x000a_[FORCE_GPT:true]_x000a_[AUTO_FALLBACK:tru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 YOUR CODES HERE ###_x000a_# Hitung cost dan gradient untuk regularized linear regression._x000a_# Jangan regularisasi parameter bias theta[0]._x000a__x000a_error = x.dot(theta) - y  # Kode disini_x000a__x000a_cost = (1 / (2 * m)) * np.sum(error ** 2) + (alpha / (2 * m)) * np.sum(theta[1:] ** 2)  # Kode disini_x000a__x000a_reg_term = (alpha / m) * theta  # Kode disini_x000a_reg_term[0] = 0  # Kode disini_x000a_grad = (1 / m) * (x.T.dot(error)) + reg_term  # Kode disini"/>
    <s v="```python_x000a_### YOUR CODES HERE ###_x000a_# Hitung cost dan gradient untuk regularized linear regression._x000a_# Jangan regularisasi parameter bias theta[0]._x000a__x000a_error = x.dot(theta) - y  # Kode disini_x000a__x000a_cost = (1 / (2 * m)) * np.sum(error ** 2) + (alpha / (2 * m)) * np.sum(theta[1:] ** 2)  # Kode disini_x000a__x000a_reg_term = (alpha / m) * theta  # Kode disini_x000a_reg_term[0] = 0  # Kode disini_x000a_grad = (1 / m) * (x.T.dot(error)) + reg_term  # Kode disini_x000a_```_x000a__x000a_```python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    x_i = X[: i + 1, :]  # Kode disini_x000a_    y_i = y[: i + 1]  # Kode disini_x000a_    theta = train_linear_reg(x_i, y_i, alpha)  # Kode disini_x000a__x000a_    error_train[i] = linear_reg_cost_function(theta, x_i, y_i, 0)[0]  # Kode disini_x000a_    error_val[i] = linear_reg_cost_function(theta, Xval, yval, 0)[0]  # Kode disini_x000a_```_x000a__x000a_```python_x000a_### YOUR CODES HERE ###_x000a_# Diberikan vektor X, kembalikan matriks X_poly_x000a_# sehingga kolom ke-k berisi X pangkat (k + 1)._x000a__x000a_P = np.arange(1, p + 1)  # Kode disini_x000a__x000a_X_poly = np.reshape(X, (-1, 1)) ** P  # Kode disini_x000a_```"/>
    <d v="2026-04-07T12:47:28"/>
    <x v="0"/>
    <n v="0"/>
    <n v="902"/>
    <n v="438"/>
    <n v="1340"/>
    <n v="3078"/>
    <n v="1248"/>
    <n v="2360"/>
    <n v="4"/>
    <n v="4"/>
    <n v="4"/>
    <s v="Clear instructions and specific requirements for code implementation."/>
    <s v="Could benefit from clearer formatting for readability."/>
    <s v="Correctly implements the required calculations for cost and gradient."/>
    <s v="Lacks comments explaining each step, which could enhance clarity."/>
    <s v="Implementasi dasar regularized linear regression dan polynomial regression. Generate code hanya pada sel kode yang diberi penanda ### YOUR CODES HERE ### atau ### Kode disini ###. Lengkapi fungsi linear_reg_cost_function dan learning_curve sesuai instruksi yang diberikan. Pastikan theta[0] tidak diregularisasi dan gunakan alpha = 0 saat menghitung error."/>
    <s v="Add comments to explain each calculation step for better understanding."/>
    <s v="good"/>
    <b v="0"/>
    <s v="gpt-4o-mini"/>
    <s v="{&quot;prompt_score&quot;: 4, &quot;response_score&quot;: 4, &quot;overall_score&quot;: 4, &quot;prompt_strengths&quot;: &quot;Clear instructions and specific requirements for code implementation.&quot;, &quot;prompt_issues&quot;: &quot;Could benefit from clearer formatting for readability.&quot;, &quot;response_strengths&quot;: &quot;Correctly implements the required calculations for cost and gradient.&quot;, &quot;response_issues&quot;: &quot;Lacks comments explaining each step, which could enhance clarity.&quot;, &quot;prompt_rewrite&quot;: &quot;Implementasi dasar regularized linear regression dan polynomial regression. Generate code hanya pada sel kode yang diberi penanda ### YOUR CODES HERE ### atau ### Kode disini ###. Lengkapi fungsi linear_reg_cost_function dan learning_curve sesuai instruksi yang diberikan. Pastikan theta[0] tidak diregularisasi dan gunakan alpha = 0 saat menghitung error.&quot;, &quot;response_improvement_suggestions&quot;: &quot;Add comments to explain each calculation step for better understanding.&quot;, &quot;verdict&quot;: &quot;good&quot;, &quot;needs_human_review&quot;: false}"/>
    <s v="ok"/>
    <n v="4"/>
  </r>
  <r>
    <x v="43"/>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Prasyarat: df sudah ter-load_x000a_# =========================_x000a__x000a_import numpy as np_x000a_import pandas as pd_x000a_import matplotlib.pyplot as plt_x000a_import seaborn as sns_x000a__x000a_sns.set(style=&quot;whitegrid&quot;)_x000a__x000a_# a) Cek missing value_x000a_missing_count = df.isna().sum().sort_values(ascending=False)_x000a_missing_pct = (df.isna().mean() * 100).sort_values(ascending=False)_x000a__x000a_missing_summary = pd.DataFrame(_x000a_    {&quot;missing_count&quot;: missing_count, &quot;missing_pct(%)&quot;: missing_pct.round(2)}_x000a_)_x000a__x000a_print(&quot;=== Missing Value Summary ===&quot;)_x000a_display(missing_summary)_x000a__x000a_# b) Statistik deskriptif untuk kolom numerik_x000a_num_cols = df.select_dtypes(include=[np.number]).columns.tolist()_x000a_print(&quot;\n=== Kolom numerik terdeteksi ===&quot;)_x000a_print(num_cols)_x000a__x000a_if len(num_cols) &gt; 0:_x000a_    desc_num = df[num_cols].describe().T_x000a_    print(&quot;\n=== Statistik Deskriptif (Numerik) ===&quot;)_x000a_    display(desc_num)_x000a_else:_x000a_    print(&quot;\nTidak ada kolom numerik pada dataset.&quot;)_x000a__x000a_# Helper: buat insight singkat dari distribusi_x000a_def distribution_insight(series: pd.Series, col_name: str) -&gt; str:_x000a_    s = series.dropna()_x000a_    if s.empty:_x000a_        return f&quot;Insight: Kolom '{col_name}' tidak memiliki data (semua NaN).&quot;_x000a__x000a_    mean = s.mean()_x000a_    median = s.median()_x000a_    std = s.std(ddof=1) if len(s) &gt; 1 else 0.0_x000a_    q1 = s.quantile(0.25)_x000a_    q3 = s.quantile(0.75)_x000a_    iqr = q3 - q1_x000a_    skew = s.skew() if len(s) &gt; 2 else 0.0_x000a__x000a_    # Outlier (aturan IQR)_x000a_    lower = q1 - 1.5 * iqr_x000a_    upper = q3 + 1.5 * iqr_x000a_    outliers = ((s &lt; lower) | (s &gt; upper)).sum()_x000a__x000a_    # Interpretasi skewness sederhana_x000a_    if skew &gt; 0.5:_x000a_        skew_txt = &quot;condong ke kanan (right-skewed)&quot;_x000a_    elif skew &lt; -0.5:_x000a_        skew_txt = &quot;condong ke kiri (left-skewed)&quot;_x000a_    else:_x000a_        skew_txt = &quot;relatif simetris&quot;_x000a__x000a_    # Mean vs median_x000a_    if mean &gt; median * 1.02:_x000a_        mm_txt = &quot;mean &gt; median (indikasi right-skew / nilai tinggi ekstrem)&quot;_x000a_    elif median &gt; mean * 1.02:_x000a_        mm_txt = &quot;median &gt; mean (indikasi left-skew / nilai rendah ekstrem)&quot;_x000a_    else:_x000a_        mm_txt = &quot;mean ~ median (indikasi distribusi cukup seimbang)&quot;_x000a__x000a_    return (_x000a_        f&quot;Insight ({col_name}): mean={mean:.2f}, median={median:.2f}, std={std:.2f}, &quot;_x000a_        f&quot;IQR={iqr:.2f}, skew={skew:.2f} ({skew_txt}), outlier(IQR)={outliers}. &quot;_x000a_        f&quot;{mm_txt}.&quot;_x000a_    )_x000a__x000a_# c) Visualisasi distribusi beberapa fitur numerik penting_x000a_# Pilih fitur numerik &quot;penting&quot;: jika ada final_exam_score, prioritaskan + fitur numerik lain teratas_x000a_cols_to_plot = []_x000a_if &quot;final_exam_score&quot; in num_cols:_x000a_    cols_to_plot.append(&quot;final_exam_score&quot;)_x000a__x000a_# Tambahkan kolom numerik lain (maks total 6)_x000a_for c in num_cols:_x000a_    if c not in cols_to_plot:_x000a_        cols_to_plot.append(c)_x000a_    if len(cols_to_plot) &gt;= 6:_x000a_        break_x000a__x000a_print(&quot;\n=== Fitur numerik yang divisualisasikan ===&quot;)_x000a_print(cols_to_plot)_x000a__x000a_if len(cols_to_plot) &gt; 0:_x000a_    n = len(cols_to_plot)_x000a_    ncols = 3_x000a_    nrows = int(np.ceil(n / ncols))_x000a__x000a_    fig, axes = plt.subplots(nrows=nrows, ncols=ncols, figsize=(5 * ncols, 4.8 * nrows))_x000a_    axes = np.array(axes).reshape(-1)_x000a__x000a_    for i, col in enumerate(cols_to_plot):_x000a_        ax = axes[i]_x000a_        sns.histplot(df[col].dropna(), bins=30, kde=True, ax=ax, color=&quot;#4C72B0&quot;)_x000a_        ax.set_title(f&quot;Distribusi: {col}&quot;)_x000a_        ax.set_xlabel(col)_x000a_        ax.set_ylabel(&quot;Count&quot;)_x000a__x000a_        # Insight di bawah plot_x000a_        insight = distribution_insight(df[col], col)_x000a_        ax.text(_x000a_            0.0,_x000a_            -0.28,_x000a_            insight,_x000a_            transform=ax.transAxes,_x000a_            fontsize=9"/>
    <d v="2026-04-14T11:21:01"/>
    <x v="3"/>
    <n v="0"/>
    <n v="357"/>
    <n v="1042"/>
    <n v="1399"/>
    <n v="1444"/>
    <n v="3507"/>
    <n v="2554"/>
    <n v="3"/>
    <n v="2"/>
    <n v="2"/>
    <s v="Provides a clear context and specific tasks."/>
    <s v="Could be more concise and structured for better readability."/>
    <s v="Includes necessary imports for data analysis."/>
    <s v="Incomplete; does not address the tasks outlined in the prompt."/>
    <s v="Saya sedang mengerjakan Praktikum Kecerdasan Mesin mengenai analisis performa akademik mahasiswa. Gunakan dataset student_exam_performance_dataset. Tugas: 1. Load dataset. 2. Lakukan EDA: a. Cek missing value. b. Tampilkan statistik deskriptif. c. Visualisasikan distribusi fitur numerik. d. Buat heatmap korelasi. Berikan insight di bawah visualisasi."/>
    <s v="Expand the response to include EDA steps and visualizations as requested in the prompt."/>
    <s v="weak"/>
    <b v="0"/>
    <s v="gpt-4o-mini"/>
    <s v="{&quot;prompt_score&quot;: 3, &quot;response_score&quot;: 2, &quot;overall_score&quot;: 2, &quot;prompt_strengths&quot;: &quot;Provides a clear context and specific tasks.&quot;, &quot;prompt_issues&quot;: &quot;Could be more concise and structured for better readability.&quot;, &quot;response_strengths&quot;: &quot;Includes necessary imports for data analysis.&quot;, &quot;response_issues&quot;: &quot;Incomplete; does not address the tasks outlined in the prompt.&quot;, &quot;prompt_rewrite&quot;: &quot;Saya sedang mengerjakan Praktikum Kecerdasan Mesin mengenai analisis performa akademik mahasiswa. Gunakan dataset student_exam_performance_dataset. Tugas: 1. Load dataset. 2. Lakukan EDA: a. Cek missing value. b. Tampilkan statistik deskriptif. c. Visualisasikan distribusi fitur numerik. d. Buat heatmap korelasi. Berikan insight di bawah visualisasi.&quot;, &quot;response_improvement_suggestions&quot;: &quot;Expand the response to include EDA steps and visualizations as requested in the prompt.&quot;, &quot;verdict&quot;: &quot;weak&quot;, &quot;needs_human_review&quot;: false}"/>
    <s v="cached"/>
    <n v="1"/>
  </r>
  <r>
    <x v="43"/>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 File_x000a_filename = &quot;pima-indians-diabetes.data.csv&quot;_x000a__x000a_# Load dataset (tanpa header di file)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Pastikan X dan y punya jumlah baris yang sama (n_samples)_x000a_array = dataframe.values_x000a_X = array[:, 1:7]   # kolom 2..7 (Glucose..DiabetesPedigreeFunction) =&gt; 6 fitur_x000a_y = array[:, 8]     # kolom Outcome (kolom terakhir)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int(&quot;precision:&quot;, precision_score(y, y_pred))_x000a__x000a_from sklearn.metrics import recall_score_x000a_print(&quot;recall:&quot;, recall_score(y, y_pred))"/>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 File_x000a_filename = &quot;pima-indians-diabetes.data.csv&quot;_x000a__x000a_# Load dataset (tanpa header di file)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Pastikan X dan y punya jumlah baris yang sama (n_samples)_x000a_array = dataframe.values_x000a_X = array[:, 1:7]   # kolom 2..7 (Glucose..DiabetesPedigreeFunction) =&gt; 6 fitur_x000a_y = array[:, 8]     # kolom Outcome (kolom terakhir)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int(&quot;precision:&quot;, precision_score(y, y_pred))_x000a__x000a_from sklearn.metrics import recall_score_x000a_print(&quot;recall:&quot;, recall_score(y, y_pred))_x000a_```"/>
    <d v="2026-03-17T13:22:04"/>
    <x v="4"/>
    <n v="0"/>
    <n v="665"/>
    <n v="494"/>
    <n v="1159"/>
    <n v="2498"/>
    <n v="1916"/>
    <n v="2685"/>
    <n v="4"/>
    <n v="5"/>
    <n v="5"/>
    <s v="Detailed and specific about the task requirements."/>
    <s v="Could be clearer in separating the two parts of the task."/>
    <s v="Correctly implements the required functionality with clarity."/>
    <s v="None significant; all parts of the task are addressed."/>
    <s v="Buatlah implementasi untuk menggambar kurva precision-recall dan membangun classifier yang powerful untuk dataset MNIST. Pertama, gunakan dataset Pima Indian Diabetes untuk menggambar kurva. Kedua, implementasikan classifier dengan akurasi 97% pada dataset MNIST."/>
    <s v="Consider adding comments to explain each step of the code for better clarity."/>
    <s v="excellent"/>
    <b v="0"/>
    <s v="gpt-4o-mini"/>
    <s v="{&quot;prompt_score&quot;: 4, &quot;response_score&quot;: 5, &quot;overall_score&quot;: 5, &quot;prompt_strengths&quot;: &quot;Detailed and specific about the task requirements.&quot;, &quot;prompt_issues&quot;: &quot;Could be clearer in separating the two parts of the task.&quot;, &quot;response_strengths&quot;: &quot;Correctly implements the required functionality with clarity.&quot;, &quot;response_issues&quot;: &quot;None significant; all parts of the task are addressed.&quot;, &quot;prompt_rewrite&quot;: &quot;Buatlah implementasi untuk menggambar kurva precision-recall dan membangun classifier yang powerful untuk dataset MNIST. Pertama, gunakan dataset Pima Indian Diabetes untuk menggambar kurva. Kedua, implementasikan classifier dengan akurasi 97% pada dataset MNIST.&quot;, &quot;response_improvement_suggestions&quot;: &quot;Consider adding comments to explain each step of the code for better clarity.&quot;, &quot;verdict&quot;: &quot;excellent&quot;, &quot;needs_human_review&quot;: false}"/>
    <s v="ok"/>
    <n v="5"/>
  </r>
  <r>
    <x v="43"/>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s v="done"/>
    <s v="Use pandas’ built-in correlation to compute the pairwise feature correlations from your DataFrame and store the result in `correlation`. This produces a correlation matrix (DataFrame) showing how strongly each column relates to every other column._x000a__x000a_correlation = dataframe.corr()"/>
    <s v="Use pandas’ built-in correlation to compute the pairwise feature correlations from your DataFrame and store the result in `correlation`. This produces a correlation matrix (DataFrame) showing how strongly each column relates to every other column._x000a__x000a_correlation = dataframe.corr()"/>
    <d v="2026-03-10T12:49:57"/>
    <x v="2"/>
    <n v="0"/>
    <n v="396"/>
    <n v="50"/>
    <n v="446"/>
    <n v="1654"/>
    <n v="279"/>
    <n v="2752"/>
    <n v="4"/>
    <n v="5"/>
    <n v="5"/>
    <s v="Detailed explanation of the task and context."/>
    <s v="Could be more concise."/>
    <s v="Directly addresses the prompt with correct code."/>
    <s v="None."/>
    <s v="Summarize the task of evaluating machine learning algorithms using resampling techniques in Jupyter Notebook, including the necessary libraries and data types."/>
    <s v="None needed; response is complete and clear."/>
    <s v="excellent"/>
    <b v="0"/>
    <s v="gpt-4o-mini"/>
    <s v="{&quot;prompt_score&quot;: 4, &quot;response_score&quot;: 5, &quot;overall_score&quot;: 5, &quot;prompt_strengths&quot;: &quot;Detailed explanation of the task and context.&quot;, &quot;prompt_issues&quot;: &quot;Could be more concise.&quot;, &quot;response_strengths&quot;: &quot;Directly addresses the prompt with correct code.&quot;, &quot;response_issues&quot;: &quot;None.&quot;, &quot;prompt_rewrite&quot;: &quot;Summarize the task of evaluating machine learning algorithms using resampling techniques in Jupyter Notebook, including the necessary libraries and data types.&quot;, &quot;response_improvement_suggestions&quot;: &quot;None needed; response is complete and clear.&quot;, &quot;verdict&quot;: &quot;excellent&quot;, &quot;needs_human_review&quot;: false}"/>
    <s v="ok"/>
    <n v="5"/>
  </r>
  <r>
    <x v="43"/>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Visualize the feature distribution_x000a_```_x000a_dataframe['Outcome'].value_counts(normalize=True) * 100_x000a_```_x000a_code output:_x000a_Outcome_x000a_0    65.104167_x000a_1    34.895833_x000a_Name: proportion, dtype: float64_x000a__x000a_Based on the result of feature distribution above, answer this questions:_x000a_Is the data distribution balanced? which has more distribution?_x000a_Answer the question and explain it, use analogy as if explaining into an elementary student."/>
    <s v="done"/>
    <s v="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
    <s v="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
    <d v="2026-03-10T12:47:16"/>
    <x v="2"/>
    <n v="0"/>
    <n v="464"/>
    <n v="108"/>
    <n v="572"/>
    <n v="1940"/>
    <n v="338"/>
    <n v="2796"/>
    <n v="4"/>
    <n v="5"/>
    <n v="4"/>
    <s v="Detailed explanation of the machine learning evaluation process."/>
    <s v="Could be more concise and focused on the specific question."/>
    <s v="Clear analogy and correct explanation of data distribution."/>
    <s v="None identified."/>
    <s v="Summarize the evaluation of machine learning algorithms using resampling techniques and explain data distribution balance in simple terms."/>
    <s v="Consider adding a brief mention of why imbalanced data can be problematic in machine learning."/>
    <s v="good"/>
    <b v="0"/>
    <s v="gpt-4o-mini"/>
    <s v="{&quot;prompt_score&quot;: 4, &quot;response_score&quot;: 5, &quot;overall_score&quot;: 4, &quot;prompt_strengths&quot;: &quot;Detailed explanation of the machine learning evaluation process.&quot;, &quot;prompt_issues&quot;: &quot;Could be more concise and focused on the specific question.&quot;, &quot;response_strengths&quot;: &quot;Clear analogy and correct explanation of data distribution.&quot;, &quot;response_issues&quot;: &quot;None identified.&quot;, &quot;prompt_rewrite&quot;: &quot;Summarize the evaluation of machine learning algorithms using resampling techniques and explain data distribution balance in simple terms.&quot;, &quot;response_improvement_suggestions&quot;: &quot;Consider adding a brief mention of why imbalanced data can be problematic in machine learning.&quot;, &quot;verdict&quot;: &quot;good&quot;, &quot;needs_human_review&quot;: false}"/>
    <s v="ok"/>
    <n v="4"/>
  </r>
  <r>
    <x v="43"/>
    <s v="[MODE:summary]_x000a_Bertindaklah sebagai ahli dalam kecerdasan mesin. Jawab kemudian Jelaskan secara singkat pertanyaan-pertanyaan yang akan diajukan berikut._x000a_1. Overfitting terjadi ketika? (Tidak ada noise, model kompleks, model sederhana, data sedikit.)_x000a_2. lambda besar pada Ridge akan menyebabkan? (Tidak ada, koefisien kecil, koefisien besar, atau overfit)?_x000a_3. Mini-batch Gradient Descent adalah kombinasi? (Linear &amp; Logistik, batch &amp; SGD, PCA &amp; SVD, Ridge &amp; lasso"/>
    <s v="done"/>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d v="2026-04-14T10:09:46"/>
    <x v="3"/>
    <n v="0"/>
    <n v="142"/>
    <n v="113"/>
    <n v="255"/>
    <n v="463"/>
    <n v="416"/>
    <n v="2900"/>
    <n v="4"/>
    <n v="5"/>
    <n v="4"/>
    <s v="Clear and specific questions related to machine learning concepts."/>
    <s v="Could provide more context or examples for better understanding."/>
    <s v="Accurate, relevant, and clearly explains the concepts."/>
    <s v="Could include more detail or examples for completeness."/>
    <s v="[MODE:summary] Bertindaklah sebagai ahli dalam kecerdasan mesin. Jawab dan jelaskan secara singkat pertanyaan-pertanyaan berikut dengan contoh jika perlu: 1. Overfitting terjadi ketika? 2. Apa yang terjadi jika lambda besar pada Ridge? 3. Apa itu Mini-batch Gradient Descent dan bagaimana hubungannya dengan metode lain?"/>
    <s v="Add examples or further explanations for each concept to enhance understanding."/>
    <s v="good"/>
    <b v="0"/>
    <s v="gpt-4o-mini"/>
    <s v="{&quot;prompt_score&quot;: 4, &quot;response_score&quot;: 5, &quot;overall_score&quot;: 4, &quot;prompt_strengths&quot;: &quot;Clear and specific questions related to machine learning concepts.&quot;, &quot;prompt_issues&quot;: &quot;Could provide more context or examples for better understanding.&quot;, &quot;response_strengths&quot;: &quot;Accurate, relevant, and clearly explains the concepts.&quot;, &quot;response_issues&quot;: &quot;Could include more detail or examples for completeness.&quot;, &quot;prompt_rewrite&quot;: &quot;[MODE:summary] Bertindaklah sebagai ahli dalam kecerdasan mesin. Jawab dan jelaskan secara singkat pertanyaan-pertanyaan berikut dengan contoh jika perlu: 1. Overfitting terjadi ketika? 2. Apa yang terjadi jika lambda besar pada Ridge? 3. Apa itu Mini-batch Gradient Descent dan bagaimana hubungannya dengan metode lain?&quot;, &quot;response_improvement_suggestions&quot;: &quot;Add examples or further explanations for each concept to enhance understanding.&quot;, &quot;verdict&quot;: &quot;good&quot;, &quot;needs_human_review&quot;: false}"/>
    <s v="ok"/>
    <n v="4"/>
  </r>
  <r>
    <x v="43"/>
    <s v="[MODE:summary]_x000a_I am currently doing a machine learning quiz and there is one question that I deem quite tricky. The question is as follows: What is the purpose of feature scaling?_x000a_There are multiple choices included._x000a_To delete outlier_x000a_To make all features to be in the same scale._x000a_To change the label_x000a_To delete the dataset_x000a_Provide a detailed explanation as if explaining towards a person who have zero experience in machine learning._x000a_Followed by the exact multiple answer choice the end of the output"/>
    <s v="done"/>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d v="2026-03-10T09:48:00"/>
    <x v="2"/>
    <n v="0"/>
    <n v="100"/>
    <n v="236"/>
    <n v="336"/>
    <n v="500"/>
    <n v="1150"/>
    <n v="3665"/>
    <n v="4"/>
    <n v="5"/>
    <n v="4"/>
    <s v="Clear and specific about the question and context."/>
    <s v="Could be more concise and focused on the main question."/>
    <s v="Thorough explanation, clear and relevant to the question."/>
    <s v="Could be slightly more concise."/>
    <s v="[MODE:summary] Explain the purpose of feature scaling in machine learning to someone with no experience. Include the correct answer from the following options: To delete outlier, To make all features to be in the same scale, To change the label, To delete the dataset."/>
    <s v="Consider summarizing the explanation to focus on key points to enhance clarity."/>
    <s v="good"/>
    <b v="0"/>
    <s v="gpt-4o-mini"/>
    <s v="{&quot;prompt_score&quot;: 4, &quot;response_score&quot;: 5, &quot;overall_score&quot;: 4, &quot;prompt_strengths&quot;: &quot;Clear and specific about the question and context.&quot;, &quot;prompt_issues&quot;: &quot;Could be more concise and focused on the main question.&quot;, &quot;response_strengths&quot;: &quot;Thorough explanation, clear and relevant to the question.&quot;, &quot;response_issues&quot;: &quot;Could be slightly more concise.&quot;, &quot;prompt_rewrite&quot;: &quot;[MODE:summary] Explain the purpose of feature scaling in machine learning to someone with no experience. Include the correct answer from the following options: To delete outlier, To make all features to be in the same scale, To change the label, To delete the dataset.&quot;, &quot;response_improvement_suggestions&quot;: &quot;Consider summarizing the explanation to focus on key points to enhance clarity.&quot;, &quot;verdict&quot;: &quot;good&quot;, &quot;needs_human_review&quot;: false}"/>
    <s v="ok"/>
    <n v="4"/>
  </r>
  <r>
    <x v="43"/>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5: Pemodelan Klasifikasi (Logistic Regression)_x000a_# Input fitur klasifikasi = hasil prediksi final_exam_score dari model regresi_x000a_# =========================_x000a__x000a_import numpy as np_x000a_import pandas as pd_x000a_import matplotlib.pyplot as plt_x000a_import seaborn as sns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Prasyarat: variabel berikut sudah tersedia dari Tugas 3_x000a_# X_train_reg, X_test_reg, y_train_reg, y_test_reg_x000a_# X_train_clf, X_test_clf, y_train_clf, y_test_clf_x000a_# -------------------------_x000a__x000a_# 1) Bangun model regresi (untuk menghasilkan prediksi final_exam_score)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_reg, y_train_reg)_x000a__x000a_# 2) Prediksi final_exam_score untuk data klasifikasi (train &amp; test)_x000a_pred_train_score = reg_pipe.predict(X_train_clf)_x000a_pred_test_score = reg_pipe.predict(X_test_clf)_x000a__x000a_# Jadikan prediksi sebagai fitur tunggal untuk klasifikasi_x000a_X_train_clf_from_reg = pd.DataFrame(_x000a_    {&quot;pred_final_exam_score&quot;: pred_train_score}, index=X_train_clf.index_x000a_)_x000a_X_test_clf_from_reg = pd.DataFrame(_x000a_    {&quot;pred_final_exam_score&quot;: pred_test_score}, index=X_test_clf.index_x000a_)_x000a__x000a_# 3) Model klasifikasi Logistic Regression_x000a_clf_pipe = Pipeline(_x000a_    steps=[_x000a_        (&quot;scaler&quot;, StandardScaler()),  # scaling untuk 1 fitur numerik_x000a_        (&quot;model&quot;, LogisticRegression(max_iter=1000, random_state=42)),_x000a_    ]_x000a_)_x000a__x000a_clf_pipe.fit(X_train_clf_from_reg, y_train_clf)_x000a__x000a_# 4) Prediksi kelas &amp; probabilitas_x000a_y_pred = clf_pipe.predict(X_test_clf_from_reg)_x000a_y_proba = clf_pipe.predict_proba(X_test_clf_from_reg)[:, 1]_x000a__x000a_# 5) Evaluasi: Confusion Matrix, Accuracy, Precision, Recall_x000a_cm = confusion_matrix(y_test_clf, y_pred)_x000a_acc = accuracy_score(y_test_clf, y_pred)_x000a_prec = precision_score(y_test_clf, y_pred, zero_division=0)_x000a_rec = recall_score(y_test_clf, y_pred, zero_division=0)_x000a__x000a_print(&quot;Confusion Matrix:\n&quot;, cm)_x000a_print(f&quot;Accuracy : {acc:.4f}&quot;)_x000a_print(f&quot;Precision: {prec:.4f}&quot;)_x000a_print(f&quot;Recall   : {rec:.4f}&quot;)_x000a__x000a_plt.figure(figsize=(5, 4))_x000a_sns.heatmap(cm, annot=True, fmt=&quot;d&quot;, cmap=&quot;Blues&quot;, cbar=False)_x000a_plt.title(&quot;Confusion Matrix - Logistic Regression&quot;)_x000a_plt.xlabel(&quot;Predicted&quot;)_x000a_plt.ylabel(&quot;Actual&quot;)_x000a_plt.tight_layout()_x000a_plt.show()_x000a__x000a_# 6) ROC Curve dan AUC_x000a_fpr, tpr, thresholds = roc_curve(y_test_clf, y_proba)_x000a_roc_auc = auc(fpr, tpr)_x000a__x000a_print(f&quot;AUC: {roc_auc:.4f}&quot;)_x000a__x000a_plt.figure(figsize=(6, 5))_x000a_plt.plot(fpr, tpr, label=f&quot;ROC Curve (AUC = {roc_auc:.4f})&quot;)_x000a_plt.plot([0, 1], [0, 1], &quot;k--&quot;, label=&quot;Random&quot;)_x000a_plt.xlabel(&quot;False Positive Rate&quot;)_x000a_plt.ylabel(&quot;True Positive Rate&quot;)_x000a_plt.title(&quot;ROC Curve - Logistic Regression&quot;)_x000a_plt.legend(loc=&quot;lower right&quot;)_x000a_plt.tight_layout()_x000a_plt.show()"/>
    <s v="```python_x000a_# =========================_x000a_# Tugas 5: Pemodelan Klasifikasi (Logistic Regression)_x000a_# Input fitur klasifikasi = hasil prediksi final_exam_score dari model regresi_x000a_# =========================_x000a__x000a_import numpy as np_x000a_import pandas as pd_x000a_import matplotlib.pyplot as plt_x000a_import seaborn as sns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Prasyarat: variabel berikut sudah tersedia dari Tugas 3_x000a_# X_train_reg, X_test_reg, y_train_reg, y_test_reg_x000a_# X_train_clf, X_test_clf, y_train_clf, y_test_clf_x000a_# -------------------------_x000a__x000a_# 1) Bangun model regresi (untuk menghasilkan prediksi final_exam_score)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_reg, y_train_reg)_x000a__x000a_# 2) Prediksi final_exam_score untuk data klasifikasi (train &amp; test)_x000a_pred_train_score = reg_pipe.predict(X_train_clf)_x000a_pred_test_score = reg_pipe.predict(X_test_clf)_x000a__x000a_# Jadikan prediksi sebagai fitur tunggal untuk klasifikasi_x000a_X_train_clf_from_reg = pd.DataFrame(_x000a_    {&quot;pred_final_exam_score&quot;: pred_train_score}, index=X_train_clf.index_x000a_)_x000a_X_test_clf_from_reg = pd.DataFrame(_x000a_    {&quot;pred_final_exam_score&quot;: pred_test_score}, index=X_test_clf.index_x000a_)_x000a__x000a_# 3) Model klasifikasi Logistic Regression_x000a_clf_pipe = Pipeline(_x000a_    steps=[_x000a_        (&quot;scaler&quot;, StandardScaler()),  # scaling untuk 1 fitur numerik_x000a_        (&quot;model&quot;, LogisticRegression(max_iter=1000, random_state=42)),_x000a_    ]_x000a_)_x000a__x000a_clf_pipe.fit(X_train_clf_from_reg, y_train_clf)_x000a__x000a_# 4) Prediksi kelas &amp; probabilitas_x000a_y_pred = clf_pipe.predict(X_test_clf_from_reg)_x000a_y_proba = clf_pipe.predict_proba(X_test_clf_from_reg)[:, 1]_x000a__x000a_# 5) Evaluasi: Confusion Matrix, Accuracy, Precision, Recall_x000a_cm = confusion_matrix(y_test_clf, y_pred)_x000a_acc = accuracy_score(y_test_clf, y_pred)_x000a_prec = precision_score(y_test_clf, y_pred, zero_division=0)_x000a_rec = recall_score(y_test_clf, y_pred, zero_division=0)_x000a__x000a_print(&quot;Confusion Matrix:\n&quot;, cm)_x000a_print(f&quot;Accuracy : {acc:.4f}&quot;)_x000a_print(f&quot;Precision: {prec:.4f}&quot;)_x000a_print(f&quot;Recall   : {rec:.4f}&quot;)_x000a__x000a_plt.figure(figsize=(5, 4))_x000a_sns.heatmap(cm, annot=True, fmt=&quot;d&quot;, cmap=&quot;Blues&quot;, cbar=False)_x000a_plt.title(&quot;Confusion Matrix - Logistic Regression&quot;)_x000a_plt.xlabel(&quot;Predicted&quot;)_x000a_plt.ylabel(&quot;Actual&quot;)_x000a_plt.tight_layout()_x000a_plt.show()_x000a__x000a_# 6) ROC Curve dan AUC_x000a_fpr, tpr, thresholds = roc_curve(y_test_clf, y_proba)_x000a_roc_auc = auc(fpr, tpr)_x000a__x000a_print(f&quot;AUC: {roc_auc:.4f}&quot;)_x000a__x000a_plt.figure(figsize=(6, 5))_x000a_plt.plot(fpr, tpr, label=f&quot;ROC Curve (AUC = {roc_auc:.4f})&quot;)_x000a_plt.plot([0, 1], [0, 1], &quot;k--&quot;, label=&quot;Random&quot;)_x000a_plt.xlabel(&quot;False Positive Rate&quot;)_x000a_plt.ylabel(&quot;True Positive Rate&quot;)_x000a_plt.title(&quot;ROC Curve - Logistic Regression&quot;)_x000a_plt.legend(loc=&quot;lower right&quot;)_x000a_plt.tight_layout()_x000a_plt.show()_x000a_```"/>
    <d v="2026-04-14T11:09:38"/>
    <x v="3"/>
    <n v="0"/>
    <n v="626"/>
    <n v="892"/>
    <n v="1518"/>
    <n v="2349"/>
    <n v="3370"/>
    <n v="4471"/>
    <n v="4"/>
    <n v="5"/>
    <n v="5"/>
    <s v="Detailed and specific instructions for the task."/>
    <s v="Could benefit from clearer formatting for readability."/>
    <s v="Comprehensive implementation with clear steps and evaluations."/>
    <s v="None significant; all required elements are included."/>
    <s v="Saya sedang mengerjakan Praktikum Kecerdasan Mesin mengenai Student Exam Performance Prediction. Gunakan dataset student_exam_performance_dataset. Setup library awal dan lakukan langkah-langkah berikut: 1. Load dataset, 2. EDA, 3. Persiapan fitur dan target, 4. Pemodelan Regresi, 5. Pemodelan Klasifikasi dengan Logistic Regression. Evaluasi model klasifikasi menggunakan Confusion Matrix, Accuracy, Precision, Recall, ROC Curve dan AUC."/>
    <s v="Consider adding comments to explain each step for better understanding."/>
    <s v="excellent"/>
    <b v="0"/>
    <s v="gpt-4o-mini"/>
    <s v="{&quot;prompt_score&quot;: 4, &quot;response_score&quot;: 5, &quot;overall_score&quot;: 5, &quot;prompt_strengths&quot;: &quot;Detailed and specific instructions for the task.&quot;, &quot;prompt_issues&quot;: &quot;Could benefit from clearer formatting for readability.&quot;, &quot;response_strengths&quot;: &quot;Comprehensive implementation with clear steps and evaluations.&quot;, &quot;response_issues&quot;: &quot;None significant; all required elements are included.&quot;, &quot;prompt_rewrite&quot;: &quot;Saya sedang mengerjakan Praktikum Kecerdasan Mesin mengenai Student Exam Performance Prediction. Gunakan dataset student_exam_performance_dataset. Setup library awal dan lakukan langkah-langkah berikut: 1. Load dataset, 2. EDA, 3. Persiapan fitur dan target, 4. Pemodelan Regresi, 5. Pemodelan Klasifikasi dengan Logistic Regression. Evaluasi model klasifikasi menggunakan Confusion Matrix, Accuracy, Precision, Recall, ROC Curve dan AUC.&quot;, &quot;response_improvement_suggestions&quot;: &quot;Consider adding comments to explain each step for better understanding.&quot;, &quot;verdict&quot;: &quot;excellent&quot;, &quot;needs_human_review&quot;: false}"/>
    <s v="ok"/>
    <n v="5"/>
  </r>
  <r>
    <x v="43"/>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_x000a_svm_reg = make_pipeline(preprocessing, SVR()). Make the syntax simple and executable, refrain from using any exceptions or any unnecessary algorithms, and make sure to not destroy or alter any previous modifications. The code must be easy to read."/>
    <s v="done"/>
    <s v="**Summary:** Create a single scikit-learn pipeline that applies your existing `preprocessing` (`ColumnTransformer`) and then trains an `SVR` regressor. This keeps all your prior feature-engineering and transformations unchanged._x000a__x000a_```python_x000a_from sklearn.pipeline import make_pipeline_x000a_from sklearn.svm import SVR_x000a__x000a_svm_reg = make_pipeline(preprocessing, SVR())_x000a_```_x000a__x000a_**Explanation:** `make_pipeline(preprocessing, SVR())` runs your `preprocessing` step first (categorical pipeline, ratio features, log transform, `ClusterSimilarity`, etc.), then feeds the transformed features into `SVR()` for regression—without altering any of your existing code or modifications."/>
    <s v="**Summary:** Create a single scikit-learn pipeline that applies your existing `preprocessing` (`ColumnTransformer`) and then trains an `SVR` regressor. This keeps all your prior feature-engineering and transformations unchanged._x000a__x000a_```python_x000a_from sklearn.pipeline import make_pipeline_x000a_from sklearn.svm import SVR_x000a__x000a_svm_reg = make_pipeline(preprocessing, SVR())_x000a_```_x000a__x000a_**Explanation:** `make_pipeline(preprocessing, SVR())` runs your `preprocessing` step first (categorical pipeline, ratio features, log transform, `ClusterSimilarity`, etc.), then feeds the transformed features into `SVR()` for regression—without altering any of your existing code or modifications."/>
    <d v="2026-02-24T15:49:25"/>
    <x v="1"/>
    <n v="0"/>
    <n v="567"/>
    <n v="139"/>
    <n v="706"/>
    <n v="2253"/>
    <n v="661"/>
    <n v="4613"/>
    <n v="3"/>
    <n v="5"/>
    <n v="4"/>
    <s v="Provides a detailed context and specific requirements."/>
    <s v="Contains several typos and unclear phrasing, making it somewhat difficult to follow."/>
    <s v="Clear, relevant, and correctly summarizes the code while maintaining clarity."/>
    <s v="Could provide more detail on the implications of the pipeline setup."/>
    <s v="Summarize the regression and SVM problem in machine learning using Python. The dataset has 16512 samples and 9 features. I transformed `housing_labels` into a Series and created a pipeline for categorical columns. I implemented a `ClusterSimilarity` class for latitude and longitude processing and defined functions for feature ratios. I set up a `ColumnTransformer` for preprocessing and a parameter grid for hyperparameter tuning with `GridSearchCV`. Finally, I created a pipeline using `preprocessing` and `SVR()`. Ensure the code is simple, executable, and maintains previous modifications."/>
    <s v="Include a brief explanation of the significance of each step in the pipeline for better understanding."/>
    <s v="good"/>
    <b v="0"/>
    <s v="gpt-4o-mini"/>
    <s v="{&quot;prompt_score&quot;: 3, &quot;response_score&quot;: 5, &quot;overall_score&quot;: 4, &quot;prompt_strengths&quot;: &quot;Provides a detailed context and specific requirements.&quot;, &quot;prompt_issues&quot;: &quot;Contains several typos and unclear phrasing, making it somewhat difficult to follow.&quot;, &quot;response_strengths&quot;: &quot;Clear, relevant, and correctly summarizes the code while maintaining clarity.&quot;, &quot;response_issues&quot;: &quot;Could provide more detail on the implications of the pipeline setup.&quot;, &quot;prompt_rewrite&quot;: &quot;Summarize the regression and SVM problem in machine learning using Python. The dataset has 16512 samples and 9 features. I transformed `housing_labels` into a Series and created a pipeline for categorical columns. I implemented a `ClusterSimilarity` class for latitude and longitude processing and defined functions for feature ratios. I set up a `ColumnTransformer` for preprocessing and a parameter grid for hyperparameter tuning with `GridSearchCV`. Finally, I created a pipeline using `preprocessing` and `SVR()`. Ensure the code is simple, executable, and maintains previous modifications.&quot;, &quot;response_improvement_suggestions&quot;: &quot;Include a brief explanation of the significance of each step in the pipeline for better understanding.&quot;, &quot;verdict&quot;: &quot;good&quot;, &quot;needs_human_review&quot;: false}"/>
    <s v="ok"/>
    <n v="4"/>
  </r>
  <r>
    <x v="44"/>
    <s v="[MODE:summary]_x000a_berikan saya penjelasan serta jawaban mengenai algoritma yang sensitif terhadap scaling? SVM? Random Forest?"/>
    <s v="done"/>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d v="2026-03-11T13:16:08"/>
    <x v="2"/>
    <n v="0"/>
    <n v="34"/>
    <n v="130"/>
    <n v="164"/>
    <n v="123"/>
    <n v="487"/>
    <n v="442"/>
    <n v="4"/>
    <n v="5"/>
    <n v="5"/>
    <s v="Clear and specific request for information."/>
    <s v="Could provide more context on the desired depth of explanation."/>
    <s v="Accurate, complete, and clearly explains the sensitivity of algorithms to scaling."/>
    <s v="None noted."/>
    <s v="Berikan penjelasan mendalam mengenai algoritma yang sensitif terhadap scaling, seperti SVM dan Random Forest."/>
    <s v="Consider adding examples or applications of each algorithm."/>
    <s v="excellent"/>
    <b v="0"/>
    <s v="gpt-4o-mini"/>
    <s v="{&quot;prompt_score&quot;: 4, &quot;response_score&quot;: 5, &quot;overall_score&quot;: 5, &quot;prompt_strengths&quot;: &quot;Clear and specific request for information.&quot;, &quot;prompt_issues&quot;: &quot;Could provide more context on the desired depth of explanation.&quot;, &quot;response_strengths&quot;: &quot;Accurate, complete, and clearly explains the sensitivity of algorithms to scaling.&quot;, &quot;response_issues&quot;: &quot;None noted.&quot;, &quot;prompt_rewrite&quot;: &quot;Berikan penjelasan mendalam mengenai algoritma yang sensitif terhadap scaling, seperti SVM dan Random Forest.&quot;, &quot;response_improvement_suggestions&quot;: &quot;Consider adding examples or applications of each algorithm.&quot;, &quot;verdict&quot;: &quot;excellent&quot;, &quot;needs_human_review&quot;: false}"/>
    <s v="ok"/>
    <n v="5"/>
  </r>
  <r>
    <x v="44"/>
    <s v="[MODE:summary]_x000a_berikan penjelasannya ##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
    <s v="done"/>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d v="2026-04-08T15:48:01"/>
    <x v="0"/>
    <n v="0"/>
    <n v="455"/>
    <n v="90"/>
    <n v="545"/>
    <n v="1663"/>
    <n v="382"/>
    <n v="2306"/>
    <n v="4"/>
    <n v="4"/>
    <n v="4"/>
    <s v="Clear instructions and context for the task."/>
    <s v="Could benefit from more specificity regarding expected output format."/>
    <s v="Addresses the performance of the model and relates it to learning curves effectively."/>
    <s v="Could provide more detail on how to interpret the learning curve."/>
    <s v="Berikan penjelasan tentang _performance_ model linear regression di atas, terutama dari segi bias. Juga, implementasikan fungsi `learning_curve` untuk menghasilkan vektor error training dan validation. Sertakan detail tentang cara menghitung error dan interpretasi learning curve."/>
    <s v="Include a brief explanation of how to interpret the learning curve and its implications for model performance."/>
    <s v="good"/>
    <b v="0"/>
    <s v="gpt-4o-mini"/>
    <s v="{&quot;prompt_score&quot;: 4, &quot;response_score&quot;: 4, &quot;overall_score&quot;: 4, &quot;prompt_strengths&quot;: &quot;Clear instructions and context for the task.&quot;, &quot;prompt_issues&quot;: &quot;Could benefit from more specificity regarding expected output format.&quot;, &quot;response_strengths&quot;: &quot;Addresses the performance of the model and relates it to learning curves effectively.&quot;, &quot;response_issues&quot;: &quot;Could provide more detail on how to interpret the learning curve.&quot;, &quot;prompt_rewrite&quot;: &quot;Berikan penjelasan tentang _performance_ model linear regression di atas, terutama dari segi bias. Juga, implementasikan fungsi `learning_curve` untuk menghasilkan vektor error training dan validation. Sertakan detail tentang cara menghitung error dan interpretasi learning curve.&quot;, &quot;response_improvement_suggestions&quot;: &quot;Include a brief explanation of how to interpret the learning curve and its implications for model performance.&quot;, &quot;verdict&quot;: &quot;good&quot;, &quot;needs_human_review&quot;: false}"/>
    <s v="ok"/>
    <n v="4"/>
  </r>
  <r>
    <x v="45"/>
    <s v="[MODE:code]_x000a_name error name&quot;lin_reg&quot; is not define. kenapa bisa error seperti lin_reg is not define padahal saya sudah sama lin_reg.predict(X_test)"/>
    <s v="done"/>
    <s v="#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
    <s v="```python_x000a_#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_x000a_```"/>
    <d v="2026-03-03T12:03:19"/>
    <x v="6"/>
    <n v="0"/>
    <n v="38"/>
    <n v="185"/>
    <n v="223"/>
    <n v="147"/>
    <n v="687"/>
    <n v="765"/>
    <n v="3"/>
    <n v="5"/>
    <n v="4"/>
    <s v="Identifies a specific error related to variable definition."/>
    <s v="Lacks clarity in language and context; mixed languages may confuse readers."/>
    <s v="Provides a clear and complete solution with relevant code examples."/>
    <s v="Could include more explanation of the code for better understanding."/>
    <s v="Mengapa saya mendapatkan error 'name &quot;lin_reg&quot; is not defined' saat mencoba menggunakan lin_reg.predict(X_test)?"/>
    <s v="Add comments explaining each step of the code for clarity."/>
    <s v="good"/>
    <b v="0"/>
    <s v="gpt-4o-mini"/>
    <s v="{&quot;prompt_score&quot;: 3, &quot;response_score&quot;: 5, &quot;overall_score&quot;: 4, &quot;prompt_strengths&quot;: &quot;Identifies a specific error related to variable definition.&quot;, &quot;prompt_issues&quot;: &quot;Lacks clarity in language and context; mixed languages may confuse readers.&quot;, &quot;response_strengths&quot;: &quot;Provides a clear and complete solution with relevant code examples.&quot;, &quot;response_issues&quot;: &quot;Could include more explanation of the code for better understanding.&quot;, &quot;prompt_rewrite&quot;: &quot;Mengapa saya mendapatkan error 'name \&quot;lin_reg\&quot; is not defined' saat mencoba menggunakan lin_reg.predict(X_test)?&quot;, &quot;response_improvement_suggestions&quot;: &quot;Add comments explaining each step of the code for clarity.&quot;, &quot;verdict&quot;: &quot;good&quot;, &quot;needs_human_review&quot;: false}"/>
    <s v="ok"/>
    <n v="4"/>
  </r>
  <r>
    <x v="45"/>
    <s v="[MODE:code]_x000a_[ASSESSMENT_ID:1771cf7a-0a65-11f1-b762-3e0936ad7efb]_x000a_[FORCE_GPT:true]_x000a_[AUTO_FALLBACK:tru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s v="done"/>
    <s v="pred = lin_reg.predict(X_test)_x000a__x000a_mae = mean_absolute_error(y_test, pred)_x000a_rmse = np.sqrt(mean_squared_error(y_test, pred))_x000a_r2 = r2_score(y_test, pred)_x000a__x000a_print(&quot;MAE :&quot;, mae)_x000a_print(&quot;RMSE :&quot;, rmse)_x000a_print(&quot;R2:&quot;, r2)_x000a__x000a_# Lihat beberapa hasil prediksi vs aktual_x000a_hasil = pd.DataFrame({&quot;y_actual&quot;: y_test, &quot;y_pred&quot;: pred})_x000a_print(hasil.head(10))"/>
    <s v="```python_x000a_pred = lin_reg.predict(X_test)_x000a__x000a_mae = mean_absolute_error(y_test, pred)_x000a_rmse = np.sqrt(mean_squared_error(y_test, pred))_x000a_r2 = r2_score(y_test, pred)_x000a__x000a_print(&quot;MAE :&quot;, mae)_x000a_print(&quot;RMSE :&quot;, rmse)_x000a_print(&quot;R2:&quot;, r2)_x000a__x000a_# Lihat beberapa hasil prediksi vs aktual_x000a_hasil = pd.DataFrame({&quot;y_actual&quot;: y_test, &quot;y_pred&quot;: pred})_x000a_print(hasil.head(10))_x000a_```"/>
    <d v="2026-03-03T11:59:34"/>
    <x v="6"/>
    <n v="0"/>
    <n v="134"/>
    <n v="106"/>
    <n v="240"/>
    <n v="406"/>
    <n v="346"/>
    <n v="885"/>
    <n v="4"/>
    <n v="5"/>
    <n v="4"/>
    <s v="Clear and specific about the task."/>
    <s v="Could provide more context on the dataset."/>
    <s v="Correct and complete with additional useful output."/>
    <s v="Could improve clarity by explaining the output DataFrame."/>
    <s v="Bagaimana cara melihat hasil dari model linear regression yang telah dilatih, termasuk cara menampilkan hasil prediksi dan perbandingan dengan nilai aktual?"/>
    <s v="Add a brief explanation of the output DataFrame to enhance clarity."/>
    <s v="good"/>
    <b v="0"/>
    <s v="gpt-4o-mini"/>
    <s v="{&quot;prompt_score&quot;: 4, &quot;response_score&quot;: 5, &quot;overall_score&quot;: 4, &quot;prompt_strengths&quot;: &quot;Clear and specific about the task.&quot;, &quot;prompt_issues&quot;: &quot;Could provide more context on the dataset.&quot;, &quot;response_strengths&quot;: &quot;Correct and complete with additional useful output.&quot;, &quot;response_issues&quot;: &quot;Could improve clarity by explaining the output DataFrame.&quot;, &quot;prompt_rewrite&quot;: &quot;Bagaimana cara melihat hasil dari model linear regression yang telah dilatih, termasuk cara menampilkan hasil prediksi dan perbandingan dengan nilai aktual?&quot;, &quot;response_improvement_suggestions&quot;: &quot;Add a brief explanation of the output DataFrame to enhance clarity.&quot;, &quot;verdict&quot;: &quot;good&quot;, &quot;needs_human_review&quot;: false}"/>
    <s v="ok"/>
    <n v="4"/>
  </r>
  <r>
    <x v="45"/>
    <s v="[MODE:code]_x000a_saya punya tugas untuk Simpan semua baris dari kolom ke-7 ke dalam variabel y. berikan saya syntaxnya"/>
    <s v="done"/>
    <s v="y = array[:, 7]"/>
    <s v="```python_x000a_y = array[:, 7]_x000a_```"/>
    <d v="2026-03-17T12:14:15"/>
    <x v="4"/>
    <n v="0"/>
    <n v="34"/>
    <n v="11"/>
    <n v="45"/>
    <n v="113"/>
    <n v="29"/>
    <n v="2581"/>
    <n v="4"/>
    <n v="4"/>
    <n v="4"/>
    <s v="Clear task description and specific request."/>
    <s v="Could provide more context about the programming language."/>
    <s v="Relevant and correct syntax for extracting a column."/>
    <s v="Lacks explanation or context for the syntax provided."/>
    <s v="[MODE:code] Saya perlu menyimpan semua baris dari kolom ke-7 dalam variabel y menggunakan Python. Berikan saya sintaksnya."/>
    <s v="Add a brief explanation of the syntax and its context."/>
    <s v="good"/>
    <b v="0"/>
    <s v="gpt-4o-mini"/>
    <s v="{&quot;prompt_score&quot;: 4, &quot;response_score&quot;: 4, &quot;overall_score&quot;: 4, &quot;prompt_strengths&quot;: &quot;Clear task description and specific request.&quot;, &quot;prompt_issues&quot;: &quot;Could provide more context about the programming language.&quot;, &quot;response_strengths&quot;: &quot;Relevant and correct syntax for extracting a column.&quot;, &quot;response_issues&quot;: &quot;Lacks explanation or context for the syntax provided.&quot;, &quot;prompt_rewrite&quot;: &quot;[MODE:code] Saya perlu menyimpan semua baris dari kolom ke-7 dalam variabel y menggunakan Python. Berikan saya sintaksnya.&quot;, &quot;response_improvement_suggestions&quot;: &quot;Add a brief explanation of the syntax and its context.&quot;, &quot;verdict&quot;: &quot;good&quot;, &quot;needs_human_review&quot;: false}"/>
    <s v="ok"/>
    <n v="4"/>
  </r>
  <r>
    <x v="45"/>
    <s v="[MODE:code]_x000a_saya punya tugas untuk Cobalah hitung precision dari classifier Anda. dan Cobalah hitung recall dari classifier Anda.berikan syntaxnya"/>
    <s v="done"/>
    <s v="from sklearn.metrics import precision_score, recall_score_x000a__x000a_precision = precision_score(y, y_pred)_x000a_recall = recall_score(y, y_pred)"/>
    <s v="```python_x000a_from sklearn.metrics import precision_score, recall_score_x000a__x000a_precision = precision_score(y, y_pred)_x000a_recall = recall_score(y, y_pred)_x000a_```"/>
    <d v="2026-03-17T12:50:07"/>
    <x v="4"/>
    <n v="0"/>
    <n v="35"/>
    <n v="32"/>
    <n v="67"/>
    <n v="146"/>
    <n v="144"/>
    <n v="2781"/>
    <n v="4"/>
    <n v="4"/>
    <n v="4"/>
    <s v="Clear request for code syntax related to precision and recall."/>
    <s v="Could provide more context about the classifier or data."/>
    <s v="Correct syntax for calculating precision and recall."/>
    <s v="Lacks explanation or context for the code provided."/>
    <s v="[MODE:code] Saya memiliki tugas untuk menghitung precision dan recall dari classifier yang saya gunakan. Mohon berikan syntax beserta penjelasan singkatnya."/>
    <s v="Add comments or explanations for the code to enhance understanding."/>
    <s v="good"/>
    <b v="0"/>
    <s v="gpt-4o-mini"/>
    <s v="{&quot;prompt_score&quot;: 4, &quot;response_score&quot;: 4, &quot;overall_score&quot;: 4, &quot;prompt_strengths&quot;: &quot;Clear request for code syntax related to precision and recall.&quot;, &quot;prompt_issues&quot;: &quot;Could provide more context about the classifier or data.&quot;, &quot;response_strengths&quot;: &quot;Correct syntax for calculating precision and recall.&quot;, &quot;response_issues&quot;: &quot;Lacks explanation or context for the code provided.&quot;, &quot;prompt_rewrite&quot;: &quot;[MODE:code] Saya memiliki tugas untuk menghitung precision dan recall dari classifier yang saya gunakan. Mohon berikan syntax beserta penjelasan singkatnya.&quot;, &quot;response_improvement_suggestions&quot;: &quot;Add comments or explanations for the code to enhance understanding.&quot;, &quot;verdict&quot;: &quot;good&quot;, &quot;needs_human_review&quot;: false}"/>
    <s v="ok"/>
    <n v="4"/>
  </r>
  <r>
    <x v="45"/>
    <s v="[MODE:code]_x000a_saya punya tugas untuk correlation matrix yang diperintahkan menmbuat variabel correlation yang berisikan informasi korelasi dari dataset. berikan syntaxnya"/>
    <s v="done"/>
    <s v="correlation = dataframe.corr()"/>
    <s v="```python_x000a_correlation = dataframe.corr()_x000a_```"/>
    <d v="2026-03-10T11:56:08"/>
    <x v="2"/>
    <n v="0"/>
    <n v="42"/>
    <n v="11"/>
    <n v="53"/>
    <n v="168"/>
    <n v="44"/>
    <n v="2883"/>
    <n v="3"/>
    <n v="4"/>
    <n v="3"/>
    <s v="Directly asks for syntax related to correlation matrix."/>
    <s v="Lacks clarity in dataset context and specific requirements."/>
    <s v="Correct and relevant syntax for calculating correlation."/>
    <s v="Lacks explanation or context for the syntax provided."/>
    <s v="Berikan syntax untuk membuat variabel yang berisi matriks korelasi dari dataset yang diberikan."/>
    <s v="Include a brief explanation of the syntax and its usage."/>
    <s v="fair"/>
    <b v="0"/>
    <s v="gpt-4o-mini"/>
    <s v="{&quot;prompt_score&quot;: 3, &quot;response_score&quot;: 4, &quot;overall_score&quot;: 3, &quot;prompt_strengths&quot;: &quot;Directly asks for syntax related to correlation matrix.&quot;, &quot;prompt_issues&quot;: &quot;Lacks clarity in dataset context and specific requirements.&quot;, &quot;response_strengths&quot;: &quot;Correct and relevant syntax for calculating correlation.&quot;, &quot;response_issues&quot;: &quot;Lacks explanation or context for the syntax provided.&quot;, &quot;prompt_rewrite&quot;: &quot;Berikan syntax untuk membuat variabel yang berisi matriks korelasi dari dataset yang diberikan.&quot;, &quot;response_improvement_suggestions&quot;: &quot;Include a brief explanation of the syntax and its usage.&quot;, &quot;verdict&quot;: &quot;fair&quot;, &quot;needs_human_review&quot;: false}"/>
    <s v="ok"/>
    <n v="3"/>
  </r>
  <r>
    <x v="45"/>
    <s v="[MODE:code]_x000a_saya punya tugas untuk Load dataset student_exam_performance_dataset (1).csv,  Tampilkan 5 baris pertama,  Tampilkan ukuran dataset (jumlah baris dan kolom) dan Tampilkan tipe data setiap kolom. berikan saya coden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4:05"/>
    <x v="3"/>
    <n v="0"/>
    <n v="64"/>
    <n v="79"/>
    <n v="143"/>
    <n v="227"/>
    <n v="274"/>
    <n v="3302"/>
    <n v="4"/>
    <n v="5"/>
    <n v="5"/>
    <s v="Clear and specific about the tasks required."/>
    <s v="Could provide more context about the dataset."/>
    <s v="Correct, complete, and clearly formatted code."/>
    <s v="None."/>
    <s v="Saya perlu kode untuk memuat dataset 'student_exam_performance_dataset (1).csv', menampilkan 5 baris pertama, ukuran dataset, dan tipe data setiap kolom. Mohon sertakan penjelasan singkat tentang dataset."/>
    <s v="Consider adding comments in the code for better understanding."/>
    <s v="excellent"/>
    <b v="0"/>
    <s v="gpt-4o-mini"/>
    <s v="{&quot;prompt_score&quot;: 4, &quot;response_score&quot;: 5, &quot;overall_score&quot;: 5, &quot;prompt_strengths&quot;: &quot;Clear and specific about the tasks required.&quot;, &quot;prompt_issues&quot;: &quot;Could provide more context about the dataset.&quot;, &quot;response_strengths&quot;: &quot;Correct, complete, and clearly formatted code.&quot;, &quot;response_issues&quot;: &quot;None.&quot;, &quot;prompt_rewrite&quot;: &quot;Saya perlu kode untuk memuat dataset 'student_exam_performance_dataset (1).csv', menampilkan 5 baris pertama, ukuran dataset, dan tipe data setiap kolom. Mohon sertakan penjelasan singkat tentang dataset.&quot;, &quot;response_improvement_suggestions&quot;: &quot;Consider adding comments in the code for better understanding.&quot;, &quot;verdict&quot;: &quot;excellent&quot;, &quot;needs_human_review&quot;: false}"/>
    <s v="ok"/>
    <n v="5"/>
  </r>
  <r>
    <x v="45"/>
    <s v="[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nah untuk sekarang saya harus mencari nilai null file file yang ada adalah housing_dataset.csv dan housing_labels.csv berikan syntax untuk mencari nilai nullnya"/>
    <s v="done"/>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d v="2026-02-24T12:24:37"/>
    <x v="1"/>
    <n v="0"/>
    <n v="197"/>
    <n v="401"/>
    <n v="598"/>
    <n v="838"/>
    <n v="1316"/>
    <n v="4939"/>
    <n v="4"/>
    <n v="5"/>
    <n v="5"/>
    <s v="Clear and specific about the task and context."/>
    <s v="Could provide more details on expected output format."/>
    <s v="Correct, complete, and clearly explained code with comments."/>
    <s v="None significant."/>
    <s v="Saya punya tugas praktikum untuk mengembangkan model regresi menggunakan SVR. Saya perlu mencari nilai null dalam file housing_dataset.csv dan housing_labels.csv. Berikan syntax untuk mencarinya dan jelaskan hasilnya."/>
    <s v="Consider adding a brief explanation of what to do if null values are found."/>
    <s v="excellent"/>
    <b v="0"/>
    <s v="gpt-4o-mini"/>
    <s v="{&quot;prompt_score&quot;: 4, &quot;response_score&quot;: 5, &quot;overall_score&quot;: 5, &quot;prompt_strengths&quot;: &quot;Clear and specific about the task and context.&quot;, &quot;prompt_issues&quot;: &quot;Could provide more details on expected output format.&quot;, &quot;response_strengths&quot;: &quot;Correct, complete, and clearly explained code with comments.&quot;, &quot;response_issues&quot;: &quot;None significant.&quot;, &quot;prompt_rewrite&quot;: &quot;Saya punya tugas praktikum untuk mengembangkan model regresi menggunakan SVR. Saya perlu mencari nilai null dalam file housing_dataset.csv dan housing_labels.csv. Berikan syntax untuk mencarinya dan jelaskan hasilnya.&quot;, &quot;response_improvement_suggestions&quot;: &quot;Consider adding a brief explanation of what to do if null values are found.&quot;, &quot;verdict&quot;: &quot;excellent&quot;, &quot;needs_human_review&quot;: false}"/>
    <s v="ok"/>
    <n v="5"/>
  </r>
  <r>
    <x v="46"/>
    <s v="[MODE:summary]_x000a_Saya mahasiswa semester 4 yang sedang mengerjakan soal kecerdasan mesin. berikan jawaban atas soal2 berikut:"/>
    <s v="done"/>
    <s v="Silakan kirimkan daftar soal (teksnya) atau foto soal yang dimaksud. Setelah itu, saya akan merangkum jawaban inti untuk tiap soal secara singkat (2–3 kalimat per soal) dan fokus pada konsep/algoritma yang relevan."/>
    <s v="Silakan kirimkan daftar soal (teksnya) atau foto soal yang dimaksud. Setelah itu, saya akan merangkum jawaban inti untuk tiap soal secara singkat (2–3 kalimat per soal) dan fokus pada konsep/algoritma yang relevan."/>
    <d v="2026-04-14T09:33:22"/>
    <x v="3"/>
    <n v="0"/>
    <n v="39"/>
    <n v="68"/>
    <n v="107"/>
    <n v="123"/>
    <n v="214"/>
    <n v="471"/>
    <n v="4"/>
    <n v="4"/>
    <n v="4"/>
    <s v="Clear request for assistance with specific context."/>
    <s v="Could specify the type of questions or topics."/>
    <s v="Offers a clear plan for addressing the questions."/>
    <s v="Lacks examples of potential questions to clarify scope."/>
    <s v="[MODE:summary] Saya mahasiswa semester 4 yang sedang mengerjakan soal kecerdasan mesin. Berikan jawaban atas soal-soal tentang algoritma pembelajaran mesin dan konsep terkait."/>
    <s v="Include examples of common machine learning questions to guide the user."/>
    <s v="good"/>
    <b v="0"/>
    <s v="gpt-4o-mini"/>
    <s v="{&quot;prompt_score&quot;: 4, &quot;response_score&quot;: 4, &quot;overall_score&quot;: 4, &quot;prompt_strengths&quot;: &quot;Clear request for assistance with specific context.&quot;, &quot;prompt_issues&quot;: &quot;Could specify the type of questions or topics.&quot;, &quot;response_strengths&quot;: &quot;Offers a clear plan for addressing the questions.&quot;, &quot;response_issues&quot;: &quot;Lacks examples of potential questions to clarify scope.&quot;, &quot;prompt_rewrite&quot;: &quot;[MODE:summary] Saya mahasiswa semester 4 yang sedang mengerjakan soal kecerdasan mesin. Berikan jawaban atas soal-soal tentang algoritma pembelajaran mesin dan konsep terkait.&quot;, &quot;response_improvement_suggestions&quot;: &quot;Include examples of common machine learning questions to guide the user.&quot;, &quot;verdict&quot;: &quot;good&quot;, &quot;needs_human_review&quot;: false}"/>
    <s v="ok"/>
    <n v="4"/>
  </r>
  <r>
    <x v="46"/>
    <s v="[MODE:summary_code_explanation]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Kode berikut menjalankan dua tahap: (1) regresi untuk memprediksi `final_exam_score`, lalu (2) Logistic Regression untuk memprediksi `pass_fail` dengan **fitur tunggal** berupa prediksi `final_exam_score`. Evaluasi mencakup Confusion Matrix, Accuracy, Precision, Recall, ROC Curve, dan AUC.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_x000a_# =========================_x000a_TARGET_REG = &quot;final_exam_score&quot;_x000a_TARGET_CLF = &quot;pass_fail&quot;_x000a_RANDOM_STATE = 42_x000a__x000a_# =========================_x000a_# Fitur untuk REGRESI (isi manual di sini jika diminta)_x000a_# =========================_x000a_# features_reg = [&quot;feature1&quot;, &quot;feature2&quot;, &quot;feature3&quot;]  # &lt;-- isi manual bila perlu_x000a_drop_cols = [c for c in [TARGET_REG, TARGET_CLF] if c in df.columns]_x000a_features_reg = [c for c in df.columns if c not in drop_cols]  # otomatis_x000a__x000a_X_reg = df[features_reg]_x000a_y_reg = df[TARGET_REG]_x000a__x000a_# =========================_x000a_# Label pass_fail -&gt; numerik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 (sekali, konsisten)_x000a_# =========================_x000a_X_train, X_test, y_reg_train, y_reg_test, y_clf_train, y_clf_test = train_test_split(_x000a_    X_reg,_x000a_    y_reg,_x000a_    y_clf,_x000a_    test_size=0.2,_x000a_    random_state=RANDOM_STATE,_x000a_    stratify=y_clf_x000a_)_x000a__x000a_# =========================_x000a_#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 -&gt; prediksi final_exam_score_x000a_#   Train: out-of-fold prediction (hindari leakage)_x000a_#   Test : fit full train -&gt;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Tahap 2: KLASIFIKASI (Logistic Regression)_x000a_#   Fitur input = prediksi final_exam_score_x000a_# =========================_x000a_clf_pipe = Pipeline(steps=[_x000a_    (&quot;scaler&quot;, StandardScaler()),_x000a_    (&quot;clf&quot;, LogisticRegression(max_iter=1000, random_state=RANDOM_STATE))_x000a_])_x000a__x000a_clf_pipe.fit(pred_score_train, y_clf_train)_x000a__x000a_y_pred ="/>
    <s v="**SUMMARY**  _x000a_Kode berikut menjalankan dua tahap: (1) regresi untuk memprediksi `final_exam_score`, lalu (2) Logistic Regression untuk memprediksi `pass_fail` dengan **fitur tunggal** berupa prediksi `final_exam_score`. Evaluasi mencakup Confusion Matrix, Accuracy, Precision, Recall, ROC Curve, dan AUC.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_x000a_# =========================_x000a_TARGET_REG = &quot;final_exam_score&quot;_x000a_TARGET_CLF = &quot;pass_fail&quot;_x000a_RANDOM_STATE = 42_x000a__x000a_# =========================_x000a_# Fitur untuk REGRESI (isi manual di sini jika diminta)_x000a_# =========================_x000a_# features_reg = [&quot;feature1&quot;, &quot;feature2&quot;, &quot;feature3&quot;]  # &lt;-- isi manual bila perlu_x000a_drop_cols = [c for c in [TARGET_REG, TARGET_CLF] if c in df.columns]_x000a_features_reg = [c for c in df.columns if c not in drop_cols]  # otomatis_x000a__x000a_X_reg = df[features_reg]_x000a_y_reg = df[TARGET_REG]_x000a__x000a_# =========================_x000a_# Label pass_fail -&gt; numerik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 (sekali, konsisten)_x000a_# =========================_x000a_X_train, X_test, y_reg_train, y_reg_test, y_clf_train, y_clf_test = train_test_split(_x000a_    X_reg,_x000a_    y_reg,_x000a_    y_clf,_x000a_    test_size=0.2,_x000a_    random_state=RANDOM_STATE,_x000a_    stratify=y_clf_x000a_)_x000a__x000a_# =========================_x000a_#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 -&gt; prediksi final_exam_score_x000a_#   Train: out-of-fold prediction (hindari leakage)_x000a_#   Test : fit full train -&gt;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Tahap 2: KLASIFIKASI (Logistic Regression)_x000a_#   Fitur input = prediksi final_exam_score_x000a_# =========================_x000a_clf_pipe = Pipeline(steps=[_x000a_    (&quot;scaler&quot;, StandardScaler()),_x000a_    (&quot;clf&quot;, LogisticRegression(max_iter=1000, random_state=RANDOM_STATE))_x000a_])_x000a__x000a_clf_pipe.fit(pred_score_train, y_clf_train)_x000a__x000a_y_pred ="/>
    <d v="2026-04-14T12:09:41"/>
    <x v="3"/>
    <n v="0"/>
    <n v="124"/>
    <n v="1017"/>
    <n v="1141"/>
    <n v="431"/>
    <n v="3867"/>
    <n v="2344"/>
    <n v="4"/>
    <n v="4"/>
    <n v="4"/>
    <s v="Clear context and specific task requirements."/>
    <s v="Could benefit from more explicit constraints on the expected output format."/>
    <s v="Relevant code provided with clear structure and explanations."/>
    <s v="Response is incomplete; it cuts off before finishing the explanation."/>
    <s v="[MODE:summary_code_explanation] Konteks: Saya sedang mengerjakan Kecerdasan Mesin. Soal: Setelah berhasil melakukan prediksi final_exam_score, lakukan logistic regression untuk prediksi nilai pass_fail menggunakan hasil prediksi final_exam_score. Evaluasi model menggunakan: Confusion matrix, Accuracy, precision, recall, roc curve dan auc. Harap sertakan semua langkah dan hasil evaluasi dalam format yang jelas."/>
    <s v="Complete the response by including the final predictions and evaluation metrics."/>
    <s v="good"/>
    <b v="0"/>
    <s v="gpt-4o-mini"/>
    <s v="{&quot;prompt_score&quot;: 4, &quot;response_score&quot;: 4, &quot;overall_score&quot;: 4, &quot;prompt_strengths&quot;: &quot;Clear context and specific task requirements.&quot;, &quot;prompt_issues&quot;: &quot;Could benefit from more explicit constraints on the expected output format.&quot;, &quot;response_strengths&quot;: &quot;Relevant code provided with clear structure and explanations.&quot;, &quot;response_issues&quot;: &quot;Response is incomplete; it cuts off before finishing the explanation.&quot;, &quot;prompt_rewrite&quot;: &quot;[MODE:summary_code_explanation] Konteks: Saya sedang mengerjakan Kecerdasan Mesin. Soal: Setelah berhasil melakukan prediksi final_exam_score, lakukan logistic regression untuk prediksi nilai pass_fail menggunakan hasil prediksi final_exam_score. Evaluasi model menggunakan: Confusion matrix, Accuracy, precision, recall, roc curve dan auc. Harap sertakan semua langkah dan hasil evaluasi dalam format yang jelas.&quot;, &quot;response_improvement_suggestions&quot;: &quot;Complete the response by including the final predictions and evaluation metrics.&quot;, &quot;verdict&quot;: &quot;good&quot;, &quot;needs_human_review&quot;: false}"/>
    <s v="ok"/>
    <n v="4"/>
  </r>
  <r>
    <x v="46"/>
    <s v="[MODE:summary_code_explanation]_x000a_fix this problem for jupiter notebook_x000a_All estimators should implement fit and transform, or can be 'drop' or 'passthrough' specifiers. 'Pipeline(steps=[('imputer', SimpleImputer(strategy='median')),_x000a_                StandardScaler()])' (type &lt;class 'sklearn.pipeline.Pipeline'&gt;) doesn't."/>
    <s v="done"/>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    (&quot;imputer&quot;, SimpleImputer(strategy=&quot;median&quot;)),_x000a_    (&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    (&quot;imputer&quot;, SimpleImputer(strategy=&quot;median&quot;)),_x000a_    (&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d v="2026-03-03T11:51:14"/>
    <x v="6"/>
    <n v="0"/>
    <n v="75"/>
    <n v="192"/>
    <n v="267"/>
    <n v="318"/>
    <n v="862"/>
    <n v="3064"/>
    <n v="4"/>
    <n v="5"/>
    <n v="5"/>
    <s v="Clear problem statement with specific error message."/>
    <s v="Could provide more context about the data or the intended use of the pipeline."/>
    <s v="Accurate explanation with a clear solution and code example."/>
    <s v="None noted; response is complete and actionable."/>
    <s v="Fix the error in this Jupyter Notebook: 'All estimators should implement fit and transform, or can be 'drop' or 'passthrough' specifiers.' The pipeline 'Pipeline(steps=[('imputer', SimpleImputer(strategy='median')), StandardScaler()])' is causing this issue."/>
    <s v="Consider adding a brief explanation of how to use the corrected pipeline in a broader context."/>
    <s v="excellent"/>
    <b v="0"/>
    <s v="gpt-4o-mini"/>
    <s v="{&quot;prompt_score&quot;: 4, &quot;response_score&quot;: 5, &quot;overall_score&quot;: 5, &quot;prompt_strengths&quot;: &quot;Clear problem statement with specific error message.&quot;, &quot;prompt_issues&quot;: &quot;Could provide more context about the data or the intended use of the pipeline.&quot;, &quot;response_strengths&quot;: &quot;Accurate explanation with a clear solution and code example.&quot;, &quot;response_issues&quot;: &quot;None noted; response is complete and actionable.&quot;, &quot;prompt_rewrite&quot;: &quot;Fix the error in this Jupyter Notebook: 'All estimators should implement fit and transform, or can be 'drop' or 'passthrough' specifiers.' The pipeline 'Pipeline(steps=[('imputer', SimpleImputer(strategy='median')), StandardScaler()])' is causing this issue.&quot;, &quot;response_improvement_suggestions&quot;: &quot;Consider adding a brief explanation of how to use the corrected pipeline in a broader context.&quot;, &quot;verdict&quot;: &quot;excellent&quot;, &quot;needs_human_review&quot;: false}"/>
    <s v="ok"/>
    <n v="5"/>
  </r>
  <r>
    <x v="46"/>
    <s v="[MODE:code]_x000a_data sudah dilakukan clustering sesuai kategorinya, lalu sekarang buat kode pipeline untuk melakukan preprocessing dan SVR (svr_pipeline)"/>
    <s v="done"/>
    <s v="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
    <s v="```python_x000a_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_x000a_```"/>
    <d v="2026-02-24T12:48:12"/>
    <x v="1"/>
    <n v="0"/>
    <n v="36"/>
    <n v="428"/>
    <n v="464"/>
    <n v="149"/>
    <n v="1707"/>
    <n v="3654"/>
    <n v="4"/>
    <n v="5"/>
    <n v="4"/>
    <s v="Clear request for a coding task with specific components."/>
    <s v="Could provide more context on the dataset or specific requirements."/>
    <s v="Well-structured code that addresses the prompt effectively."/>
    <s v="Could include comments for better clarity on each step."/>
    <s v="Buat kode pipeline untuk preprocessing dan SVR (svr_pipeline) berdasarkan dataset clustering yang sudah ada, sertakan detail tentang dataset."/>
    <s v="Add comments explaining each section of the code for better understanding."/>
    <s v="good"/>
    <b v="0"/>
    <s v="gpt-4o-mini"/>
    <s v="{&quot;prompt_score&quot;: 4, &quot;response_score&quot;: 5, &quot;overall_score&quot;: 4, &quot;prompt_strengths&quot;: &quot;Clear request for a coding task with specific components.&quot;, &quot;prompt_issues&quot;: &quot;Could provide more context on the dataset or specific requirements.&quot;, &quot;response_strengths&quot;: &quot;Well-structured code that addresses the prompt effectively.&quot;, &quot;response_issues&quot;: &quot;Could include comments for better clarity on each step.&quot;, &quot;prompt_rewrite&quot;: &quot;Buat kode pipeline untuk preprocessing dan SVR (svr_pipeline) berdasarkan dataset clustering yang sudah ada, sertakan detail tentang dataset.&quot;, &quot;response_improvement_suggestions&quot;: &quot;Add comments explaining each section of the code for better understanding.&quot;, &quot;verdict&quot;: &quot;good&quot;, &quot;needs_human_review&quot;: false}"/>
    <s v="ok"/>
    <n v="4"/>
  </r>
  <r>
    <x v="47"/>
    <s v="[MODE:code]_x000a_Sigmoid(2)= ...; Gunakan fungsi sigmoid. * 0.2 1 0.88 0.5 dari soal di atas manakah jawaban yang paling tepat untuk menjawab soal tersebut"/>
    <s v="done"/>
    <s v="import math_x000a__x000a_def sigmoid(x: float) -&gt; float:_x000a_    return 1 / (1 + math.exp(-x))_x000a__x000a_val = sigmoid(2)_x000a_choices = [0.2, 1.0, 0.88, 0.5]_x000a_best = min(choices, key=lambda c: abs(c - val))_x000a__x000a_print(val)_x000a_print(best)"/>
    <s v="```python_x000a_import math_x000a__x000a_def sigmoid(x: float) -&gt; float:_x000a_    return 1 / (1 + math.exp(-x))_x000a__x000a_val = sigmoid(2)_x000a_choices = [0.2, 1.0, 0.88, 0.5]_x000a_best = min(choices, key=lambda c: abs(c - val))_x000a__x000a_print(val)_x000a_print(best)_x000a_```"/>
    <d v="2026-04-15T13:20:11"/>
    <x v="3"/>
    <n v="0"/>
    <n v="54"/>
    <n v="77"/>
    <n v="131"/>
    <n v="150"/>
    <n v="214"/>
    <n v="90"/>
    <n v="3"/>
    <n v="4"/>
    <n v="3"/>
    <s v="Specifies the use of the sigmoid function."/>
    <s v="Lacks clarity and context for the choices provided."/>
    <s v="Correctly implements the sigmoid function and finds the closest choice."/>
    <s v="Could improve clarity in output and explanation of results."/>
    <s v="Calculate Sigmoid(2) using the sigmoid function and identify the closest value from the options: 0.2, 1, 0.88, 0.5."/>
    <s v="Add comments to explain the code and clarify the output."/>
    <s v="good"/>
    <b v="0"/>
    <s v="gpt-4o-mini"/>
    <s v="{&quot;prompt_score&quot;: 3, &quot;response_score&quot;: 4, &quot;overall_score&quot;: 3, &quot;prompt_strengths&quot;: &quot;Specifies the use of the sigmoid function.&quot;, &quot;prompt_issues&quot;: &quot;Lacks clarity and context for the choices provided.&quot;, &quot;response_strengths&quot;: &quot;Correctly implements the sigmoid function and finds the closest choice.&quot;, &quot;response_issues&quot;: &quot;Could improve clarity in output and explanation of results.&quot;, &quot;prompt_rewrite&quot;: &quot;Calculate Sigmoid(2) using the sigmoid function and identify the closest value from the options: 0.2, 1, 0.88, 0.5.&quot;, &quot;response_improvement_suggestions&quot;: &quot;Add comments to explain the code and clarify the output.&quot;, &quot;verdict&quot;: &quot;good&quot;, &quot;needs_human_review&quot;: false}"/>
    <s v="ok"/>
    <n v="4"/>
  </r>
  <r>
    <x v="47"/>
    <s v="[MODE:code]_x000a_Current working directory (cwd):_x000a_C:\Users\master\Desktop_x000a__x000a_Daftar file di folder ini:_x000a_['.ipynb_checkpoints', '02_Praktikum_02_Regresi_with_SVM.ipynb', 'desktop.ini', 'housing_dataset.csv', 'housing_labels.csv']_x000a__x000a_Hasil pencarian file:_x000a_Tidak ditemukan di bawah folder kerja saat ini._x000a_---------------------------------------------------------------------------_x000a_FileNotFoundError                         Traceback (most recent call last)_x000a_Cell In[35], line 35_x000a_     33     display(df.head())_x000a_     34 else:_x000a_---&gt; 35     raise FileNotFoundError(_x000a_     36         f&quot;File tidak ditemukan: {FILE_PATH}\n&quot;_x000a_     37         f&quot;Solusi:\n&quot;_x000a_     38         f&quot;1) Pastikan file benar-benar ada (cek os.listdir() di atas)\n&quot;_x000a_     39         f&quot;2) Jika file ada di folder lain, set FILE_PATH ke path lengkap (pakai r'...')\n&quot;_x000a_     40         f&quot;3) Jika nama file berbeda (mis. .csv), sesuaikan FILE_PATH dan fungsi baca (read_csv/read_excel)\n&quot;_x000a_     41     )_x000a__x000a_FileNotFoundError: File tidak ditemukan: median_house_value.xlsx_x000a_Solusi:_x000a_1) Pastikan file benar-benar ada (cek os.listdir() di atas)_x000a_2) Jika file ada di folder lain, set FILE_PATH ke path lengkap (pakai r'...')_x000a_3) Jika nama file berbeda (mis. .csv), sesuaikan FILE_PATH dan fungsi baca (read_csv/read_excel)_x000a__x000a_terjadi eror seperti berikut bagaimana langkah penyelesaiannya?"/>
    <s v="done"/>
    <s v="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    y = y_df.iloc[:, 0]_x000a_else:_x000a_    # GANTI 'label' dengan nama kolom target yang benar sesuai print(y_df.columns)_x000a_    # contoh umum: 'median_house_value', 'target', 'price'_x000a_    target_col = &quot;label&quot;_x000a_    if target_col not in y_df.columns:_x000a_        raise ValueError(f&quot;Kolom target '{target_col}' tidak ada. Kolom tersedia: {list(y_df.columns)}&quot;)_x000a_    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    raise ValueError(f&quot;Jumlah baris tidak sama: X={len(X_df)} vs y={len(y)}. &quot;_x000a_                     f&quot;Periksa apakah urutan data cocok atau perlu merge berdasarkan ID.&quot;)"/>
    <s v="```python_x000a_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    y = y_df.iloc[:, 0]_x000a_else:_x000a_    # GANTI 'label' dengan nama kolom target yang benar sesuai print(y_df.columns)_x000a_    # contoh umum: 'median_house_value', 'target', 'price'_x000a_    target_col = &quot;label&quot;_x000a_    if target_col not in y_df.columns:_x000a_        raise ValueError(f&quot;Kolom target '{target_col}' tidak ada. Kolom tersedia: {list(y_df.columns)}&quot;)_x000a_    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    raise ValueError(f&quot;Jumlah baris tidak sama: X={len(X_df)} vs y={len(y)}. &quot;_x000a_                     f&quot;Periksa apakah urutan data cocok atau perlu merge berdasarkan ID.&quot;)_x000a_```"/>
    <d v="2026-02-25T16:43:00"/>
    <x v="1"/>
    <n v="0"/>
    <n v="368"/>
    <n v="547"/>
    <n v="915"/>
    <n v="1317"/>
    <n v="1849"/>
    <n v="464"/>
    <n v="4"/>
    <n v="5"/>
    <n v="5"/>
    <s v="Clear context and specific error message."/>
    <s v="Could provide more context on the expected outcome."/>
    <s v="Thorough, correct, and actionable steps provided."/>
    <s v="Could be slightly more concise."/>
    <s v="Bagaimana cara mengatasi error FileNotFoundError saat mencoba membaca file median_house_value.xlsx yang tidak ditemukan di folder kerja saat ini?"/>
    <s v="Consider summarizing steps to enhance conciseness."/>
    <s v="excellent"/>
    <b v="0"/>
    <s v="gpt-4o-mini"/>
    <s v="{&quot;prompt_score&quot;: 4, &quot;response_score&quot;: 5, &quot;overall_score&quot;: 5, &quot;prompt_strengths&quot;: &quot;Clear context and specific error message.&quot;, &quot;prompt_issues&quot;: &quot;Could provide more context on the expected outcome.&quot;, &quot;response_strengths&quot;: &quot;Thorough, correct, and actionable steps provided.&quot;, &quot;response_issues&quot;: &quot;Could be slightly more concise.&quot;, &quot;prompt_rewrite&quot;: &quot;Bagaimana cara mengatasi error FileNotFoundError saat mencoba membaca file median_house_value.xlsx yang tidak ditemukan di folder kerja saat ini?&quot;, &quot;response_improvement_suggestions&quot;: &quot;Consider summarizing steps to enhance conciseness.&quot;, &quot;verdict&quot;: &quot;excellent&quot;, &quot;needs_human_review&quot;: false}"/>
    <s v="ok"/>
    <n v="5"/>
  </r>
  <r>
    <x v="47"/>
    <s v="[MODE:code]_x000a_disini kita bisa tau, bahwa ukuran dataset adalah 1 (6512,9). yang artinya dataset memiliki 16512 data dan memiliki 9 fitur_x000a__x000a_selanjutanya kita cek tipe data dari dataset"/>
    <s v="done"/>
    <s v="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
    <s v="```python_x000a_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_x000a_```"/>
    <d v="2026-02-25T16:50:00"/>
    <x v="1"/>
    <n v="0"/>
    <n v="52"/>
    <n v="125"/>
    <n v="177"/>
    <n v="181"/>
    <n v="396"/>
    <n v="1079"/>
    <n v="3"/>
    <n v="4"/>
    <n v="4"/>
    <s v="Provides basic context about the dataset."/>
    <s v="Lacks clarity and specificity in instructions."/>
    <s v="Relevant code that addresses the prompt's context."/>
    <s v="Could include comments for better clarity."/>
    <s v="Jelaskan ukuran dataset dan minta kode untuk memeriksa tipe data dari dataset."/>
    <s v="Add comments to explain each step of the code."/>
    <s v="good"/>
    <b v="0"/>
    <s v="gpt-4o-mini"/>
    <s v="{&quot;prompt_score&quot;: 3, &quot;response_score&quot;: 4, &quot;overall_score&quot;: 4, &quot;prompt_strengths&quot;: &quot;Provides basic context about the dataset.&quot;, &quot;prompt_issues&quot;: &quot;Lacks clarity and specificity in instructions.&quot;, &quot;response_strengths&quot;: &quot;Relevant code that addresses the prompt's context.&quot;, &quot;response_issues&quot;: &quot;Could include comments for better clarity.&quot;, &quot;prompt_rewrite&quot;: &quot;Jelaskan ukuran dataset dan minta kode untuk memeriksa tipe data dari dataset.&quot;, &quot;response_improvement_suggestions&quot;: &quot;Add comments to explain each step of the code.&quot;, &quot;verdict&quot;: &quot;good&quot;, &quot;needs_human_review&quot;: false}"/>
    <s v="ok"/>
    <n v="4"/>
  </r>
  <r>
    <x v="47"/>
    <s v="[MODE:code]_x000a_Sekarang, kita akan lihat hasil dari model yang di train menggunakan linear regression._x000a_bagaimana cara mengeksekusi langkah tersebut?"/>
    <s v="done"/>
    <s v="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    transformers=[_x000a_        (&quot;num&quot;, numeric_pipeline, numeric_features),_x000a_        (&quot;cat&quot;, categorical_pipeline, categorical_features),_x000a_    ]_x000a_)_x000a__x000a_# Buat model pipeline_x000a_linreg_model = Pipeline(steps=[_x000a_    (&quot;preprocess&quot;, preprocessor),_x000a_    (&quot;model&quot;, LinearRegression())_x000a_])_x000a__x000a_# Split data_x000a_X_train, X_test, y_train, y_test = train_test_split(_x000a_    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
    <s v="```python_x000a_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    transformers=[_x000a_        (&quot;num&quot;, numeric_pipeline, numeric_features),_x000a_        (&quot;cat&quot;, categorical_pipeline, categorical_features),_x000a_    ]_x000a_)_x000a__x000a_# Buat model pipeline_x000a_linreg_model = Pipeline(steps=[_x000a_    (&quot;preprocess&quot;, preprocessor),_x000a_    (&quot;model&quot;, LinearRegression())_x000a_])_x000a__x000a_# Split data_x000a_X_train, X_test, y_train, y_test = train_test_split(_x000a_    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_x000a_```"/>
    <d v="2026-03-04T15:28:58"/>
    <x v="6"/>
    <n v="0"/>
    <n v="37"/>
    <n v="365"/>
    <n v="402"/>
    <n v="145"/>
    <n v="1412"/>
    <n v="1679"/>
    <n v="4"/>
    <n v="5"/>
    <n v="5"/>
    <s v="Clear and specific about the task."/>
    <s v="Could provide more context on the dataset."/>
    <s v="Comprehensive and correctly implements linear regression."/>
    <s v="None significant; very clear and helpful."/>
    <s v="Bagaimana cara mengeksekusi langkah untuk melihat hasil model linear regression pada dataset tertentu?"/>
    <s v="Consider adding comments to explain each step in the code."/>
    <s v="excellent"/>
    <b v="0"/>
    <s v="gpt-4o-mini"/>
    <s v="{&quot;prompt_score&quot;: 4, &quot;response_score&quot;: 5, &quot;overall_score&quot;: 5, &quot;prompt_strengths&quot;: &quot;Clear and specific about the task.&quot;, &quot;prompt_issues&quot;: &quot;Could provide more context on the dataset.&quot;, &quot;response_strengths&quot;: &quot;Comprehensive and correctly implements linear regression.&quot;, &quot;response_issues&quot;: &quot;None significant; very clear and helpful.&quot;, &quot;prompt_rewrite&quot;: &quot;Bagaimana cara mengeksekusi langkah untuk melihat hasil model linear regression pada dataset tertentu?&quot;, &quot;response_improvement_suggestions&quot;: &quot;Consider adding comments to explain each step in the code.&quot;, &quot;verdict&quot;: &quot;excellent&quot;, &quot;needs_human_review&quot;: false}"/>
    <s v="ok"/>
    <n v="5"/>
  </r>
  <r>
    <x v="47"/>
    <s v="[MODE:code]_x000a_Konteks: Saya sedang mengerjakan evaluasi performa machine learning_x000a_Error: ---------------------------------------------------------------------------_x000a_NameError                                 Traceback (most recent call last)_x000a_Cell In[57], line 3_x000a_      1 from sklearn.model_selection import cross_val_score_x000a_----&gt; 3 results = cross_val_score(model, X, y, cv=loocv)_x000a__x000a_NameError: name 'loocv' is not defined_x000a_Kode terkait: from sklearn.model_selection import cross_val_score_x000a__x000a_results = cross_val_score(model, X, y, cv=loocv)_x000a_Ekspektasi: Simpan hasil cross_val_score dalam variabel results._x000a_Output diminta: 1) akar masalah 2) perbaikan kode 3) alasan perbaikan 4) cara verifikasi."/>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python_x000a_#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_x000a_```"/>
    <d v="2026-03-11T16:07:25"/>
    <x v="2"/>
    <n v="0"/>
    <n v="174"/>
    <n v="340"/>
    <n v="514"/>
    <n v="686"/>
    <n v="1128"/>
    <n v="1905"/>
    <n v="4"/>
    <n v="5"/>
    <n v="5"/>
    <s v="Clear context and specific expectations."/>
    <s v="Could specify the expected format of the output more clearly."/>
    <s v="Thoroughly addresses all aspects of the prompt with clear explanations."/>
    <s v="None significant; response is comprehensive."/>
    <s v="Konteks: Saya sedang mengerjakan evaluasi performa machine learning. Error: ... Ekspektasi: Simpan hasil cross_val_score dalam variabel results. Output diminta: 1) akar masalah 2) perbaikan kode 3) alasan perbaikan 4) cara verifikasi. Format output: [penjelasan singkat]."/>
    <s v="Consider adding examples of expected output for clarity."/>
    <s v="excellent"/>
    <b v="0"/>
    <s v="gpt-4o-mini"/>
    <s v="{&quot;prompt_score&quot;: 4, &quot;response_score&quot;: 5, &quot;overall_score&quot;: 5, &quot;prompt_strengths&quot;: &quot;Clear context and specific expectations.&quot;, &quot;prompt_issues&quot;: &quot;Could specify the expected format of the output more clearly.&quot;, &quot;response_strengths&quot;: &quot;Thoroughly addresses all aspects of the prompt with clear explanations.&quot;, &quot;response_issues&quot;: &quot;None significant; response is comprehensive.&quot;, &quot;prompt_rewrite&quot;: &quot;Konteks: Saya sedang mengerjakan evaluasi performa machine learning. Error: ... Ekspektasi: Simpan hasil cross_val_score dalam variabel results. Output diminta: 1) akar masalah 2) perbaikan kode 3) alasan perbaikan 4) cara verifikasi. Format output: [penjelasan singkat].&quot;, &quot;response_improvement_suggestions&quot;: &quot;Consider adding examples of expected output for clarity.&quot;, &quot;verdict&quot;: &quot;excellent&quot;, &quot;needs_human_review&quot;: false}"/>
    <s v="ok"/>
    <n v="5"/>
  </r>
  <r>
    <x v="47"/>
    <s v="[MODE:code]_x000a_Mari kita buat pipeline untuk memproses kolom yang bertipe categorical._x000a_jelaskan apa yang harus dikerjakan dari perintah tersebut"/>
    <s v="done"/>
    <s v="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    (&quot;imputer&quot;, SimpleImputer(strategy=&quot;most_frequent&quot;)),_x000a_    (&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    transformers=[_x000a_        (&quot;cat&quot;, cat_pipeline, cat_cols)_x000a_    ],_x000a_    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    ohe = preprocess_cat_only.named_transformers_[&quot;cat&quot;].named_steps[&quot;onehot&quot;]_x000a_    feature_names = ohe.get_feature_names_out(cat_cols)_x000a_    print(&quot;Jumlah fitur one-hot:&quot;, len(feature_names))_x000a_    print(&quot;Contoh nama fitur:&quot;, feature_names[:20])"/>
    <s v="```python_x000a_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    (&quot;imputer&quot;, SimpleImputer(strategy=&quot;most_frequent&quot;)),_x000a_    (&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    transformers=[_x000a_        (&quot;cat&quot;, cat_pipeline, cat_cols)_x000a_    ],_x000a_    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    ohe = preprocess_cat_only.named_transformers_[&quot;cat&quot;].named_steps[&quot;onehot&quot;]_x000a_    feature_names = ohe.get_feature_names_out(cat_cols)_x000a_    print(&quot;Jumlah fitur one-hot:&quot;, len(feature_names))_x000a_    print(&quot;Contoh nama fitur:&quot;, feature_names[:20])_x000a_```"/>
    <d v="2026-02-25T16:54:33"/>
    <x v="1"/>
    <n v="0"/>
    <n v="36"/>
    <n v="670"/>
    <n v="706"/>
    <n v="141"/>
    <n v="2552"/>
    <n v="3819"/>
    <n v="4"/>
    <n v="5"/>
    <n v="5"/>
    <s v="Clear and specific request for a coding task."/>
    <s v="Could provide more context on the dataset or specific requirements."/>
    <s v="Comprehensive, correct, and well-structured code with clear explanations."/>
    <s v="None significant; could include more comments for clarity."/>
    <s v="Buatlah pipeline untuk memproses kolom bertipe categorical dalam dataset housing_dataset.csv, jelaskan langkah-langkah yang harus dilakukan."/>
    <s v="Add more comments to explain each step for beginners."/>
    <s v="excellent"/>
    <b v="0"/>
    <s v="gpt-4o-mini"/>
    <s v="{&quot;prompt_score&quot;: 4, &quot;response_score&quot;: 5, &quot;overall_score&quot;: 5, &quot;prompt_strengths&quot;: &quot;Clear and specific request for a coding task.&quot;, &quot;prompt_issues&quot;: &quot;Could provide more context on the dataset or specific requirements.&quot;, &quot;response_strengths&quot;: &quot;Comprehensive, correct, and well-structured code with clear explanations.&quot;, &quot;response_issues&quot;: &quot;None significant; could include more comments for clarity.&quot;, &quot;prompt_rewrite&quot;: &quot;Buatlah pipeline untuk memproses kolom bertipe categorical dalam dataset housing_dataset.csv, jelaskan langkah-langkah yang harus dilakukan.&quot;, &quot;response_improvement_suggestions&quot;: &quot;Add more comments to explain each step for beginners.&quot;, &quot;verdict&quot;: &quot;excellent&quot;, &quot;needs_human_review&quot;: false}"/>
    <s v="ok"/>
    <n v="5"/>
  </r>
  <r>
    <x v="47"/>
    <s v="[MODE:code]_x000a_Konteks: Jelaskan konsep pipeline.predict untuk mahasiswa._x000a_Level: [pemula/menengah]._x000a_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python_x000a_#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_x000a_```"/>
    <d v="2026-03-11T13:08:55"/>
    <x v="2"/>
    <n v="0"/>
    <n v="59"/>
    <n v="942"/>
    <n v="1001"/>
    <n v="183"/>
    <n v="3235"/>
    <n v="4570"/>
    <n v="4"/>
    <n v="5"/>
    <n v="4"/>
    <s v="Clear and specific request for explanation and examples."/>
    <s v="Could specify the desired length or depth of the explanation."/>
    <s v="Comprehensive, clear, and includes relevant code examples."/>
    <s v="Could improve on clarity in some explanations."/>
    <s v="[MODE:code] Konteks: Jelaskan konsep pipeline.predict untuk mahasiswa. Level: [pemula/menengah]. Minta: definisi singkat, analogi, contoh kode sederhana, dan kapan konsep ini dipakai. Mohon sertakan penjelasan yang cukup mendetail."/>
    <s v="Simplify some explanations for better clarity."/>
    <s v="good"/>
    <b v="0"/>
    <s v="gpt-4o-mini"/>
    <s v="{&quot;prompt_score&quot;: 4, &quot;response_score&quot;: 5, &quot;overall_score&quot;: 4, &quot;prompt_strengths&quot;: &quot;Clear and specific request for explanation and examples.&quot;, &quot;prompt_issues&quot;: &quot;Could specify the desired length or depth of the explanation.&quot;, &quot;response_strengths&quot;: &quot;Comprehensive, clear, and includes relevant code examples.&quot;, &quot;response_issues&quot;: &quot;Could improve on clarity in some explanations.&quot;, &quot;prompt_rewrite&quot;: &quot;[MODE:code] Konteks: Jelaskan konsep pipeline.predict untuk mahasiswa. Level: [pemula/menengah]. Minta: definisi singkat, analogi, contoh kode sederhana, dan kapan konsep ini dipakai. Mohon sertakan penjelasan yang cukup mendetail.&quot;, &quot;response_improvement_suggestions&quot;: &quot;Simplify some explanations for better clarity.&quot;, &quot;verdict&quot;: &quot;good&quot;, &quot;needs_human_review&quot;: false}"/>
    <s v="ok"/>
    <n v="4"/>
  </r>
  <r>
    <x v="48"/>
    <s v="[MODE:summary]_x000a_sebutkan jawaban dari soal berikut di bawah ini Cross-entropy digunakan untuk_x000a_*_x000a_Clustering_x000a_Klasifikasi_x000a_Regresi_x000a_PCA"/>
    <s v="done"/>
    <s v="Jawabannya: Klasifikasi. Cross-entropy adalah loss yang umum dipakai untuk tugas klasifikasi (terutama klasifikasi probabilistik seperti logistic regression dan neural network)."/>
    <s v="Jawabannya: Klasifikasi. Cross-entropy adalah loss yang umum dipakai untuk tugas klasifikasi (terutama klasifikasi probabilistik seperti logistic regression dan neural network)."/>
    <d v="2026-04-14T10:08:30"/>
    <x v="3"/>
    <n v="0"/>
    <n v="39"/>
    <n v="42"/>
    <n v="81"/>
    <n v="129"/>
    <n v="177"/>
    <n v="1244"/>
    <n v="4"/>
    <n v="5"/>
    <n v="5"/>
    <s v="Clear and specific question format."/>
    <s v="Could provide more context about cross-entropy."/>
    <s v="Accurate, relevant, and well-explained answer."/>
    <s v="None."/>
    <s v="[MODE:summary] Sebutkan jawaban dari soal berikut di bawah ini: Apa fungsi dari cross-entropy dalam konteks pembelajaran mesin? Pilihan: Clustering, Klasifikasi, Regresi, PCA."/>
    <s v="None needed; the response is already complete and clear."/>
    <s v="excellent"/>
    <b v="0"/>
    <s v="gpt-4o-mini"/>
    <s v="{&quot;prompt_score&quot;: 4, &quot;response_score&quot;: 5, &quot;overall_score&quot;: 5, &quot;prompt_strengths&quot;: &quot;Clear and specific question format.&quot;, &quot;prompt_issues&quot;: &quot;Could provide more context about cross-entropy.&quot;, &quot;response_strengths&quot;: &quot;Accurate, relevant, and well-explained answer.&quot;, &quot;response_issues&quot;: &quot;None.&quot;, &quot;prompt_rewrite&quot;: &quot;[MODE:summary] Sebutkan jawaban dari soal berikut di bawah ini: Apa fungsi dari cross-entropy dalam konteks pembelajaran mesin? Pilihan: Clustering, Klasifikasi, Regresi, PCA.&quot;, &quot;response_improvement_suggestions&quot;: &quot;None needed; the response is already complete and clear.&quot;, &quot;verdict&quot;: &quot;excellent&quot;, &quot;needs_human_review&quot;: false}"/>
    <s v="ok"/>
    <n v="5"/>
  </r>
  <r>
    <x v="48"/>
    <s v="[MODE:summary]_x000a_sebutkan jawaban dari soal berikut ini_x000a__x000a_Fungsi aktivasi logistic regression_x000a_*_x000a_ReLU_x000a_Linear_x000a_Sigmoid_x000a_Tanh"/>
    <s v="done"/>
    <s v="Fungsi aktivasi yang digunakan pada logistic regression adalah Sigmoid, karena memetakan output menjadi probabilitas antara 0 dan 1. ReLU, Linear, dan Tanh bukan aktivasi standar untuk logistic regression biner."/>
    <s v="Fungsi aktivasi yang digunakan pada logistic regression adalah Sigmoid, karena memetakan output menjadi probabilitas antara 0 dan 1. ReLU, Linear, dan Tanh bukan aktivasi standar untuk logistic regression biner."/>
    <d v="2026-04-14T09:53:26"/>
    <x v="3"/>
    <n v="0"/>
    <n v="35"/>
    <n v="52"/>
    <n v="87"/>
    <n v="117"/>
    <n v="211"/>
    <n v="2449"/>
    <n v="4"/>
    <n v="5"/>
    <n v="4"/>
    <s v="Clear and specific question about activation functions."/>
    <s v="Could provide more context on logistic regression."/>
    <s v="Accurate, clear, and directly answers the question."/>
    <s v="Could elaborate on why other functions are not used."/>
    <s v="[MODE:summary] Sebutkan dan jelaskan fungsi aktivasi yang digunakan dalam logistic regression."/>
    <s v="Include a brief explanation of why ReLU, Linear, and Tanh are not suitable."/>
    <s v="good"/>
    <b v="0"/>
    <s v="gpt-4o-mini"/>
    <s v="{&quot;prompt_score&quot;: 4, &quot;response_score&quot;: 5, &quot;overall_score&quot;: 4, &quot;prompt_strengths&quot;: &quot;Clear and specific question about activation functions.&quot;, &quot;prompt_issues&quot;: &quot;Could provide more context on logistic regression.&quot;, &quot;response_strengths&quot;: &quot;Accurate, clear, and directly answers the question.&quot;, &quot;response_issues&quot;: &quot;Could elaborate on why other functions are not used.&quot;, &quot;prompt_rewrite&quot;: &quot;[MODE:summary] Sebutkan dan jelaskan fungsi aktivasi yang digunakan dalam logistic regression.&quot;, &quot;response_improvement_suggestions&quot;: &quot;Include a brief explanation of why ReLU, Linear, and Tanh are not suitable.&quot;, &quot;verdict&quot;: &quot;good&quot;, &quot;needs_human_review&quot;: false}"/>
    <s v="ok"/>
    <n v="4"/>
  </r>
  <r>
    <x v="48"/>
    <s v="[MODE:code]_x000a_Kemudian, selanjutnya buatkan saya kode program untuk menampilkan ringkasan statistik dari dataset ## YOUR CODES HERE ##"/>
    <s v="done"/>
    <s v="print(dataframe.describe())"/>
    <s v="```python_x000a_print(dataframe.describe())_x000a_```"/>
    <d v="2026-03-17T11:50:50"/>
    <x v="4"/>
    <n v="0"/>
    <n v="36"/>
    <n v="9"/>
    <n v="45"/>
    <n v="132"/>
    <n v="41"/>
    <n v="2679"/>
    <n v="3"/>
    <n v="4"/>
    <n v="3"/>
    <s v="Identifies the need for code to summarize statistics."/>
    <s v="Lacks specificity on the dataset and context."/>
    <s v="Correct and relevant code for summarizing statistics."/>
    <s v="Incomplete as it does not define 'dataframe'."/>
    <s v="Buatkan saya kode program Python untuk menampilkan ringkasan statistik dari dataset yang bernama 'dataframe'."/>
    <s v="Define 'dataframe' or provide an example of how to create it."/>
    <s v="fair"/>
    <b v="0"/>
    <s v="gpt-4o-mini"/>
    <s v="{&quot;prompt_score&quot;: 3, &quot;response_score&quot;: 4, &quot;overall_score&quot;: 3, &quot;prompt_strengths&quot;: &quot;Identifies the need for code to summarize statistics.&quot;, &quot;prompt_issues&quot;: &quot;Lacks specificity on the dataset and context.&quot;, &quot;response_strengths&quot;: &quot;Correct and relevant code for summarizing statistics.&quot;, &quot;response_issues&quot;: &quot;Incomplete as it does not define 'dataframe'.&quot;, &quot;prompt_rewrite&quot;: &quot;Buatkan saya kode program Python untuk menampilkan ringkasan statistik dari dataset yang bernama 'dataframe'.&quot;, &quot;response_improvement_suggestions&quot;: &quot;Define 'dataframe' or provide an example of how to create it.&quot;, &quot;verdict&quot;: &quot;fair&quot;, &quot;needs_human_review&quot;: false}"/>
    <s v="ok"/>
    <n v="3"/>
  </r>
  <r>
    <x v="48"/>
    <s v="[MODE:code]_x000a_Gunakan method read_csv dengan parameter: filename dan names adalah names. Simpan hasil read_csv dalam variabel dataframe ##### Your Code Here #####_x000a_dataframe ="/>
    <s v="done"/>
    <s v="dataframe = read_csv(filename, names=names)"/>
    <s v="```python_x000a_dataframe = read_csv(filename, names=names)_x000a_```"/>
    <d v="2026-03-10T11:41:22"/>
    <x v="2"/>
    <n v="0"/>
    <n v="37"/>
    <n v="15"/>
    <n v="52"/>
    <n v="172"/>
    <n v="57"/>
    <n v="4872"/>
    <n v="4"/>
    <n v="5"/>
    <n v="4"/>
    <s v="Clear instructions and context for the task."/>
    <s v="Could specify the expected format of 'filename' and 'names'."/>
    <s v="Correct and complete implementation of the prompt."/>
    <s v="None."/>
    <s v="Gunakan method read_csv dengan parameter: filename (string) dan names (list of strings). Simpan hasil read_csv dalam variabel dataframe ##### Your Code Here ##### dataframe ="/>
    <s v="None needed; response is already correct."/>
    <s v="good"/>
    <b v="0"/>
    <s v="gpt-4o-mini"/>
    <s v="{&quot;prompt_score&quot;: 4, &quot;response_score&quot;: 5, &quot;overall_score&quot;: 4, &quot;prompt_strengths&quot;: &quot;Clear instructions and context for the task.&quot;, &quot;prompt_issues&quot;: &quot;Could specify the expected format of 'filename' and 'names'.&quot;, &quot;response_strengths&quot;: &quot;Correct and complete implementation of the prompt.&quot;, &quot;response_issues&quot;: &quot;None.&quot;, &quot;prompt_rewrite&quot;: &quot;Gunakan method read_csv dengan parameter: filename (string) dan names (list of strings). Simpan hasil read_csv dalam variabel dataframe ##### Your Code Here ##### dataframe =&quot;, &quot;response_improvement_suggestions&quot;: &quot;None needed; response is already correct.&quot;, &quot;verdict&quot;: &quot;good&quot;, &quot;needs_human_review&quot;: false}"/>
    <s v="ok"/>
    <n v="4"/>
  </r>
  <r>
    <x v="49"/>
    <s v="[MODE:code]_x000a_parameter (filename,names=names) tuh gimana?bukannya udah buat variabel filename doang yang berisi nama file datasetnya"/>
    <s v="done"/>
    <s v="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
    <s v="```python_x000a_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_x000a_```"/>
    <d v="2026-03-11T15:22:00"/>
    <x v="2"/>
    <n v="0"/>
    <n v="37"/>
    <n v="140"/>
    <n v="177"/>
    <n v="131"/>
    <n v="501"/>
    <n v="544"/>
    <n v="3"/>
    <n v="4"/>
    <n v="3"/>
    <s v="Addresses a specific coding question."/>
    <s v="Lacks clarity and context for broader understanding."/>
    <s v="Provides a clear and relevant code example."/>
    <s v="Could include more explanation of the code."/>
    <s v="Bagaimana cara menggunakan parameter (filename, names=names) dalam fungsi read_csv di pandas?"/>
    <s v="Add explanations for each step of the code to enhance understanding."/>
    <s v="good"/>
    <b v="0"/>
    <s v="gpt-4o-mini"/>
    <s v="{&quot;prompt_score&quot;: 3, &quot;response_score&quot;: 4, &quot;overall_score&quot;: 3, &quot;prompt_strengths&quot;: &quot;Addresses a specific coding question.&quot;, &quot;prompt_issues&quot;: &quot;Lacks clarity and context for broader understanding.&quot;, &quot;response_strengths&quot;: &quot;Provides a clear and relevant code example.&quot;, &quot;response_issues&quot;: &quot;Could include more explanation of the code.&quot;, &quot;prompt_rewrite&quot;: &quot;Bagaimana cara menggunakan parameter (filename, names=names) dalam fungsi read_csv di pandas?&quot;, &quot;response_improvement_suggestions&quot;: &quot;Add explanations for each step of the code to enhance understanding.&quot;, &quot;verdict&quot;: &quot;good&quot;, &quot;needs_human_review&quot;: false}"/>
    <s v="ok"/>
    <n v="4"/>
  </r>
  <r>
    <x v="49"/>
    <s v="[MODE:code]_x000a_---------------------------------------------------------------------------_x000a_TypeError                                 Traceback (most recent call last)_x000a_Cell In[14], line 8_x000a_      6 print('Test  MSE :', mse(y_test, yhat_test_base))_x000a_      7 print('Test RMSE :', rmse(y_test, yhat_test_base))_x000a_----&gt; 8 print('Test R2   :', r2_score(y_test, yhat_test_base))_x000a__x000a_Cell In[13], line 14, in r2_score(y_true, y_pred)_x000a_     12 def r2_score(y_true, y_pred):_x000a_     13     # ===================== Write Your Code Here ====================_x000a_---&gt; 14     y_true = np.asarray(y_true, dtSype=float).ravel()_x000a_     15     y_pred = np.asarray(y_pred, dtype=float).ravel()_x000a_     17     ss_res = np.sum((y_true - y_pred) ** 2)_x000a__x000a_TypeError: asarray() got an unexpected keyword argument 'dtSype'_x000a__x000a_bantu aku perbaiki error ini"/>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python_x000a_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 v="2026-04-01T14:56:26"/>
    <x v="5"/>
    <n v="0"/>
    <n v="215"/>
    <n v="130"/>
    <n v="345"/>
    <n v="801"/>
    <n v="378"/>
    <n v="1378"/>
    <n v="4"/>
    <n v="5"/>
    <n v="4"/>
    <s v="The prompt clearly describes the error and requests a fix."/>
    <s v="Could provide more context about the function's intended use."/>
    <s v="The response correctly identifies and fixes the error, providing a complete function."/>
    <s v="Could include comments for clarity on the logic."/>
    <s v="Please help me fix the following TypeError in my r2_score function: TypeError: asarray() got an unexpected keyword argument 'dtSype'."/>
    <s v="Add comments to explain each step of the r2_score function."/>
    <s v="good"/>
    <b v="0"/>
    <s v="gpt-4o-mini"/>
    <s v="{&quot;prompt_score&quot;: 4, &quot;response_score&quot;: 5, &quot;overall_score&quot;: 4, &quot;prompt_strengths&quot;: &quot;The prompt clearly describes the error and requests a fix.&quot;, &quot;prompt_issues&quot;: &quot;Could provide more context about the function's intended use.&quot;, &quot;response_strengths&quot;: &quot;The response correctly identifies and fixes the error, providing a complete function.&quot;, &quot;response_issues&quot;: &quot;Could include comments for clarity on the logic.&quot;, &quot;prompt_rewrite&quot;: &quot;Please help me fix the following TypeError in my r2_score function: TypeError: asarray() got an unexpected keyword argument 'dtSype'.&quot;, &quot;response_improvement_suggestions&quot;: &quot;Add comments to explain each step of the r2_score function.&quot;, &quot;verdict&quot;: &quot;good&quot;, &quot;needs_human_review&quot;: false}"/>
    <s v="ok"/>
    <n v="4"/>
  </r>
  <r>
    <x v="49"/>
    <s v="[MODE:summary_code_explanation]_x000a_oke aku udah beres jawab pertanyaan,sekarang tolong dong buatkan code program untuk Extract semua baris dan kolom ke-1 s.d. ke-7 ke dalam variabel X."/>
    <s v="done"/>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d v="2026-03-11T16:06:15"/>
    <x v="2"/>
    <n v="0"/>
    <n v="54"/>
    <n v="122"/>
    <n v="176"/>
    <n v="181"/>
    <n v="299"/>
    <n v="1887"/>
    <n v="4"/>
    <n v="5"/>
    <n v="4"/>
    <s v="Clear request for code and context provided."/>
    <s v="Could specify the programming language for clarity."/>
    <s v="Correct and complete explanation with relevant code."/>
    <s v="None noted."/>
    <s v="Tolong buatkan code program dalam Python untuk Extract semua baris dan kolom ke-1 s.d. ke-7 ke dalam variabel X."/>
    <s v="None needed; response is already clear and complete."/>
    <s v="good"/>
    <b v="0"/>
    <s v="gpt-4o-mini"/>
    <s v="{&quot;prompt_score&quot;: 4, &quot;response_score&quot;: 5, &quot;overall_score&quot;: 4, &quot;prompt_strengths&quot;: &quot;Clear request for code and context provided.&quot;, &quot;prompt_issues&quot;: &quot;Could specify the programming language for clarity.&quot;, &quot;response_strengths&quot;: &quot;Correct and complete explanation with relevant code.&quot;, &quot;response_issues&quot;: &quot;None noted.&quot;, &quot;prompt_rewrite&quot;: &quot;Tolong buatkan code program dalam Python untuk Extract semua baris dan kolom ke-1 s.d. ke-7 ke dalam variabel X.&quot;, &quot;response_improvement_suggestions&quot;: &quot;None needed; response is already clear and complete.&quot;, &quot;verdict&quot;: &quot;good&quot;, &quot;needs_human_review&quot;: false}"/>
    <s v="ok"/>
    <n v="4"/>
  </r>
  <r>
    <x v="49"/>
    <s v="[LANG:Python]_x000a_[MODE:summary_code_explanation]_x000a_bayangkan kamu seorang senior IT di salah satu unicorn indonesia,gojek,bantu saya untuk membuat kode yang akan digunakan untuk melihat hasil dari model  yang di train menggunakan linear regression"/>
    <s v="done"/>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    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    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d v="2026-03-04T15:20:41"/>
    <x v="6"/>
    <n v="0"/>
    <n v="52"/>
    <n v="378"/>
    <n v="430"/>
    <n v="242"/>
    <n v="1362"/>
    <n v="2330"/>
    <n v="4"/>
    <n v="5"/>
    <n v="5"/>
    <s v="Clear and specific request for code and explanation."/>
    <s v="Could provide more context on the dataset."/>
    <s v="Comprehensive explanation and relevant code provided."/>
    <s v="None significant; all aspects covered well."/>
    <s v="Sebagai senior IT di Gojek, bantu saya membuat kode Python untuk mengevaluasi model Linear Regression yang telah dilatih, termasuk konteks dataset yang digunakan."/>
    <s v="Consider adding a brief note on data preprocessing steps if applicable."/>
    <s v="excellent"/>
    <b v="0"/>
    <s v="gpt-4o-mini"/>
    <s v="{&quot;prompt_score&quot;: 4, &quot;response_score&quot;: 5, &quot;overall_score&quot;: 5, &quot;prompt_strengths&quot;: &quot;Clear and specific request for code and explanation.&quot;, &quot;prompt_issues&quot;: &quot;Could provide more context on the dataset.&quot;, &quot;response_strengths&quot;: &quot;Comprehensive explanation and relevant code provided.&quot;, &quot;response_issues&quot;: &quot;None significant; all aspects covered well.&quot;, &quot;prompt_rewrite&quot;: &quot;Sebagai senior IT di Gojek, bantu saya membuat kode Python untuk mengevaluasi model Linear Regression yang telah dilatih, termasuk konteks dataset yang digunakan.&quot;, &quot;response_improvement_suggestions&quot;: &quot;Consider adding a brief note on data preprocessing steps if applicable.&quot;, &quot;verdict&quot;: &quot;excellent&quot;, &quot;needs_human_review&quot;: false}"/>
    <s v="ok"/>
    <n v="5"/>
  </r>
  <r>
    <x v="49"/>
    <s v="[MODE:code]_x000a_aku adalah seorang beginner di bidang AI tolong ajarkan aku sebuah materi dasar tentang gridsearch.GridSearch digunakan untuk apa"/>
    <s v="done"/>
    <s v="GridSearch (biasanya disebut GridSearchCV di scikit-learn) adalah teknik untuk mencari kombinasi hyperparameter terbaik dari sebuah model machine learning secara sistematis._x000a__x000a_1) GridSearch digunakan untuk apa?_x000a_- Mencari hyperparameter terbaik:_x000a_  Hyperparameter adalah “pengaturan” model yang ditentukan sebelum training, misalnya:_x000a_  - k pada KNN_x000a_  - C dan gamma pada SVM_x000a_  - max_depth, n_estimators pada Random Forest / Gradient Boosting_x000a_- Meningkatkan performa model:_x000a_  Dengan mencoba banyak kombinasi hyperparameter, kita bisa menemukan set yang memberi akurasi (atau metrik lain) lebih baik._x000a_- Menghindari overfitting lewat cross-validation:_x000a_  GridSearchCV mengevaluasi tiap kombinasi hyperparameter menggunakan cross-validation (misalnya 5-fold), sehingga penilaian performa lebih stabil dibanding hanya 1 kali split train/test._x000a__x000a_2) Cara kerja singkat_x000a_- Kamu tentukan:_x000a_  a) model (misal SVM)_x000a_  b) “grid” hyperparameter (daftar nilai yang ingin dicoba)_x000a_  c) metode evaluasi (cross-validation + metrik)_x000a_- GridSearch akan:_x000a_  - mencoba semua kombinasi di grid_x000a_  - melatih model untuk tiap kombinasi_x000a_  - menilai performa rata-rata dari cross-validation_x000a_  -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
    <s v="```text_x000a_GridSearch (biasanya disebut GridSearchCV di scikit-learn) adalah teknik untuk mencari kombinasi hyperparameter terbaik dari sebuah model machine learning secara sistematis._x000a__x000a_1) GridSearch digunakan untuk apa?_x000a_- Mencari hyperparameter terbaik:_x000a_  Hyperparameter adalah “pengaturan” model yang ditentukan sebelum training, misalnya:_x000a_  - k pada KNN_x000a_  - C dan gamma pada SVM_x000a_  - max_depth, n_estimators pada Random Forest / Gradient Boosting_x000a_- Meningkatkan performa model:_x000a_  Dengan mencoba banyak kombinasi hyperparameter, kita bisa menemukan set yang memberi akurasi (atau metrik lain) lebih baik._x000a_- Menghindari overfitting lewat cross-validation:_x000a_  GridSearchCV mengevaluasi tiap kombinasi hyperparameter menggunakan cross-validation (misalnya 5-fold), sehingga penilaian performa lebih stabil dibanding hanya 1 kali split train/test._x000a__x000a_2) Cara kerja singkat_x000a_- Kamu tentukan:_x000a_  a) model (misal SVM)_x000a_  b) “grid” hyperparameter (daftar nilai yang ingin dicoba)_x000a_  c) metode evaluasi (cross-validation + metrik)_x000a_- GridSearch akan:_x000a_  - mencoba semua kombinasi di grid_x000a_  - melatih model untuk tiap kombinasi_x000a_  - menilai performa rata-rata dari cross-validation_x000a_  -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_x000a_```"/>
    <d v="2026-03-11T13:07:24"/>
    <x v="2"/>
    <n v="0"/>
    <n v="33"/>
    <n v="676"/>
    <n v="709"/>
    <n v="141"/>
    <n v="2365"/>
    <n v="3088"/>
    <n v="4"/>
    <n v="5"/>
    <n v="5"/>
    <s v="Clear and specific request for basic information on GridSearch."/>
    <s v="Could provide more context on the user's current knowledge level."/>
    <s v="Thorough explanation covering purpose, process, advantages, and alternatives of GridSearch."/>
    <s v="None significant; very comprehensive."/>
    <s v="Aku adalah seorang pemula di bidang AI. Tolong ajarkan aku tentang GridSearch dan bagaimana cara kerjanya."/>
    <s v="Consider providing a simple code example for practical understanding."/>
    <s v="excellent"/>
    <b v="0"/>
    <s v="gpt-4o-mini"/>
    <s v="{&quot;prompt_score&quot;: 4, &quot;response_score&quot;: 5, &quot;overall_score&quot;: 5, &quot;prompt_strengths&quot;: &quot;Clear and specific request for basic information on GridSearch.&quot;, &quot;prompt_issues&quot;: &quot;Could provide more context on the user's current knowledge level.&quot;, &quot;response_strengths&quot;: &quot;Thorough explanation covering purpose, process, advantages, and alternatives of GridSearch.&quot;, &quot;response_issues&quot;: &quot;None significant; very comprehensive.&quot;, &quot;prompt_rewrite&quot;: &quot;Aku adalah seorang pemula di bidang AI. Tolong ajarkan aku tentang GridSearch dan bagaimana cara kerjanya.&quot;, &quot;response_improvement_suggestions&quot;: &quot;Consider providing a simple code example for practical understanding.&quot;, &quot;verdict&quot;: &quot;excellent&quot;, &quot;needs_human_review&quot;: false}"/>
    <s v="ok"/>
    <n v="5"/>
  </r>
  <r>
    <x v="49"/>
    <s v="[MODE:summary_code_explanation]_x000a_oke berhasil,sekarang bantu aku untuk Cetaklah hasil cross-validation sbb:_x000a_Accuracy: &lt;Nilai Rata-Rata&gt;% (&lt;Nilai Simpangan Baku&gt;%)_x000a_Harapannya nilai akurasi _x000a__x000a_Hint: Gunakan method masing-masing mean dan std untuk rata-rata dan simpangan baku."/>
    <s v="done"/>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d v="2026-03-11T16:32:25"/>
    <x v="2"/>
    <n v="0"/>
    <n v="78"/>
    <n v="161"/>
    <n v="239"/>
    <n v="272"/>
    <n v="510"/>
    <n v="3349"/>
    <n v="4"/>
    <n v="5"/>
    <n v="5"/>
    <s v="Clear instructions and specific requirements."/>
    <s v="Could benefit from clearer context on the model and data."/>
    <s v="Accurate, complete, and clearly explains the code."/>
    <s v="None identified."/>
    <s v="Bantu aku untuk mencetak hasil cross-validation dengan format: Accuracy: &lt;Nilai Rata-Rata&gt;% (&lt;Nilai Simpangan Baku&gt;%). Gunakan method mean dan std untuk menghitungnya."/>
    <s v="Consider adding a brief explanation of LOOCV for clarity."/>
    <s v="excellent"/>
    <b v="0"/>
    <s v="gpt-4o-mini"/>
    <s v="{&quot;prompt_score&quot;: 4, &quot;response_score&quot;: 5, &quot;overall_score&quot;: 5, &quot;prompt_strengths&quot;: &quot;Clear instructions and specific requirements.&quot;, &quot;prompt_issues&quot;: &quot;Could benefit from clearer context on the model and data.&quot;, &quot;response_strengths&quot;: &quot;Accurate, complete, and clearly explains the code.&quot;, &quot;response_issues&quot;: &quot;None identified.&quot;, &quot;prompt_rewrite&quot;: &quot;Bantu aku untuk mencetak hasil cross-validation dengan format: Accuracy: &lt;Nilai Rata-Rata&gt;% (&lt;Nilai Simpangan Baku&gt;%). Gunakan method mean dan std untuk menghitungnya.&quot;, &quot;response_improvement_suggestions&quot;: &quot;Consider adding a brief explanation of LOOCV for clarity.&quot;, &quot;verdict&quot;: &quot;excellent&quot;, &quot;needs_human_review&quot;: false}"/>
    <s v="ok"/>
    <n v="5"/>
  </r>
  <r>
    <x v="49"/>
    <s v="[MODE:summary_code_explanation]_x000a_ome 0 65.104167 1 34.895833 kalo dari data ini menurut kamu seimbang atau ga,tolong dong bantu jawab"/>
    <s v="done"/>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d v="2026-03-11T15:43:53"/>
    <x v="2"/>
    <n v="0"/>
    <n v="45"/>
    <n v="183"/>
    <n v="228"/>
    <n v="132"/>
    <n v="469"/>
    <n v="4514"/>
    <n v="3"/>
    <n v="4"/>
    <n v="4"/>
    <s v="Some clarity and context provided."/>
    <s v="Lacks specificity and clear constraints."/>
    <s v="Relevant, correct, and clear explanation."/>
    <s v="Could be more concise."/>
    <s v="[MODE:summary_code_explanation] Apakah data ini seimbang? Kelas 0: 65.10%, Kelas 1: 34.90%."/>
    <s v="Summarize the explanation more concisely."/>
    <s v="good"/>
    <b v="0"/>
    <s v="gpt-4o-mini"/>
    <s v="{&quot;prompt_score&quot;: 3, &quot;response_score&quot;: 4, &quot;overall_score&quot;: 4, &quot;prompt_strengths&quot;: &quot;Some clarity and context provided.&quot;, &quot;prompt_issues&quot;: &quot;Lacks specificity and clear constraints.&quot;, &quot;response_strengths&quot;: &quot;Relevant, correct, and clear explanation.&quot;, &quot;response_issues&quot;: &quot;Could be more concise.&quot;, &quot;prompt_rewrite&quot;: &quot;[MODE:summary_code_explanation] Apakah data ini seimbang? Kelas 0: 65.10%, Kelas 1: 34.90%.&quot;, &quot;response_improvement_suggestions&quot;: &quot;Summarize the explanation more concisely.&quot;, &quot;verdict&quot;: &quot;good&quot;, &quot;needs_human_review&quot;: false}"/>
    <s v="ok"/>
    <n v="4"/>
  </r>
  <r>
    <x v="50"/>
    <s v="[MODE:code]_x000a_bantu saya dalam mengerjakan praktikum kecerdasan mesin yang memiliki aturan sebagai berikut 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 Lakukan langkah berikut:_x000a_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
    <s v="```python_x000a_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_x000a_```"/>
    <d v="2026-04-14T10:36:04"/>
    <x v="3"/>
    <n v="0"/>
    <n v="224"/>
    <n v="119"/>
    <n v="343"/>
    <n v="872"/>
    <n v="427"/>
    <n v="169"/>
    <n v="4"/>
    <n v="5"/>
    <n v="5"/>
    <s v="Clear instructions with specific requirements."/>
    <s v="Could benefit from more context on the dataset."/>
    <s v="Correct implementation of the prompt requirements."/>
    <s v="None significant; response is complete and clear."/>
    <s v="Bantu saya mengerjakan praktikum kecerdasan mesin dengan dataset student_exam_performance_dataset (1).csv. Gunakan Pipeline, ColumnTransformer, StandardScaler, dan OneHotEncoder. Hindari target leakage dan pastikan preprocessing konsisten. Tampilkan 5 baris pertama, ukuran dataset, dan tipe data setiap kolom dengan rapi."/>
    <s v="Consider adding comments in the code for clarity."/>
    <s v="excellent"/>
    <b v="0"/>
    <s v="gpt-4o-mini"/>
    <s v="{&quot;prompt_score&quot;: 4, &quot;response_score&quot;: 5, &quot;overall_score&quot;: 5, &quot;prompt_strengths&quot;: &quot;Clear instructions with specific requirements.&quot;, &quot;prompt_issues&quot;: &quot;Could benefit from more context on the dataset.&quot;, &quot;response_strengths&quot;: &quot;Correct implementation of the prompt requirements.&quot;, &quot;response_issues&quot;: &quot;None significant; response is complete and clear.&quot;, &quot;prompt_rewrite&quot;: &quot;Bantu saya mengerjakan praktikum kecerdasan mesin dengan dataset student_exam_performance_dataset (1).csv. Gunakan Pipeline, ColumnTransformer, StandardScaler, dan OneHotEncoder. Hindari target leakage dan pastikan preprocessing konsisten. Tampilkan 5 baris pertama, ukuran dataset, dan tipe data setiap kolom dengan rapi.&quot;, &quot;response_improvement_suggestions&quot;: &quot;Consider adding comments in the code for clarity.&quot;, &quot;verdict&quot;: &quot;excellent&quot;, &quot;needs_human_review&quot;: false}"/>
    <s v="ok"/>
    <n v="5"/>
  </r>
  <r>
    <x v="50"/>
    <s v="[MODE:code]_x000a_diberikan template ipynb dan juga csv yang bernama 02_insurance.csv, bagaimana cara menampilkan 5 data pertama, awalnya saya menulis df = pd.read_csv(&quot;02_insurance.csv&quot;)"/>
    <s v="done"/>
    <s v="import pandas as pd_x000a__x000a_df = pd.read_csv(&quot;02_insurance.csv&quot;)_x000a_df.head()"/>
    <s v="```python_x000a_import pandas as pd_x000a__x000a_df = pd.read_csv(&quot;02_insurance.csv&quot;)_x000a_df.head()_x000a_```"/>
    <d v="2026-03-03T11:38:14"/>
    <x v="6"/>
    <n v="0"/>
    <n v="53"/>
    <n v="23"/>
    <n v="76"/>
    <n v="181"/>
    <n v="81"/>
    <n v="187"/>
    <n v="4"/>
    <n v="5"/>
    <n v="4"/>
    <s v="Clear request for data manipulation in Python."/>
    <s v="Could provide more context on the desired output format."/>
    <s v="Correct and complete code for displaying data."/>
    <s v="Lacks explanation or comments for clarity."/>
    <s v="Dengan template ipynb dan file csv bernama 02_insurance.csv, bagaimana cara menampilkan 5 data pertama dalam format tabel?"/>
    <s v="Add comments to explain each step of the code."/>
    <s v="good"/>
    <b v="0"/>
    <s v="gpt-4o-mini"/>
    <s v="{&quot;prompt_score&quot;: 4, &quot;response_score&quot;: 5, &quot;overall_score&quot;: 4, &quot;prompt_strengths&quot;: &quot;Clear request for data manipulation in Python.&quot;, &quot;prompt_issues&quot;: &quot;Could provide more context on the desired output format.&quot;, &quot;response_strengths&quot;: &quot;Correct and complete code for displaying data.&quot;, &quot;response_issues&quot;: &quot;Lacks explanation or comments for clarity.&quot;, &quot;prompt_rewrite&quot;: &quot;Dengan template ipynb dan file csv bernama 02_insurance.csv, bagaimana cara menampilkan 5 data pertama dalam format tabel?&quot;, &quot;response_improvement_suggestions&quot;: &quot;Add comments to explain each step of the code.&quot;, &quot;verdict&quot;: &quot;good&quot;, &quot;needs_human_review&quot;: false}"/>
    <s v="ok"/>
    <n v="4"/>
  </r>
  <r>
    <x v="50"/>
    <s v="[MODE:code]_x000a_setelah proses melihat shape tersebut Kemudian, selanjutnya tampilakn `ringkasan statistik dari dataset"/>
    <s v="done"/>
    <s v="# Ringkasan statistik dataset_x000a_dataframe.describe()"/>
    <s v="```python_x000a_# Ringkasan statistik dataset_x000a_dataframe.describe()_x000a_```"/>
    <d v="2026-03-17T11:56:12"/>
    <x v="4"/>
    <n v="0"/>
    <n v="33"/>
    <n v="16"/>
    <n v="49"/>
    <n v="115"/>
    <n v="64"/>
    <n v="245"/>
    <n v="3"/>
    <n v="4"/>
    <n v="3"/>
    <s v="Indicates a specific action to take."/>
    <s v="Lacks clarity and has some grammatical errors."/>
    <s v="Directly addresses the prompt with a relevant code snippet."/>
    <s v="Could provide more context or explanation."/>
    <s v="[MODE:code] Setelah melihat shape dataset, tampilkan ringkasan statistik dari dataset."/>
    <s v="Add a brief explanation of what the code does."/>
    <s v="fair"/>
    <b v="0"/>
    <s v="gpt-4o-mini"/>
    <s v="{&quot;prompt_score&quot;: 3, &quot;response_score&quot;: 4, &quot;overall_score&quot;: 3, &quot;prompt_strengths&quot;: &quot;Indicates a specific action to take.&quot;, &quot;prompt_issues&quot;: &quot;Lacks clarity and has some grammatical errors.&quot;, &quot;response_strengths&quot;: &quot;Directly addresses the prompt with a relevant code snippet.&quot;, &quot;response_issues&quot;: &quot;Could provide more context or explanation.&quot;, &quot;prompt_rewrite&quot;: &quot;[MODE:code] Setelah melihat shape dataset, tampilkan ringkasan statistik dari dataset.&quot;, &quot;response_improvement_suggestions&quot;: &quot;Add a brief explanation of what the code does.&quot;, &quot;verdict&quot;: &quot;fair&quot;, &quot;needs_human_review&quot;: false}"/>
    <s v="ok"/>
    <n v="3"/>
  </r>
  <r>
    <x v="50"/>
    <s v="[MODE:summary_code_explanation]_x000a_Berdasarkan EDA yang dilakukan, jawab pertanyaan dibawah ini. 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d v="2026-03-10T12:31:55"/>
    <x v="2"/>
    <n v="0"/>
    <n v="431"/>
    <n v="1093"/>
    <n v="1524"/>
    <n v="1502"/>
    <n v="3661"/>
    <n v="300"/>
    <n v="4"/>
    <n v="4"/>
    <n v="4"/>
    <s v="Detailed and structured with clear questions."/>
    <s v="Could be overwhelming for beginners due to complexity."/>
    <s v="Provides code snippets and explanations for each question."/>
    <s v="Lacks specific answers without dataset outputs."/>
    <s v="Berdasarkan EDA yang dilakukan, jawab pertanyaan berikut dengan dataset yang diberikan: 1. Struktur Dataset: Berapa jumlah observasi dan fitur? Sebutkan target variable. 2. Statistik Deskriptif: Fitur dengan nilai rata-rata tertinggi dan standar deviasi terbesar? 3. Pemeriksaan Nilai Minimum: Fitur dengan nilai minimum = 0 yang tidak realistis? 4. Analisis Correlation Matrix: Fitur dengan korelasi paling kuat terhadap variabel class? 5. Korelasi Antar Fitur: Pasangan fitur dengan korelasi tinggi? Jelaskan implikasinya."/>
    <s v="Include example outputs or hypothetical values to illustrate the answers."/>
    <s v="good"/>
    <b v="0"/>
    <s v="gpt-4o-mini"/>
    <s v="{&quot;prompt_score&quot;: 4, &quot;response_score&quot;: 4, &quot;overall_score&quot;: 4, &quot;prompt_strengths&quot;: &quot;Detailed and structured with clear questions.&quot;, &quot;prompt_issues&quot;: &quot;Could be overwhelming for beginners due to complexity.&quot;, &quot;response_strengths&quot;: &quot;Provides code snippets and explanations for each question.&quot;, &quot;response_issues&quot;: &quot;Lacks specific answers without dataset outputs.&quot;, &quot;prompt_rewrite&quot;: &quot;Berdasarkan EDA yang dilakukan, jawab pertanyaan berikut dengan dataset yang diberikan: 1. Struktur Dataset: Berapa jumlah observasi dan fitur? Sebutkan target variable. 2. Statistik Deskriptif: Fitur dengan nilai rata-rata tertinggi dan standar deviasi terbesar? 3. Pemeriksaan Nilai Minimum: Fitur dengan nilai minimum = 0 yang tidak realistis? 4. Analisis Correlation Matrix: Fitur dengan korelasi paling kuat terhadap variabel class? 5. Korelasi Antar Fitur: Pasangan fitur dengan korelasi tinggi? Jelaskan implikasinya.&quot;, &quot;response_improvement_suggestions&quot;: &quot;Include example outputs or hypothetical values to illustrate the answers.&quot;, &quot;verdict&quot;: &quot;good&quot;, &quot;needs_human_review&quot;: false}"/>
    <s v="ok"/>
    <n v="4"/>
  </r>
  <r>
    <x v="50"/>
    <s v="[MODE:code]_x000a_Selanjutnya buat `Pipeline` dengan `preprocessing` dan `SVR()', buat berdasarkan kode yang telah saya berikan"/>
    <s v="done"/>
    <s v="from sklearn.svm import SVR_x000a__x000a_model = Pipeline([_x000a_    (&quot;preprocessing&quot;, preprocessing),_x000a_    (&quot;svr&quot;, SVR())_x000a_])"/>
    <s v="```python_x000a_from sklearn.svm import SVR_x000a__x000a_model = Pipeline([_x000a_    (&quot;preprocessing&quot;, preprocessing),_x000a_    (&quot;svr&quot;, SVR())_x000a_])_x000a_```"/>
    <d v="2026-02-24T13:07:15"/>
    <x v="1"/>
    <n v="0"/>
    <n v="35"/>
    <n v="32"/>
    <n v="67"/>
    <n v="121"/>
    <n v="121"/>
    <n v="536"/>
    <n v="3"/>
    <n v="4"/>
    <n v="3"/>
    <s v="Directly asks for a specific coding task."/>
    <s v="Lacks clarity on what 'preprocessing' entails."/>
    <s v="Correctly implements a Pipeline with SVR."/>
    <s v="Missing import for 'Pipeline' and 'preprocessing' definition."/>
    <s v="Buat `Pipeline` dengan `preprocessing` yang jelas dan `SVR()`, berdasarkan kode yang telah saya berikan."/>
    <s v="Include necessary imports and define 'preprocessing'."/>
    <s v="fair"/>
    <b v="0"/>
    <s v="gpt-4o-mini"/>
    <s v="{&quot;prompt_score&quot;: 3, &quot;response_score&quot;: 4, &quot;overall_score&quot;: 3, &quot;prompt_strengths&quot;: &quot;Directly asks for a specific coding task.&quot;, &quot;prompt_issues&quot;: &quot;Lacks clarity on what 'preprocessing' entails.&quot;, &quot;response_strengths&quot;: &quot;Correctly implements a Pipeline with SVR.&quot;, &quot;response_issues&quot;: &quot;Missing import for 'Pipeline' and 'preprocessing' definition.&quot;, &quot;prompt_rewrite&quot;: &quot;Buat `Pipeline` dengan `preprocessing` yang jelas dan `SVR()`, berdasarkan kode yang telah saya berikan.&quot;, &quot;response_improvement_suggestions&quot;: &quot;Include necessary imports and define 'preprocessing'.&quot;, &quot;verdict&quot;: &quot;fair&quot;, &quot;needs_human_review&quot;: false}"/>
    <s v="ok"/>
    <n v="3"/>
  </r>
  <r>
    <x v="50"/>
    <s v="[MODE:summary]_x000a_Buatkan syntax Latihlah model dengan best hyperparameter pada train set. ##### Your Code Here #####,"/>
    <s v="done"/>
    <s v="best_knn_clf = grid_search.best_estimator__x000a_best_knn_clf.fit(X_train, y_train)"/>
    <s v="best_knn_clf = grid_search.best_estimator__x000a_best_knn_clf.fit(X_train, y_train)"/>
    <d v="2026-03-17T13:25:36"/>
    <x v="4"/>
    <n v="0"/>
    <n v="27"/>
    <n v="23"/>
    <n v="50"/>
    <n v="115"/>
    <n v="77"/>
    <n v="1416"/>
    <n v="3"/>
    <n v="4"/>
    <n v="3"/>
    <s v="The prompt is clear about the task."/>
    <s v="Lacks specificity and context for the model and hyperparameters."/>
    <s v="The response is relevant and correctly fits the model."/>
    <s v="Incomplete; lacks context and explanation."/>
    <s v="Buatkan syntax untuk melatih model KNN dengan hyperparameter terbaik pada dataset pelatihan yang diberikan."/>
    <s v="Include comments explaining the code and specify the hyperparameters used."/>
    <s v="fair"/>
    <b v="0"/>
    <s v="gpt-4o-mini"/>
    <s v="{&quot;prompt_score&quot;: 3, &quot;response_score&quot;: 4, &quot;overall_score&quot;: 3, &quot;prompt_strengths&quot;: &quot;The prompt is clear about the task.&quot;, &quot;prompt_issues&quot;: &quot;Lacks specificity and context for the model and hyperparameters.&quot;, &quot;response_strengths&quot;: &quot;The response is relevant and correctly fits the model.&quot;, &quot;response_issues&quot;: &quot;Incomplete; lacks context and explanation.&quot;, &quot;prompt_rewrite&quot;: &quot;Buatkan syntax untuk melatih model KNN dengan hyperparameter terbaik pada dataset pelatihan yang diberikan.&quot;, &quot;response_improvement_suggestions&quot;: &quot;Include comments explaining the code and specify the hyperparameters used.&quot;, &quot;verdict&quot;: &quot;fair&quot;, &quot;needs_human_review&quot;: false}"/>
    <s v="ok"/>
    <n v="3"/>
  </r>
  <r>
    <x v="50"/>
    <s v="[MODE:summary_code_explanation]_x000a_error nama sns tidak terdefinisi dari syntax tersebut tolong jelaskan dan berikan perbaikan syntaxnya"/>
    <s v="done"/>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            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            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d v="2026-03-17T12:02:43"/>
    <x v="4"/>
    <n v="0"/>
    <n v="31"/>
    <n v="324"/>
    <n v="355"/>
    <n v="133"/>
    <n v="1201"/>
    <n v="2055"/>
    <n v="4"/>
    <n v="5"/>
    <n v="4"/>
    <s v="Clear request for explanation and correction."/>
    <s v="Could provide more context about the code or environment."/>
    <s v="Thorough explanation with relevant code examples."/>
    <s v="None significant; very complete and clear."/>
    <s v="Jelaskan error 'sns tidak terdefinisi' dan berikan perbaikan syntax dengan contoh kode."/>
    <s v="Consider adding a brief explanation of what seaborn is for beginners."/>
    <s v="good"/>
    <b v="0"/>
    <s v="gpt-4o-mini"/>
    <s v="{&quot;prompt_score&quot;: 4, &quot;response_score&quot;: 5, &quot;overall_score&quot;: 4, &quot;prompt_strengths&quot;: &quot;Clear request for explanation and correction.&quot;, &quot;prompt_issues&quot;: &quot;Could provide more context about the code or environment.&quot;, &quot;response_strengths&quot;: &quot;Thorough explanation with relevant code examples.&quot;, &quot;response_issues&quot;: &quot;None significant; very complete and clear.&quot;, &quot;prompt_rewrite&quot;: &quot;Jelaskan error 'sns tidak terdefinisi' dan berikan perbaikan syntax dengan contoh kode.&quot;, &quot;response_improvement_suggestions&quot;: &quot;Consider adding a brief explanation of what seaborn is for beginners.&quot;, &quot;verdict&quot;: &quot;good&quot;, &quot;needs_human_review&quot;: false}"/>
    <s v="ok"/>
    <n v="4"/>
  </r>
  <r>
    <x v="50"/>
    <s v="[MODE:summary]_x000a_jangan gunakan kode untuk jawabannya. Jawab menggunakan paragraf secara terstruktur tanpa menggunakan kode"/>
    <s v="done"/>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d v="2026-03-10T12:58:37"/>
    <x v="2"/>
    <n v="0"/>
    <n v="29"/>
    <n v="188"/>
    <n v="217"/>
    <n v="121"/>
    <n v="631"/>
    <n v="2499"/>
    <n v="4"/>
    <n v="5"/>
    <n v="5"/>
    <s v="Clear instructions and specific constraints."/>
    <s v="Could provide more context on the topic."/>
    <s v="Highly relevant, accurate, and well-structured."/>
    <s v="None significant."/>
    <s v="[MODE:summary] Berikan ringkasan tentang distribusi data tanpa menggunakan kode, dengan penjelasan yang terstruktur."/>
    <s v="Consider adding examples of metrics for clarity."/>
    <s v="excellent"/>
    <b v="0"/>
    <s v="gpt-4o-mini"/>
    <s v="{&quot;prompt_score&quot;: 4, &quot;response_score&quot;: 5, &quot;overall_score&quot;: 5, &quot;prompt_strengths&quot;: &quot;Clear instructions and specific constraints.&quot;, &quot;prompt_issues&quot;: &quot;Could provide more context on the topic.&quot;, &quot;response_strengths&quot;: &quot;Highly relevant, accurate, and well-structured.&quot;, &quot;response_issues&quot;: &quot;None significant.&quot;, &quot;prompt_rewrite&quot;: &quot;[MODE:summary] Berikan ringkasan tentang distribusi data tanpa menggunakan kode, dengan penjelasan yang terstruktur.&quot;, &quot;response_improvement_suggestions&quot;: &quot;Consider adding examples of metrics for clarity.&quot;, &quot;verdict&quot;: &quot;excellent&quot;, &quot;needs_human_review&quot;: false}"/>
    <s v="ok"/>
    <n v="5"/>
  </r>
  <r>
    <x v="50"/>
    <s v="[MODE:code]_x000a_soalnya kan ada dua, itu jawaban yang mana? tolong berikan nomor ketika menjawab supaya saya tidak pusing dalam menulis dan memahami"/>
    <s v="done"/>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d v="2026-03-31T12:00:56"/>
    <x v="5"/>
    <n v="0"/>
    <n v="42"/>
    <n v="97"/>
    <n v="139"/>
    <n v="144"/>
    <n v="351"/>
    <n v="2541"/>
    <n v="3"/>
    <n v="4"/>
    <n v="3"/>
    <s v="Directly asks for clarification and numbering."/>
    <s v="Lacks clarity in context and specific details about the questions."/>
    <s v="Provides relevant answers and clear distinctions between methods."/>
    <s v="Could be more concise and directly reference the numbered format requested."/>
    <s v="Tolong berikan nomor untuk jawaban dari dua soal yang ada agar saya lebih mudah memahami."/>
    <s v="Directly reference the question numbers in the response for clarity."/>
    <s v="good"/>
    <b v="0"/>
    <s v="gpt-4o-mini"/>
    <s v="{&quot;prompt_score&quot;: 3, &quot;response_score&quot;: 4, &quot;overall_score&quot;: 3, &quot;prompt_strengths&quot;: &quot;Directly asks for clarification and numbering.&quot;, &quot;prompt_issues&quot;: &quot;Lacks clarity in context and specific details about the questions.&quot;, &quot;response_strengths&quot;: &quot;Provides relevant answers and clear distinctions between methods.&quot;, &quot;response_issues&quot;: &quot;Could be more concise and directly reference the numbered format requested.&quot;, &quot;prompt_rewrite&quot;: &quot;Tolong berikan nomor untuk jawaban dari dua soal yang ada agar saya lebih mudah memahami.&quot;, &quot;response_improvement_suggestions&quot;: &quot;Directly reference the question numbers in the response for clarity.&quot;, &quot;verdict&quot;: &quot;good&quot;, &quot;needs_human_review&quot;: false}"/>
    <s v="ok"/>
    <n v="4"/>
  </r>
  <r>
    <x v="50"/>
    <s v="[MODE:code]_x000a_Kita tampilkan score terbaik dari hasil `grid_search` berdasarkan RMSE. Buatkan syntax nya setelah melatih 6000 grid tersebut"/>
    <s v="done"/>
    <s v="best_rmse = -grid_search.best_score__x000a_best_rmse"/>
    <s v="best_rmse = -grid_search.best_score__x000a_best_rmse"/>
    <d v="2026-02-24T13:26:52"/>
    <x v="1"/>
    <n v="0"/>
    <n v="40"/>
    <n v="13"/>
    <n v="53"/>
    <n v="137"/>
    <n v="46"/>
    <n v="2583"/>
    <n v="3"/>
    <n v="2"/>
    <n v="2"/>
    <s v="The prompt specifies a clear task related to grid search and RMSE."/>
    <s v="Lacks clarity in expected output format and context for the code."/>
    <s v="Attempts to provide a solution related to the prompt."/>
    <s v="Syntax is incorrect and incomplete; lacks clarity and context."/>
    <s v="Tampilkan score terbaik dari hasil `grid_search` berdasarkan RMSE setelah melatih 6000 model. Berikan syntax Python yang lengkap."/>
    <s v="Correct the syntax to properly assign the best RMSE value and provide a complete code snippet."/>
    <s v="weak"/>
    <b v="0"/>
    <s v="gpt-4o-mini"/>
    <s v="{&quot;prompt_score&quot;: 3, &quot;response_score&quot;: 2, &quot;overall_score&quot;: 2, &quot;prompt_strengths&quot;: &quot;The prompt specifies a clear task related to grid search and RMSE.&quot;, &quot;prompt_issues&quot;: &quot;Lacks clarity in expected output format and context for the code.&quot;, &quot;response_strengths&quot;: &quot;Attempts to provide a solution related to the prompt.&quot;, &quot;response_issues&quot;: &quot;Syntax is incorrect and incomplete; lacks clarity and context.&quot;, &quot;prompt_rewrite&quot;: &quot;Tampilkan score terbaik dari hasil `grid_search` berdasarkan RMSE setelah melatih 6000 model. Berikan syntax Python yang lengkap.&quot;, &quot;response_improvement_suggestions&quot;: &quot;Correct the syntax to properly assign the best RMSE value and provide a complete code snippet.&quot;, &quot;verdict&quot;: &quot;weak&quot;, &quot;needs_human_review&quot;: false}"/>
    <s v="ok"/>
    <n v="1"/>
  </r>
  <r>
    <x v="50"/>
    <s v="[MODE:summary]_x000a_syntaxnya error pada bagian y_test tidak terdefinisi tolong berikan perbaikan untuk syntaxnyaaaaaaaaaaaaa"/>
    <s v="done"/>
    <s v="precisions_forest, recalls_forest, thresholds_forest = precision_recall_curve(y, y_scores_forest)"/>
    <s v="precisions_forest, recalls_forest, thresholds_forest = precision_recall_curve(y, y_scores_forest)"/>
    <d v="2026-03-17T12:50:22"/>
    <x v="4"/>
    <n v="0"/>
    <n v="31"/>
    <n v="23"/>
    <n v="54"/>
    <n v="120"/>
    <n v="97"/>
    <n v="2732"/>
    <n v="2"/>
    <n v="3"/>
    <n v="2"/>
    <s v="Indicates a specific error type."/>
    <s v="Lacks clarity and context; overly informal."/>
    <s v="Provides a relevant code snippet."/>
    <s v="Does not address the specific error mentioned in the prompt."/>
    <s v="Tolong bantu saya memperbaiki error 'y_test tidak terdefinisi' dalam kode saya."/>
    <s v="Include a complete code example that defines 'y_test' and explains the context."/>
    <s v="fair"/>
    <b v="0"/>
    <s v="gpt-4o-mini"/>
    <s v="{&quot;prompt_score&quot;: 2, &quot;response_score&quot;: 3, &quot;overall_score&quot;: 2, &quot;prompt_strengths&quot;: &quot;Indicates a specific error type.&quot;, &quot;prompt_issues&quot;: &quot;Lacks clarity and context; overly informal.&quot;, &quot;response_strengths&quot;: &quot;Provides a relevant code snippet.&quot;, &quot;response_issues&quot;: &quot;Does not address the specific error mentioned in the prompt.&quot;, &quot;prompt_rewrite&quot;: &quot;Tolong bantu saya memperbaiki error 'y_test tidak terdefinisi' dalam kode saya.&quot;, &quot;response_improvement_suggestions&quot;: &quot;Include a complete code example that defines 'y_test' and explains the context.&quot;, &quot;verdict&quot;: &quot;fair&quot;, &quot;needs_human_review&quot;: false}"/>
    <s v="ok"/>
    <n v="3"/>
  </r>
  <r>
    <x v="50"/>
    <s v="[MODE:code]_x000a_ada yang error pada kodenya dia bilang NameError: name 'ConfusionMatrixDisplay' is not defined, tolong diperbaiki"/>
    <s v="done"/>
    <s v="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04:31"/>
    <x v="3"/>
    <n v="0"/>
    <n v="35"/>
    <n v="694"/>
    <n v="729"/>
    <n v="125"/>
    <n v="2708"/>
    <n v="3230"/>
    <n v="4"/>
    <n v="5"/>
    <n v="5"/>
    <s v="Clear request for code correction with specific error mentioned."/>
    <s v="Could provide more context about the code or its purpose."/>
    <s v="Correctly addresses the error and provides a complete solution with relevant code."/>
    <s v="None significant; response is comprehensive and clear."/>
    <s v="Tolong perbaiki kode ini yang menghasilkan error 'NameError: name 'ConfusionMatrixDisplay' is not defined'."/>
    <s v="Consider adding comments to explain each section of the code for better clarity."/>
    <s v="excellent"/>
    <b v="0"/>
    <s v="gpt-4o-mini"/>
    <s v="{&quot;prompt_score&quot;: 4, &quot;response_score&quot;: 5, &quot;overall_score&quot;: 5, &quot;prompt_strengths&quot;: &quot;Clear request for code correction with specific error mentioned.&quot;, &quot;prompt_issues&quot;: &quot;Could provide more context about the code or its purpose.&quot;, &quot;response_strengths&quot;: &quot;Correctly addresses the error and provides a complete solution with relevant code.&quot;, &quot;response_issues&quot;: &quot;None significant; response is comprehensive and clear.&quot;, &quot;prompt_rewrite&quot;: &quot;Tolong perbaiki kode ini yang menghasilkan error 'NameError: name 'ConfusionMatrixDisplay' is not defined'.&quot;, &quot;response_improvement_suggestions&quot;: &quot;Consider adding comments to explain each section of the code for better clarity.&quot;, &quot;verdict&quot;: &quot;excellent&quot;, &quot;needs_human_review&quot;: false}"/>
    <s v="ok"/>
    <n v="5"/>
  </r>
  <r>
    <x v="50"/>
    <s v="[MODE:summary_code_explanation]_x000a_masih error nama sns tidak terdefinisi dari syntax tersebut tolong jelaskan dan berikan perbaikan syntaxnya"/>
    <s v="done"/>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            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            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d v="2026-03-17T12:05:30"/>
    <x v="4"/>
    <n v="0"/>
    <n v="33"/>
    <n v="467"/>
    <n v="500"/>
    <n v="139"/>
    <n v="1704"/>
    <n v="3335"/>
    <n v="4"/>
    <n v="5"/>
    <n v="5"/>
    <s v="Clear request for explanation and syntax correction."/>
    <s v="Could provide more context about the specific error encountered."/>
    <s v="Thorough explanation with clear steps for resolution and code examples."/>
    <s v="None significant; very comprehensive."/>
    <s v="[MODE:summary_code_explanation] Saya mengalami error 'NameError: name 'sns' is not defined'. Tolong jelaskan penyebabnya dan berikan perbaikan syntaxnya."/>
    <s v="Consider adding a brief explanation of what seaborn is for users unfamiliar with it."/>
    <s v="excellent"/>
    <b v="0"/>
    <s v="gpt-4o-mini"/>
    <s v="{&quot;prompt_score&quot;: 4, &quot;response_score&quot;: 5, &quot;overall_score&quot;: 5, &quot;prompt_strengths&quot;: &quot;Clear request for explanation and syntax correction.&quot;, &quot;prompt_issues&quot;: &quot;Could provide more context about the specific error encountered.&quot;, &quot;response_strengths&quot;: &quot;Thorough explanation with clear steps for resolution and code examples.&quot;, &quot;response_issues&quot;: &quot;None significant; very comprehensive.&quot;, &quot;prompt_rewrite&quot;: &quot;[MODE:summary_code_explanation] Saya mengalami error 'NameError: name 'sns' is not defined'. Tolong jelaskan penyebabnya dan berikan perbaikan syntaxnya.&quot;, &quot;response_improvement_suggestions&quot;: &quot;Consider adding a brief explanation of what seaborn is for users unfamiliar with it.&quot;, &quot;verdict&quot;: &quot;excellent&quot;, &quot;needs_human_review&quot;: false}"/>
    <s v="ok"/>
    <n v="5"/>
  </r>
  <r>
    <x v="50"/>
    <s v="[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python_x000a_#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_x000a_```"/>
    <d v="2026-02-24T13:05:25"/>
    <x v="1"/>
    <n v="0"/>
    <n v="83"/>
    <n v="322"/>
    <n v="405"/>
    <n v="395"/>
    <n v="1156"/>
    <n v="4073"/>
    <n v="4"/>
    <n v="5"/>
    <n v="4"/>
    <s v="Clear and specific code context provided."/>
    <s v="Could benefit from more explicit instructions on expected output."/>
    <s v="Thorough analysis with clear explanations and considerations."/>
    <s v="Could include examples or further implications of the code."/>
    <s v="[MODE:code] # DO NOT CHANGE THE CODE log_pipeline = make_pipeline( SimpleImputer(strategy=&quot;median&quot;), FunctionTransformer(np.log, feature_names_out=&quot;one-to-one&quot;), StandardScaler()) cluster_simil = ClusterSimilarity(n_clusters=10, gamma=1., random_state=42) default_num_pipeline = make_pipeline(SimpleImputer(strategy=&quot;median&quot;), StandardScaler()) # Please analyze the code and explain its components and functionality."/>
    <s v="Add examples of potential input data and expected outcomes."/>
    <s v="good"/>
    <b v="0"/>
    <s v="gpt-4o-mini"/>
    <s v="{&quot;prompt_score&quot;: 4, &quot;response_score&quot;: 5, &quot;overall_score&quot;: 4, &quot;prompt_strengths&quot;: &quot;Clear and specific code context provided.&quot;, &quot;prompt_issues&quot;: &quot;Could benefit from more explicit instructions on expected output.&quot;, &quot;response_strengths&quot;: &quot;Thorough analysis with clear explanations and considerations.&quot;, &quot;response_issues&quot;: &quot;Could include examples or further implications of the code.&quot;, &quot;prompt_rewrite&quot;: &quot;[MODE:code] # DO NOT CHANGE THE CODE log_pipeline = make_pipeline( SimpleImputer(strategy=\&quot;median\&quot;), FunctionTransformer(np.log, feature_names_out=\&quot;one-to-one\&quot;), StandardScaler()) cluster_simil = ClusterSimilarity(n_clusters=10, gamma=1., random_state=42) default_num_pipeline = make_pipeline(SimpleImputer(strategy=\&quot;median\&quot;), StandardScaler()) # Please analyze the code and explain its components and functionality.&quot;, &quot;response_improvement_suggestions&quot;: &quot;Add examples of potential input data and expected outcomes.&quot;, &quot;verdict&quot;: &quot;good&quot;, &quot;needs_human_review&quot;: false}"/>
    <s v="ok"/>
    <n v="4"/>
  </r>
  <r>
    <x v="50"/>
    <s v="[MODE:code]_x000a_tolong tambahkan synatax untuk print hasil hitung dari pression dan juga recall nyaaaaaaaaaaaaaaaaaaaaaaa'"/>
    <s v="done"/>
    <s v="precision = precision_score(y, y_pred); print(&quot;Precision:&quot;, precision)_x000a_recall = recall_score(y, y_pred); print(&quot;Recall:&quot;, recall)"/>
    <s v="```python_x000a_precision = precision_score(y, y_pred); print(&quot;Precision:&quot;, precision)_x000a_recall = recall_score(y, y_pred); print(&quot;Recall:&quot;, recall)_x000a_```"/>
    <d v="2026-03-17T12:28:46"/>
    <x v="4"/>
    <n v="0"/>
    <n v="29"/>
    <n v="35"/>
    <n v="64"/>
    <n v="118"/>
    <n v="143"/>
    <n v="4195"/>
    <n v="2"/>
    <n v="4"/>
    <n v="3"/>
    <s v="Indicates a coding task."/>
    <s v="Lacks clarity and contains excessive characters."/>
    <s v="Correctly implements precision and recall calculations."/>
    <s v="Missing proper formatting and separation of statements."/>
    <s v="[MODE:code] Please add syntax to print the results of precision and recall."/>
    <s v="Separate the print statements for clarity and ensure proper syntax."/>
    <s v="fair"/>
    <b v="0"/>
    <s v="gpt-4o-mini"/>
    <s v="{&quot;prompt_score&quot;: 2, &quot;response_score&quot;: 4, &quot;overall_score&quot;: 3, &quot;prompt_strengths&quot;: &quot;Indicates a coding task.&quot;, &quot;prompt_issues&quot;: &quot;Lacks clarity and contains excessive characters.&quot;, &quot;response_strengths&quot;: &quot;Correctly implements precision and recall calculations.&quot;, &quot;response_issues&quot;: &quot;Missing proper formatting and separation of statements.&quot;, &quot;prompt_rewrite&quot;: &quot;[MODE:code] Please add syntax to print the results of precision and recall.&quot;, &quot;response_improvement_suggestions&quot;: &quot;Separate the print statements for clarity and ensure proper syntax.&quot;, &quot;verdict&quot;: &quot;fair&quot;, &quot;needs_human_review&quot;: false}"/>
    <s v="ok"/>
    <n v="3"/>
  </r>
  <r>
    <x v="50"/>
    <s v="[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python_x000a_#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_x000a_```"/>
    <d v="2026-02-24T12:29:41"/>
    <x v="1"/>
    <n v="0"/>
    <n v="168"/>
    <n v="173"/>
    <n v="341"/>
    <n v="828"/>
    <n v="597"/>
    <n v="4196"/>
    <n v="4"/>
    <n v="5"/>
    <n v="4"/>
    <s v="Clear structure and context provided."/>
    <s v="Could be more specific about the expected output format."/>
    <s v="Comprehensive and relevant code for handling null values."/>
    <s v="None identified; response is complete and clear."/>
    <s v="Jangan buat kodenya dari awal. Gunakan struktur kode berikut: # DO NOT CHANGE THE CODE BELOW: import pandas as pd ... Sekarang, cari tahu informasi mengenai nilai null dalam dataset dan berikan hasilnya dalam format tabel."/>
    <s v="Consider adding comments to explain each step of the code for clarity."/>
    <s v="good"/>
    <b v="0"/>
    <s v="gpt-4o-mini"/>
    <s v="{&quot;prompt_score&quot;: 4, &quot;response_score&quot;: 5, &quot;overall_score&quot;: 4, &quot;prompt_strengths&quot;: &quot;Clear structure and context provided.&quot;, &quot;prompt_issues&quot;: &quot;Could be more specific about the expected output format.&quot;, &quot;response_strengths&quot;: &quot;Comprehensive and relevant code for handling null values.&quot;, &quot;response_issues&quot;: &quot;None identified; response is complete and clear.&quot;, &quot;prompt_rewrite&quot;: &quot;Jangan buat kodenya dari awal. Gunakan struktur kode berikut: # DO NOT CHANGE THE CODE BELOW: import pandas as pd ... Sekarang, cari tahu informasi mengenai nilai null dalam dataset dan berikan hasilnya dalam format tabel.&quot;, &quot;response_improvement_suggestions&quot;: &quot;Consider adding comments to explain each step of the code for clarity.&quot;, &quot;verdict&quot;: &quot;good&quot;, &quot;needs_human_review&quot;: false}"/>
    <s v="ok"/>
    <n v="4"/>
  </r>
  <r>
    <x v="50"/>
    <s v="[MODE:summary_code_explanation]_x000a_Kenapa extract semua baris dan kolom ke-1 s.d. ke-7 ke dalam variabel X. di syntax nya menggunakan 0 dan 8. Mengapa tidak 1 dan 7"/>
    <s v="done"/>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 `0:8` → mengambil indeks `0,1,2,3,4,5,6,7` (8 kolom)._x000a_- Kalau pakai `1:7`, yang diambil hanya indeks `1,2,3,4,5,6` (6 kolom) dan kolom pertama (indeks 0) malah terlewat."/>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 `0:8` → mengambil indeks `0,1,2,3,4,5,6,7` (8 kolom)._x000a_- Kalau pakai `1:7`, yang diambil hanya indeks `1,2,3,4,5,6` (6 kolom) dan kolom pertama (indeks 0) malah terlewat."/>
    <d v="2026-03-10T12:25:07"/>
    <x v="2"/>
    <n v="0"/>
    <n v="50"/>
    <n v="283"/>
    <n v="333"/>
    <n v="161"/>
    <n v="693"/>
    <n v="4504"/>
    <n v="4"/>
    <n v="5"/>
    <n v="5"/>
    <s v="Clear and specific question about NumPy indexing."/>
    <s v="Could provide more context on the audience's familiarity with NumPy."/>
    <s v="Accurate, clear, and comprehensive explanation of NumPy indexing."/>
    <s v="None identified."/>
    <s v="Jelaskan mengapa kita menggunakan 0 dan 8 untuk mengekstrak kolom ke-1 hingga ke-7 dalam NumPy, bukan 1 dan 7."/>
    <s v="None needed; response is already strong."/>
    <s v="excellent"/>
    <b v="0"/>
    <s v="gpt-4o-mini"/>
    <s v="{&quot;prompt_score&quot;: 4, &quot;response_score&quot;: 5, &quot;overall_score&quot;: 5, &quot;prompt_strengths&quot;: &quot;Clear and specific question about NumPy indexing.&quot;, &quot;prompt_issues&quot;: &quot;Could provide more context on the audience's familiarity with NumPy.&quot;, &quot;response_strengths&quot;: &quot;Accurate, clear, and comprehensive explanation of NumPy indexing.&quot;, &quot;response_issues&quot;: &quot;None identified.&quot;, &quot;prompt_rewrite&quot;: &quot;Jelaskan mengapa kita menggunakan 0 dan 8 untuk mengekstrak kolom ke-1 hingga ke-7 dalam NumPy, bukan 1 dan 7.&quot;, &quot;response_improvement_suggestions&quot;: &quot;None needed; response is already strong.&quot;, &quot;verdict&quot;: &quot;excellent&quot;, &quot;needs_human_review&quot;: false}"/>
    <s v="ok"/>
    <n v="5"/>
  </r>
  <r>
    <x v="50"/>
    <s v="[MODE:summary]_x000a_pada bagian ## DO NOT CHANGE THE CODE ##_x000a_cat_pipeline = Pipeline([_x000a_    (&quot;imputer&quot;, SimpleImputer(strategy=&quot;most_frequent&quot;)),_x000a_    (&quot;encoder&quot;, OneHotEncoder(handle_unknown=&quot;ignore&quot;))_x000a_]), dan  ## DO NOT CHANGE THE CODE ##_x000a_preprocessor = ColumnTransformer([_x000a_    (&quot;num&quot;, num_pipeline, num_cols),_x000a_    (&quot;cat&quot;, cat_pipeline, cat_cols)_x000a_]) sedikit berbeda dengan syntax yang kamu berikan, apakah itu mempengaruhi syntax kode yang sama minta, ataukah sama saja"/>
    <s v="done"/>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d v="2026-03-03T12:05:45"/>
    <x v="6"/>
    <n v="0"/>
    <n v="114"/>
    <n v="139"/>
    <n v="253"/>
    <n v="464"/>
    <n v="539"/>
    <n v="4588"/>
    <n v="4"/>
    <n v="5"/>
    <n v="4"/>
    <s v="Clear context and specific question."/>
    <s v="Could be more concise."/>
    <s v="Accurate, relevant, and comprehensive explanation."/>
    <s v="Could be slightly clearer in structure."/>
    <s v="Apakah perbedaan syntax pada cat_pipeline dan preprocessor mempengaruhi kode yang sama?"/>
    <s v="Consider breaking down the explanation into clearer steps."/>
    <s v="good"/>
    <b v="0"/>
    <s v="gpt-4o-mini"/>
    <s v="{&quot;prompt_score&quot;: 4, &quot;response_score&quot;: 5, &quot;overall_score&quot;: 4, &quot;prompt_strengths&quot;: &quot;Clear context and specific question.&quot;, &quot;prompt_issues&quot;: &quot;Could be more concise.&quot;, &quot;response_strengths&quot;: &quot;Accurate, relevant, and comprehensive explanation.&quot;, &quot;response_issues&quot;: &quot;Could be slightly clearer in structure.&quot;, &quot;prompt_rewrite&quot;: &quot;Apakah perbedaan syntax pada cat_pipeline dan preprocessor mempengaruhi kode yang sama?&quot;, &quot;response_improvement_suggestions&quot;: &quot;Consider breaking down the explanation into clearer steps.&quot;, &quot;verdict&quot;: &quot;good&quot;, &quot;needs_human_review&quot;: false}"/>
    <s v="ok"/>
    <n v="4"/>
  </r>
  <r>
    <x v="50"/>
    <s v="[MODE:summary_code_explanation]_x000a_kode nya error dikatakan bahwa 'GridSearchCV' object has no attribute 'best_score', tolong dijelaskan dan berikan perbaikan pada syntax nya"/>
    <s v="done"/>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d v="2026-02-24T13:28:23"/>
    <x v="1"/>
    <n v="0"/>
    <n v="43"/>
    <n v="271"/>
    <n v="314"/>
    <n v="171"/>
    <n v="948"/>
    <n v="4660"/>
    <n v="4"/>
    <n v="5"/>
    <n v="5"/>
    <s v="Clear and specific about the error and request for explanation."/>
    <s v="Could provide more context about the code or dataset."/>
    <s v="Accurate, detailed explanation with code example and troubleshooting steps."/>
    <s v="None significant; very comprehensive."/>
    <s v="Jelaskan error 'GridSearchCV' object has no attribute 'best_score' dan berikan perbaikan pada syntax serta konteks penggunaan."/>
    <s v="Consider adding a brief explanation of what GridSearchCV does for clarity."/>
    <s v="excellent"/>
    <b v="0"/>
    <s v="gpt-4o-mini"/>
    <s v="{&quot;prompt_score&quot;: 4, &quot;response_score&quot;: 5, &quot;overall_score&quot;: 5, &quot;prompt_strengths&quot;: &quot;Clear and specific about the error and request for explanation.&quot;, &quot;prompt_issues&quot;: &quot;Could provide more context about the code or dataset.&quot;, &quot;response_strengths&quot;: &quot;Accurate, detailed explanation with code example and troubleshooting steps.&quot;, &quot;response_issues&quot;: &quot;None significant; very comprehensive.&quot;, &quot;prompt_rewrite&quot;: &quot;Jelaskan error 'GridSearchCV' object has no attribute 'best_score' dan berikan perbaikan pada syntax serta konteks penggunaan.&quot;, &quot;response_improvement_suggestions&quot;: &quot;Consider adding a brief explanation of what GridSearchCV does for clarity.&quot;, &quot;verdict&quot;: &quot;excellent&quot;, &quot;needs_human_review&quot;: false}"/>
    <s v="ok"/>
    <n v="5"/>
  </r>
  <r>
    <x v="50"/>
    <s v="[MODE:code]_x000a_from sklearn.model_selection import LeaveOneOut_x000a_Buatlah variabel loocv dari kelas LeaveOneOut._x000a_##### Your Code Here #####_x000a_loocv =_x000a_Buatlah model yang merupakan model LogisticRegression dengan parameter solver adalah liblinear._x000a_##### Your Code Here #####_x000a_model =_x000a_Gunakan method cross_val_score dengan parameter sbb:_x000a_model,_x000a_X,_x000a_y, dan_x000a_parameter cv yang bernilai loocv._x000a_Simpan hasil cross_val_score dalam variabel results._x000a_##### Your Code Here #####_x000a_results =_x000a_Cetaklah hasil cross-validation sbb:_x000a_Accuracy: &lt;Nilai Rata-Rata&gt;% (&lt;Nilai Simpangan Baku&gt;%)_x000a_Harapannya nilai akurasi 76 %_x000a_Hint: Gunakan method masing-masing mean dan std untuk rata-rata dan simpangan baku._x000a_##### Your Code Here #####"/>
    <s v="done"/>
    <s v="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
    <s v="```python_x000a_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_x000a_```"/>
    <d v="2026-03-10T12:16:53"/>
    <x v="2"/>
    <n v="0"/>
    <n v="178"/>
    <n v="88"/>
    <n v="266"/>
    <n v="699"/>
    <n v="356"/>
    <n v="4820"/>
    <n v="4"/>
    <n v="5"/>
    <n v="5"/>
    <s v="Clear instructions with specific tasks."/>
    <s v="Could benefit from clearer formatting for code sections."/>
    <s v="Correct implementation of the prompt requirements."/>
    <s v="None identified; response is complete and clear."/>
    <s v="Buatlah variabel loocv dari kelas LeaveOneOut. Kemudian, buatlah model LogisticRegression dengan parameter solver adalah 'liblinear'. Gunakan method cross_val_score untuk menghitung akurasi dan simpangan baku, lalu cetak hasilnya dalam format: Accuracy: &lt;Nilai Rata-Rata&gt;% (&lt;Nilai Simpangan Baku&gt;%)"/>
    <s v="None; the response meets all requirements effectively."/>
    <s v="excellent"/>
    <b v="0"/>
    <s v="gpt-4o-mini"/>
    <s v="{&quot;prompt_score&quot;: 4, &quot;response_score&quot;: 5, &quot;overall_score&quot;: 5, &quot;prompt_strengths&quot;: &quot;Clear instructions with specific tasks.&quot;, &quot;prompt_issues&quot;: &quot;Could benefit from clearer formatting for code sections.&quot;, &quot;response_strengths&quot;: &quot;Correct implementation of the prompt requirements.&quot;, &quot;response_issues&quot;: &quot;None identified; response is complete and clear.&quot;, &quot;prompt_rewrite&quot;: &quot;Buatlah variabel loocv dari kelas LeaveOneOut. Kemudian, buatlah model LogisticRegression dengan parameter solver adalah 'liblinear'. Gunakan method cross_val_score untuk menghitung akurasi dan simpangan baku, lalu cetak hasilnya dalam format: Accuracy: &lt;Nilai Rata-Rata&gt;% (&lt;Nilai Simpangan Baku&gt;%)&quot;, &quot;response_improvement_suggestions&quot;: &quot;None; the response meets all requirements effectively.&quot;, &quot;verdict&quot;: &quot;excellent&quot;, &quot;needs_human_review&quot;: false}"/>
    <s v="ok"/>
    <n v="5"/>
  </r>
  <r>
    <x v="51"/>
    <s v="[MODE:summary_code_explanation]_x000a_I want to apply fix to the histogram, how can I compare between 2 features with the histogram plot rather than showing the counts for each bin of a single feature?"/>
    <s v="done"/>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             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             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d v="2026-04-14T10:50:28"/>
    <x v="3"/>
    <n v="0"/>
    <n v="42"/>
    <n v="333"/>
    <n v="375"/>
    <n v="195"/>
    <n v="1381"/>
    <n v="2292"/>
    <n v="4"/>
    <n v="5"/>
    <n v="5"/>
    <s v="Clear and specific about comparing features."/>
    <s v="Could provide more context on the dataset."/>
    <s v="Highly relevant, correct, and complete with clear code examples."/>
    <s v="Could be slightly more concise."/>
    <s v="How can I compare the distributions of two features using a histogram plot in Python?"/>
    <s v="Consider summarizing the explanation to enhance conciseness."/>
    <s v="excellent"/>
    <b v="0"/>
    <s v="gpt-4o-mini"/>
    <s v="{&quot;prompt_score&quot;: 4, &quot;response_score&quot;: 5, &quot;overall_score&quot;: 5, &quot;prompt_strengths&quot;: &quot;Clear and specific about comparing features.&quot;, &quot;prompt_issues&quot;: &quot;Could provide more context on the dataset.&quot;, &quot;response_strengths&quot;: &quot;Highly relevant, correct, and complete with clear code examples.&quot;, &quot;response_issues&quot;: &quot;Could be slightly more concise.&quot;, &quot;prompt_rewrite&quot;: &quot;How can I compare the distributions of two features using a histogram plot in Python?&quot;, &quot;response_improvement_suggestions&quot;: &quot;Consider summarizing the explanation to enhance conciseness.&quot;, &quot;verdict&quot;: &quot;excellent&quot;, &quot;needs_human_review&quot;: false}"/>
    <s v="ok"/>
    <n v="5"/>
  </r>
  <r>
    <x v="51"/>
    <s v="[MODE:summary]_x000a_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
    <s v="done"/>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d v="2026-03-10T12:37:49"/>
    <x v="2"/>
    <n v="0"/>
    <n v="97"/>
    <n v="134"/>
    <n v="231"/>
    <n v="451"/>
    <n v="712"/>
    <n v="3181"/>
    <n v="4"/>
    <n v="5"/>
    <n v="4"/>
    <s v="Clear context and specific data features mentioned."/>
    <s v="Could provide more explicit questions or constraints."/>
    <s v="Accurate, detailed explanation of statistical concepts."/>
    <s v="Could include examples or visual aids for better understanding."/>
    <s v="[MODE:summary] Analyze the diabetes dataset with features: Pregnancies, Glucose, BloodPressure, SkinThickness, Insulin, BMI, DiabetesPedigreeFunction, Age, and Outcome. Explain the implications of Glucose having the highest mean and Insulin having the highest standard deviation on data variance and distribution. Include any relevant statistical considerations."/>
    <s v="Add examples or visual aids to illustrate the concepts discussed."/>
    <s v="good"/>
    <b v="0"/>
    <s v="gpt-4o-mini"/>
    <s v="{&quot;prompt_score&quot;: 4, &quot;response_score&quot;: 5, &quot;overall_score&quot;: 4, &quot;prompt_strengths&quot;: &quot;Clear context and specific data features mentioned.&quot;, &quot;prompt_issues&quot;: &quot;Could provide more explicit questions or constraints.&quot;, &quot;response_strengths&quot;: &quot;Accurate, detailed explanation of statistical concepts.&quot;, &quot;response_issues&quot;: &quot;Could include examples or visual aids for better understanding.&quot;, &quot;prompt_rewrite&quot;: &quot;[MODE:summary] Analyze the diabetes dataset with features: Pregnancies, Glucose, BloodPressure, SkinThickness, Insulin, BMI, DiabetesPedigreeFunction, Age, and Outcome. Explain the implications of Glucose having the highest mean and Insulin having the highest standard deviation on data variance and distribution. Include any relevant statistical considerations.&quot;, &quot;response_improvement_suggestions&quot;: &quot;Add examples or visual aids to illustrate the concepts discussed.&quot;, &quot;verdict&quot;: &quot;good&quot;, &quot;needs_human_review&quot;: false}"/>
    <s v="ok"/>
    <n v="4"/>
  </r>
  <r>
    <x v="51"/>
    <s v="[MODE:summary_code_explanation]_x000a_The rest of the ROC graph looks similar between logisticregression and randomforest, so from this, what can I determine about the performance comparison between logisticregression(sgd) and randomforest?"/>
    <s v="done"/>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    aucs, aps = [], []_x000a_    for tr, te in cv.split(X, y):_x000a_        m = clone(estimator).fit(X[tr], y[tr])_x000a_        # use predict_proba if available, else decision_function_x000a_        if hasattr(m, &quot;predict_proba&quot;):_x000a_            s = m.predict_proba(X[te])[:, 1]_x000a_        else:_x000a_            s = m.decision_function(X[te])_x000a_        aucs.append(roc_auc_score(y[te], s))_x000a_        aps.append(average_precision_score(y[te], s))_x000a_    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 Logistic/SGD: faster, simpler, more interpretable, often better-calibrated probabilities (especially with regularization).  _x000a_  -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    aucs, aps = [], []_x000a_    for tr, te in cv.split(X, y):_x000a_        m = clone(estimator).fit(X[tr], y[tr])_x000a_        # use predict_proba if available, else decision_function_x000a_        if hasattr(m, &quot;predict_proba&quot;):_x000a_            s = m.predict_proba(X[te])[:, 1]_x000a_        else:_x000a_            s = m.decision_function(X[te])_x000a_        aucs.append(roc_auc_score(y[te], s))_x000a_        aps.append(average_precision_score(y[te], s))_x000a_    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 Logistic/SGD: faster, simpler, more interpretable, often better-calibrated probabilities (especially with regularization).  _x000a_  -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d v="2026-03-17T12:33:56"/>
    <x v="4"/>
    <n v="0"/>
    <n v="47"/>
    <n v="738"/>
    <n v="785"/>
    <n v="234"/>
    <n v="2922"/>
    <n v="3641"/>
    <n v="4"/>
    <n v="5"/>
    <n v="5"/>
    <s v="Clear and specific about the models and comparison needed."/>
    <s v="Could provide more context on the dataset or specific metrics of interest."/>
    <s v="Highly relevant, correct, and comprehensive with clear explanations and practical code examples."/>
    <s v="Could be slightly more concise in some explanations."/>
    <s v="[MODE:summary_code_explanation] Given the ROC curves for LogisticRegression(SGD) and RandomForest are similar, how should I compare their performance? Please consider specific metrics and practical implications."/>
    <s v="Consider summarizing key points more concisely to enhance readability."/>
    <s v="excellent"/>
    <b v="0"/>
    <s v="gpt-4o-mini"/>
    <s v="{&quot;prompt_score&quot;: 4, &quot;response_score&quot;: 5, &quot;overall_score&quot;: 5, &quot;prompt_strengths&quot;: &quot;Clear and specific about the models and comparison needed.&quot;, &quot;prompt_issues&quot;: &quot;Could provide more context on the dataset or specific metrics of interest.&quot;, &quot;response_strengths&quot;: &quot;Highly relevant, correct, and comprehensive with clear explanations and practical code examples.&quot;, &quot;response_issues&quot;: &quot;Could be slightly more concise in some explanations.&quot;, &quot;prompt_rewrite&quot;: &quot;[MODE:summary_code_explanation] Given the ROC curves for LogisticRegression(SGD) and RandomForest are similar, how should I compare their performance? Please consider specific metrics and practical implications.&quot;, &quot;response_improvement_suggestions&quot;: &quot;Consider summarizing key points more concisely to enhance readability.&quot;, &quot;verdict&quot;: &quot;excellent&quot;, &quot;needs_human_review&quot;: false}"/>
    <s v="ok"/>
    <n v="5"/>
  </r>
  <r>
    <x v="51"/>
    <s v="[MODE:summary_code_explanation]_x000a_I'm trying to determine the score differences between using SGD and RandomForest. Which part of Random Forest is when the algorithm does the &quot;random&quot; thing? Because from what I can see, the ROC graph of SGD starts from above and RandomForest starts from low."/>
    <s v="done"/>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    n_estimators=300,_x000a_    bootstrap=True,          # bootstrapped samples (random)_x000a_    max_features=&quot;sqrt&quot;,     # random subset of features per split (random)_x000a_    random_state=42,_x000a_    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    n_estimators=300,_x000a_    bootstrap=True,          # bootstrapped samples (random)_x000a_    max_features=&quot;sqrt&quot;,     # random subset of features per split (random)_x000a_    random_state=42,_x000a_    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d v="2026-03-17T12:28:06"/>
    <x v="4"/>
    <n v="0"/>
    <n v="59"/>
    <n v="856"/>
    <n v="915"/>
    <n v="290"/>
    <n v="3587"/>
    <n v="3751"/>
    <n v="4"/>
    <n v="5"/>
    <n v="5"/>
    <s v="Clear and specific about the comparison between SGD and RandomForest."/>
    <s v="Could provide more context on the dataset or specific metrics of interest."/>
    <s v="Thorough explanation of Random Forest's randomness and detailed comparison with SGD, including code example."/>
    <s v="Could briefly summarize key points at the end for clarity."/>
    <s v="Can you explain the differences in scoring between SGD and RandomForest, particularly focusing on the randomness in Random Forest and how it affects ROC curves? Also, what factors might cause the ROC curve of SGD to start higher than that of RandomForest?"/>
    <s v="Add a brief summary of key points at the end to reinforce understanding."/>
    <s v="excellent"/>
    <b v="0"/>
    <s v="gpt-4o-mini"/>
    <s v="{&quot;prompt_score&quot;: 4, &quot;response_score&quot;: 5, &quot;overall_score&quot;: 5, &quot;prompt_strengths&quot;: &quot;Clear and specific about the comparison between SGD and RandomForest.&quot;, &quot;prompt_issues&quot;: &quot;Could provide more context on the dataset or specific metrics of interest.&quot;, &quot;response_strengths&quot;: &quot;Thorough explanation of Random Forest's randomness and detailed comparison with SGD, including code example.&quot;, &quot;response_issues&quot;: &quot;Could briefly summarize key points at the end for clarity.&quot;, &quot;prompt_rewrite&quot;: &quot;Can you explain the differences in scoring between SGD and RandomForest, particularly focusing on the randomness in Random Forest and how it affects ROC curves? Also, what factors might cause the ROC curve of SGD to start higher than that of RandomForest?&quot;, &quot;response_improvement_suggestions&quot;: &quot;Add a brief summary of key points at the end to reinforce understanding.&quot;, &quot;verdict&quot;: &quot;excellent&quot;, &quot;needs_human_review&quot;: false}"/>
    <s v="ok"/>
    <n v="5"/>
  </r>
  <r>
    <x v="51"/>
    <s v="[MODE:summary_code_explanation]_x000a_now I'm making a plot to visualize the correlations between one feature and another. I want to visualize this using the heatmap plot with seaborn again, how can I implement this?"/>
    <s v="done"/>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 `annot=True` prints correlation values in each cell._x000a_  - `cmap=&quot;coolwarm&quot;` highlights negative vs positive correlations._x000a_  - `vmin/vmax` fix the color scale to `[-1, 1]` for consistent interpretation._x000a_- If you only want correlation between a subset of features, compute `df[cols].corr()` instead."/>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 `annot=True` prints correlation values in each cell._x000a_  - `cmap=&quot;coolwarm&quot;` highlights negative vs positive correlations._x000a_  - `vmin/vmax` fix the color scale to `[-1, 1]` for consistent interpretation._x000a_- If you only want correlation between a subset of features, compute `df[cols].corr()` instead."/>
    <d v="2026-04-14T10:43:44"/>
    <x v="3"/>
    <n v="0"/>
    <n v="43"/>
    <n v="245"/>
    <n v="288"/>
    <n v="210"/>
    <n v="988"/>
    <n v="4040"/>
    <n v="4"/>
    <n v="5"/>
    <n v="5"/>
    <s v="Clear and specific request for implementation details."/>
    <s v="Could provide more context on the dataset or features involved."/>
    <s v="Comprehensive, correct, and clearly explained code with annotations."/>
    <s v="None significant; all aspects of the request are addressed."/>
    <s v="How can I implement a heatmap plot using seaborn to visualize correlations between specific features in my dataset?"/>
    <s v="Consider adding a brief explanation of what a heatmap represents for beginners."/>
    <s v="excellent"/>
    <b v="0"/>
    <s v="gpt-4o-mini"/>
    <s v="{&quot;prompt_score&quot;: 4, &quot;response_score&quot;: 5, &quot;overall_score&quot;: 5, &quot;prompt_strengths&quot;: &quot;Clear and specific request for implementation details.&quot;, &quot;prompt_issues&quot;: &quot;Could provide more context on the dataset or features involved.&quot;, &quot;response_strengths&quot;: &quot;Comprehensive, correct, and clearly explained code with annotations.&quot;, &quot;response_issues&quot;: &quot;None significant; all aspects of the request are addressed.&quot;, &quot;prompt_rewrite&quot;: &quot;How can I implement a heatmap plot using seaborn to visualize correlations between specific features in my dataset?&quot;, &quot;response_improvement_suggestions&quot;: &quot;Consider adding a brief explanation of what a heatmap represents for beginners.&quot;, &quot;verdict&quot;: &quot;excellent&quot;, &quot;needs_human_review&quot;: false}"/>
    <s v="ok"/>
    <n v="5"/>
  </r>
  <r>
    <x v="51"/>
    <s v="[MODE:summary_code_explanation]_x000a_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
    <s v="done"/>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    m = y.size_x000a_    error = X @ theta - y_x000a_    return (1 / (2 * m)) * (error @ error)   # scalar_x000a__x000a_def gradient_descent(X, y, theta, eta, num_iters):_x000a_    m = y.size_x000a_    MSE_history = np.zeros(num_iters)_x000a__x000a_    for i in range(num_iters):_x000a_        error = X @ theta - y                      # (m,)_x000a_        grad = (1 / m) * (X.T @ error)             # (n,)_x000a_        theta = theta - eta * grad                 # update_x000a_        MSE_history[i] = compute_cost(X, y, theta) # track cost_x000a__x000a_    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    m = y.size_x000a_    error = X @ theta - y_x000a_    return (1 / (2 * m)) * (error @ error)   # scalar_x000a__x000a_def gradient_descent(X, y, theta, eta, num_iters):_x000a_    m = y.size_x000a_    MSE_history = np.zeros(num_iters)_x000a__x000a_    for i in range(num_iters):_x000a_        error = X @ theta - y                      # (m,)_x000a_        grad = (1 / m) * (X.T @ error)             # (n,)_x000a_        theta = theta - eta * grad                 # update_x000a_        MSE_history[i] = compute_cost(X, y, theta) # track cost_x000a__x000a_    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d v="2026-03-31T12:03:51"/>
    <x v="5"/>
    <n v="0"/>
    <n v="165"/>
    <n v="356"/>
    <n v="521"/>
    <n v="740"/>
    <n v="1279"/>
    <n v="4187"/>
    <n v="4"/>
    <n v="5"/>
    <n v="5"/>
    <s v="Clear context and specific request for code improvement."/>
    <s v="Could provide more details on the expected output format."/>
    <s v="Thorough explanation with correct code modifications and clear reasoning."/>
    <s v="None significant; all aspects of the request were addressed."/>
    <s v="I'm working on a Jupyter notebook for training machine learning models. I need help improving the `gradient_descent` function in Python to ensure it correctly updates `theta` and tracks the cost. The current implementation is incomplete. What specific changes should I make?"/>
    <s v="Consider adding examples of how to use the functions or test cases to validate the implementation."/>
    <s v="excellent"/>
    <b v="0"/>
    <s v="gpt-4o-mini"/>
    <s v="{&quot;prompt_score&quot;: 4, &quot;response_score&quot;: 5, &quot;overall_score&quot;: 5, &quot;prompt_strengths&quot;: &quot;Clear context and specific request for code improvement.&quot;, &quot;prompt_issues&quot;: &quot;Could provide more details on the expected output format.&quot;, &quot;response_strengths&quot;: &quot;Thorough explanation with correct code modifications and clear reasoning.&quot;, &quot;response_issues&quot;: &quot;None significant; all aspects of the request were addressed.&quot;, &quot;prompt_rewrite&quot;: &quot;I'm working on a Jupyter notebook for training machine learning models. I need help improving the `gradient_descent` function in Python to ensure it correctly updates `theta` and tracks the cost. The current implementation is incomplete. What specific changes should I make?&quot;, &quot;response_improvement_suggestions&quot;: &quot;Consider adding examples of how to use the functions or test cases to validate the implementation.&quot;, &quot;verdict&quot;: &quot;excellent&quot;, &quot;needs_human_review&quot;: false}"/>
    <s v="ok"/>
    <n v="5"/>
  </r>
  <r>
    <x v="51"/>
    <s v="[MODE:summary]_x000a_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
    <s v="done"/>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d v="2026-03-17T12:17:48"/>
    <x v="4"/>
    <n v="0"/>
    <n v="78"/>
    <n v="167"/>
    <n v="245"/>
    <n v="367"/>
    <n v="851"/>
    <n v="4245"/>
    <n v="4"/>
    <n v="5"/>
    <n v="5"/>
    <s v="Clear questions about ROC and precision-recall tradeoff."/>
    <s v="Could provide more context on the dataset or model used."/>
    <s v="Accurate, detailed explanation of precision-recall dynamics."/>
    <s v="None significant; very thorough."/>
    <s v="Can you clarify if the precision-recall score is derived from a validation set, and what does a decrease in precision as recall increases indicate in terms of model performance?"/>
    <s v="Consider adding examples or visual aids to enhance understanding."/>
    <s v="excellent"/>
    <b v="0"/>
    <s v="gpt-4o-mini"/>
    <s v="{&quot;prompt_score&quot;: 4, &quot;response_score&quot;: 5, &quot;overall_score&quot;: 5, &quot;prompt_strengths&quot;: &quot;Clear questions about ROC and precision-recall tradeoff.&quot;, &quot;prompt_issues&quot;: &quot;Could provide more context on the dataset or model used.&quot;, &quot;response_strengths&quot;: &quot;Accurate, detailed explanation of precision-recall dynamics.&quot;, &quot;response_issues&quot;: &quot;None significant; very thorough.&quot;, &quot;prompt_rewrite&quot;: &quot;Can you clarify if the precision-recall score is derived from a validation set, and what does a decrease in precision as recall increases indicate in terms of model performance?&quot;, &quot;response_improvement_suggestions&quot;: &quot;Consider adding examples or visual aids to enhance understanding.&quot;, &quot;verdict&quot;: &quot;excellent&quot;, &quot;needs_human_review&quot;: false}"/>
    <s v="ok"/>
    <n v="5"/>
  </r>
  <r>
    <x v="51"/>
    <s v="[MODE:summary_code_explanation]_x000a_I'm currently working on a logistic regression mode but I'm struggling on viewing the score metrics of the model, here's my current code, help me fix it_x000a__x000a_# Tulis jawaban Anda di sini_x000a_X_cat = df[['final_exam_score']]_x000a_y_cat = df[['pass_fail']]_x000a__x000a_X_train, X_test, y_train, y_test = train_test_split(X_cat, y_cat, test_size=0.2, random_state=42)_x000a__x000a_logr = Pipeline([_x000a_    ('model', LogisticRegression())_x000a_])_x000a__x000a_logr.fit(X_train, y_train)_x000a__x000a_y_pred_logr = logr.predict(X_test)_x000a_y_score = logr.predict_proba(X_test)_x000a_# print('Confusion Matrix', confusion_matrix(y_test, y_score))_x000a_# print('Accuracy', accuracy_score(y_test, y_pred))_x000a_# print('Precision', precision_score(y_test, y_pred_logr))"/>
    <s v="done"/>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1D target is preferred_x000a__x000a_X_train, X_test, y_train, y_test = train_test_split(_x000a_    X_cat, y_cat, test_size=0.2, random_state=42, stratify=y_cat_x000a_)_x000a__x000a_logr = Pipeline([_x000a_    ('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1D target is preferred_x000a__x000a_X_train, X_test, y_train, y_test = train_test_split(_x000a_    X_cat, y_cat, test_size=0.2, random_state=42, stratify=y_cat_x000a_)_x000a__x000a_logr = Pipeline([_x000a_    ('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d v="2026-04-14T11:46:26"/>
    <x v="3"/>
    <n v="0"/>
    <n v="188"/>
    <n v="502"/>
    <n v="690"/>
    <n v="705"/>
    <n v="1936"/>
    <n v="4425"/>
    <n v="4"/>
    <n v="5"/>
    <n v="5"/>
    <s v="Clear request for help with specific code issue."/>
    <s v="Minor lack of detail on specific metrics needed."/>
    <s v="Thorough, accurate, and provides clear code corrections."/>
    <s v="None significant; all aspects of the question addressed."/>
    <s v="[MODE:summary_code_explanation] I'm currently working on a logistic regression model and need help with viewing the score metrics. Here's my current code, and I'm particularly struggling with the confusion matrix and accuracy metrics. # Tulis jawaban Anda di sini ..."/>
    <s v="Consider adding more context on the expected output for each metric."/>
    <s v="excellent"/>
    <b v="0"/>
    <s v="gpt-4o-mini"/>
    <s v="{&quot;prompt_score&quot;: 4, &quot;response_score&quot;: 5, &quot;overall_score&quot;: 5, &quot;prompt_strengths&quot;: &quot;Clear request for help with specific code issue.&quot;, &quot;prompt_issues&quot;: &quot;Minor lack of detail on specific metrics needed.&quot;, &quot;response_strengths&quot;: &quot;Thorough, accurate, and provides clear code corrections.&quot;, &quot;response_issues&quot;: &quot;None significant; all aspects of the question addressed.&quot;, &quot;prompt_rewrite&quot;: &quot;[MODE:summary_code_explanation] I'm currently working on a logistic regression model and need help with viewing the score metrics. Here's my current code, and I'm particularly struggling with the confusion matrix and accuracy metrics. # Tulis jawaban Anda di sini ...&quot;, &quot;response_improvement_suggestions&quot;: &quot;Consider adding more context on the expected output for each metric.&quot;, &quot;verdict&quot;: &quot;excellent&quot;, &quot;needs_human_review&quot;: false}"/>
    <s v="ok"/>
    <n v="5"/>
  </r>
  <r>
    <x v="51"/>
    <s v="[MODE:summary_code_explanation]_x000a_I want to print out the roc curve score, but how do I do that? What do I calculate with the three variables I got from the roc_curve function to do so?"/>
    <s v="done"/>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d v="2026-04-14T11:58:39"/>
    <x v="3"/>
    <n v="0"/>
    <n v="44"/>
    <n v="276"/>
    <n v="320"/>
    <n v="183"/>
    <n v="935"/>
    <n v="5001"/>
    <n v="4"/>
    <n v="5"/>
    <n v="5"/>
    <s v="Clear and specific about the task."/>
    <s v="Could provide more context on the variables."/>
    <s v="Accurate, complete, and includes code example."/>
    <s v="None significant."/>
    <s v="How can I calculate and print the ROC AUC score using the outputs from the roc_curve function?"/>
    <s v="None needed; response is comprehensive."/>
    <s v="excellent"/>
    <b v="0"/>
    <s v="gpt-4o-mini"/>
    <s v="{&quot;prompt_score&quot;: 4, &quot;response_score&quot;: 5, &quot;overall_score&quot;: 5, &quot;prompt_strengths&quot;: &quot;Clear and specific about the task.&quot;, &quot;prompt_issues&quot;: &quot;Could provide more context on the variables.&quot;, &quot;response_strengths&quot;: &quot;Accurate, complete, and includes code example.&quot;, &quot;response_issues&quot;: &quot;None significant.&quot;, &quot;prompt_rewrite&quot;: &quot;How can I calculate and print the ROC AUC score using the outputs from the roc_curve function?&quot;, &quot;response_improvement_suggestions&quot;: &quot;None needed; response is comprehensive.&quot;, &quot;verdict&quot;: &quot;excellent&quot;, &quot;needs_human_review&quot;: false}"/>
    <s v="ok"/>
    <n v="5"/>
  </r>
  <r>
    <x v="52"/>
    <s v="[MODE:summary]_x000a_Konteks: Jelaskan konsep [Sifat Fungsi MSE]: Level: pemula Minta: definisi singkat, analogi, contoh nyata, dan kapan konsep ini dipakai."/>
    <s v="done"/>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d v="2026-04-14T09:48:15"/>
    <x v="3"/>
    <n v="0"/>
    <n v="53"/>
    <n v="182"/>
    <n v="235"/>
    <n v="151"/>
    <n v="601"/>
    <n v="180"/>
    <n v="4"/>
    <n v="5"/>
    <n v="5"/>
    <s v="Clear and specific request for a summary."/>
    <s v="Could specify the desired length of the response."/>
    <s v="Accurate, comprehensive, and includes relevant examples."/>
    <s v="None significant."/>
    <s v="[MODE:summary] Konteks: Jelaskan konsep [Sifat Fungsi MSE]: Level: pemula Minta: definisi singkat, analogi, contoh nyata, dan kapan konsep ini dipakai. (Maksimal 150 kata)"/>
    <s v="None needed; response is well-structured."/>
    <s v="excellent"/>
    <b v="0"/>
    <s v="gpt-4o-mini"/>
    <s v="{&quot;prompt_score&quot;: 4, &quot;response_score&quot;: 5, &quot;overall_score&quot;: 5, &quot;prompt_strengths&quot;: &quot;Clear and specific request for a summary.&quot;, &quot;prompt_issues&quot;: &quot;Could specify the desired length of the response.&quot;, &quot;response_strengths&quot;: &quot;Accurate, comprehensive, and includes relevant examples.&quot;, &quot;response_issues&quot;: &quot;None significant.&quot;, &quot;prompt_rewrite&quot;: &quot;[MODE:summary] Konteks: Jelaskan konsep [Sifat Fungsi MSE]: Level: pemula Minta: definisi singkat, analogi, contoh nyata, dan kapan konsep ini dipakai. (Maksimal 150 kata)&quot;, &quot;response_improvement_suggestions&quot;: &quot;None needed; response is well-structured.&quot;, &quot;verdict&quot;: &quot;excellent&quot;, &quot;needs_human_review&quot;: false}"/>
    <s v="ok"/>
    <n v="5"/>
  </r>
  <r>
    <x v="52"/>
    <s v="[MODE:summary]_x000a_Jawab singkat formatnya markdown jangan copy code. Jika ada pipeline.predict(X_test) fungsinya itu untuk prediksi data test? Jelaskaknnya dalam bentuk poin poin saja singkat"/>
    <s v="done"/>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d v="2026-03-10T09:41:48"/>
    <x v="2"/>
    <n v="0"/>
    <n v="53"/>
    <n v="142"/>
    <n v="195"/>
    <n v="188"/>
    <n v="512"/>
    <n v="265"/>
    <n v="4"/>
    <n v="5"/>
    <n v="5"/>
    <s v="Clear and specific request for a summary in markdown format."/>
    <s v="Minor spelling error in 'Jelaskaknnya'."/>
    <s v="Accurate, relevant, and clearly structured response with bullet points."/>
    <s v="None noted."/>
    <s v="[MODE:summary] Jawab singkat dalam format markdown, jangan copy code. Jika ada `pipeline.predict(X_test)`, jelaskan fungsinya untuk prediksi data test dalam bentuk poin-poin saja."/>
    <s v="None needed; response is already comprehensive."/>
    <s v="excellent"/>
    <b v="0"/>
    <s v="gpt-4o-mini"/>
    <s v="{&quot;prompt_score&quot;: 4, &quot;response_score&quot;: 5, &quot;overall_score&quot;: 5, &quot;prompt_strengths&quot;: &quot;Clear and specific request for a summary in markdown format.&quot;, &quot;prompt_issues&quot;: &quot;Minor spelling error in 'Jelaskaknnya'.&quot;, &quot;response_strengths&quot;: &quot;Accurate, relevant, and clearly structured response with bullet points.&quot;, &quot;response_issues&quot;: &quot;None noted.&quot;, &quot;prompt_rewrite&quot;: &quot;[MODE:summary] Jawab singkat dalam format markdown, jangan copy code. Jika ada `pipeline.predict(X_test)`, jelaskan fungsinya untuk prediksi data test dalam bentuk poin-poin saja.&quot;, &quot;response_improvement_suggestions&quot;: &quot;None needed; response is already comprehensive.&quot;, &quot;verdict&quot;: &quot;excellent&quot;, &quot;needs_human_review&quot;: false}"/>
    <s v="ok"/>
    <n v="5"/>
  </r>
  <r>
    <x v="52"/>
    <s v="[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d v="2026-03-10T12:14:23"/>
    <x v="2"/>
    <n v="0"/>
    <n v="145"/>
    <n v="196"/>
    <n v="341"/>
    <n v="492"/>
    <n v="610"/>
    <n v="313"/>
    <n v="3"/>
    <n v="5"/>
    <n v="4"/>
    <s v="Addresses a specific question about feature correlation and multicollinearity."/>
    <s v="Lacks clarity and structure; could be more concise."/>
    <s v="Provides relevant examples, clear implications, and actionable solutions."/>
    <s v="Could include more detailed explanations of multicollinearity effects."/>
    <s v="Jelaskan pasangan fitur dengan korelasi tinggi dan implikasinya terhadap model machine learning, terutama terkait multicollinearity."/>
    <s v="Expand on the implications of multicollinearity with examples or scenarios."/>
    <s v="good"/>
    <b v="0"/>
    <s v="gpt-4o-mini"/>
    <s v="{&quot;prompt_score&quot;: 3, &quot;response_score&quot;: 5, &quot;overall_score&quot;: 4, &quot;prompt_strengths&quot;: &quot;Addresses a specific question about feature correlation and multicollinearity.&quot;, &quot;prompt_issues&quot;: &quot;Lacks clarity and structure; could be more concise.&quot;, &quot;response_strengths&quot;: &quot;Provides relevant examples, clear implications, and actionable solutions.&quot;, &quot;response_issues&quot;: &quot;Could include more detailed explanations of multicollinearity effects.&quot;, &quot;prompt_rewrite&quot;: &quot;Jelaskan pasangan fitur dengan korelasi tinggi dan implikasinya terhadap model machine learning, terutama terkait multicollinearity.&quot;, &quot;response_improvement_suggestions&quot;: &quot;Expand on the implications of multicollinearity with examples or scenarios.&quot;, &quot;verdict&quot;: &quot;good&quot;, &quot;needs_human_review&quot;: false}"/>
    <s v="ok"/>
    <n v="4"/>
  </r>
  <r>
    <x v="52"/>
    <s v="[MODE:summary_code_explanation]_x000a_from sklearn.metrics import precision_score_x000a_from sklearn.metrics import recall_score_x000a__x000a_Gimana cara print hasil hitung preivison dan recall dari classifier"/>
    <s v="done"/>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d v="2026-03-17T12:16:09"/>
    <x v="4"/>
    <n v="0"/>
    <n v="37"/>
    <n v="140"/>
    <n v="177"/>
    <n v="185"/>
    <n v="478"/>
    <n v="400"/>
    <n v="4"/>
    <n v="5"/>
    <n v="5"/>
    <s v="Clear request for code explanation and output."/>
    <s v="Minor spelling error in 'preivison'."/>
    <s v="Accurate, complete, and clear explanation with code example."/>
    <s v="None."/>
    <s v="[MODE:summary_code_explanation] from sklearn.metrics import precision_score from sklearn.metrics import recall_score Gimana cara print hasil hitung precision dan recall dari classifier?"/>
    <s v="None needed; response is already excellent."/>
    <s v="excellent"/>
    <b v="0"/>
    <s v="gpt-4o-mini"/>
    <s v="{&quot;prompt_score&quot;: 4, &quot;response_score&quot;: 5, &quot;overall_score&quot;: 5, &quot;prompt_strengths&quot;: &quot;Clear request for code explanation and output.&quot;, &quot;prompt_issues&quot;: &quot;Minor spelling error in 'preivison'.&quot;, &quot;response_strengths&quot;: &quot;Accurate, complete, and clear explanation with code example.&quot;, &quot;response_issues&quot;: &quot;None.&quot;, &quot;prompt_rewrite&quot;: &quot;[MODE:summary_code_explanation] from sklearn.metrics import precision_score from sklearn.metrics import recall_score Gimana cara print hasil hitung precision dan recall dari classifier?&quot;, &quot;response_improvement_suggestions&quot;: &quot;None needed; response is already excellent.&quot;, &quot;verdict&quot;: &quot;excellent&quot;, &quot;needs_human_review&quot;: false}"/>
    <s v="ok"/>
    <n v="5"/>
  </r>
  <r>
    <x v="52"/>
    <s v="[MODE:summary]_x000a_Konteks: Jelaskan konsep [Gradient Descent bekerja dengan_x000a_]: Level: pemula Minta: definisi singkat, analogi, contoh nyata, dan kapan konsep ini dipakai. Intisari 1 kalimat."/>
    <s v="done"/>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d v="2026-04-14T09:55:28"/>
    <x v="3"/>
    <n v="0"/>
    <n v="61"/>
    <n v="90"/>
    <n v="151"/>
    <n v="187"/>
    <n v="343"/>
    <n v="809"/>
    <n v="4"/>
    <n v="5"/>
    <n v="5"/>
    <s v="Clear and specific request for explanation."/>
    <s v="Could specify the desired length for the summary."/>
    <s v="Accurate, concise, and includes relevant examples."/>
    <s v="None significant; could elaborate slightly on real-world applications."/>
    <s v="[MODE:summary] Konteks: Jelaskan konsep [Gradient Descent bekerja dengan ]: Level: pemula Minta: definisi singkat, analogi, contoh nyata, dan kapan konsep ini dipakai. Intisari 1 kalimat, maksimal 50 kata."/>
    <s v="Consider adding more examples of real-world applications."/>
    <s v="excellent"/>
    <b v="0"/>
    <s v="gpt-4o-mini"/>
    <s v="{&quot;prompt_score&quot;: 4, &quot;response_score&quot;: 5, &quot;overall_score&quot;: 5, &quot;prompt_strengths&quot;: &quot;Clear and specific request for explanation.&quot;, &quot;prompt_issues&quot;: &quot;Could specify the desired length for the summary.&quot;, &quot;response_strengths&quot;: &quot;Accurate, concise, and includes relevant examples.&quot;, &quot;response_issues&quot;: &quot;None significant; could elaborate slightly on real-world applications.&quot;, &quot;prompt_rewrite&quot;: &quot;[MODE:summary] Konteks: Jelaskan konsep [Gradient Descent bekerja dengan ]: Level: pemula Minta: definisi singkat, analogi, contoh nyata, dan kapan konsep ini dipakai. Intisari 1 kalimat, maksimal 50 kata.&quot;, &quot;response_improvement_suggestions&quot;: &quot;Consider adding more examples of real-world applications.&quot;, &quot;verdict&quot;: &quot;excellent&quot;, &quot;needs_human_review&quot;: false}"/>
    <s v="ok"/>
    <n v="5"/>
  </r>
  <r>
    <x v="52"/>
    <s v="[MODE:summary]_x000a_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done"/>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  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  (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  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  (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d v="2026-02-24T13:15:38"/>
    <x v="1"/>
    <n v="0"/>
    <n v="696"/>
    <n v="841"/>
    <n v="1537"/>
    <n v="2419"/>
    <n v="2928"/>
    <n v="1746"/>
    <n v="4"/>
    <n v="5"/>
    <n v="4"/>
    <s v="Detailed explanation of ClusterSimilarity and its functions."/>
    <s v="Could be more concise; some sections are overly technical."/>
    <s v="Clear, relevant, and comprehensive explanation of the additional functions."/>
    <s v="Could include more examples for better understanding."/>
    <s v="Explain the ClusterSimilarity class and its functions, focusing on clarity and conciseness."/>
    <s v="Add more intuitive examples to illustrate the functions' applications."/>
    <s v="good"/>
    <b v="0"/>
    <s v="gpt-4o-mini"/>
    <s v="{&quot;prompt_score&quot;: 4, &quot;response_score&quot;: 5, &quot;overall_score&quot;: 4, &quot;prompt_strengths&quot;: &quot;Detailed explanation of ClusterSimilarity and its functions.&quot;, &quot;prompt_issues&quot;: &quot;Could be more concise; some sections are overly technical.&quot;, &quot;response_strengths&quot;: &quot;Clear, relevant, and comprehensive explanation of the additional functions.&quot;, &quot;response_issues&quot;: &quot;Could include more examples for better understanding.&quot;, &quot;prompt_rewrite&quot;: &quot;Explain the ClusterSimilarity class and its functions, focusing on clarity and conciseness.&quot;, &quot;response_improvement_suggestions&quot;: &quot;Add more intuitive examples to illustrate the functions' applications.&quot;, &quot;verdict&quot;: &quot;good&quot;, &quot;needs_human_review&quot;: false}"/>
    <s v="ok"/>
    <n v="4"/>
  </r>
  <r>
    <x v="52"/>
    <s v="[LANG:Python]_x000a_[MODE:code]_x000a_Konteks: Saya butuh implementasi kode berikut :_x000a_1.Tampilkan statistik deskriptif untuk kolom numerik._x000a_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_x000a__x000a_3. Buat heatmap korelasi untuk fitur numerik._x000a_Output: Codeblock setiap kode pisahkan dengan comment saja_x000a_Library yang digunakan : pandas,numpy,matplotlib, seaborn, sklearn"/>
    <s v="done"/>
    <s v="#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    &quot;student_id&quot;,&quot;gender&quot;,&quot;age&quot;,&quot;parental_education&quot;,&quot;family_income&quot;,&quot;internet_access&quot;,_x000a_    &quot;study_environment&quot;,&quot;study_hours_per_day&quot;,&quot;attendance_rate&quot;,&quot;sleep_hours&quot;,&quot;social_media_hours&quot;,_x000a_    &quot;assignment_completion_rate&quot;,&quot;participation_score&quot;,&quot;online_courses_completed&quot;,&quot;tutoring&quot;,_x000a_    &quot;math_score&quot;,&quot;reading_score&quot;,&quot;writing_score&quot;,&quot;science_score&quot;,&quot;final_exam_score&quot;,_x000a_    &quot;previous_gpa&quot;,&quot;pass_fail&quot;,&quot;grade_category&quot;_x000a_]_x000a__x000a_numeric_features = [c for c in feature_list if c in df.columns and pd.api.types.is_numeric_dtype(df[c])]_x000a__x000a_if len(numeric_features) == 0:_x000a_    print(&quot;Tidak ada fitur numerik dari list yang ditemukan di df.&quot;)_x000a_else:_x000a_    ncols = 4_x000a_    nrows = int(np.ceil(len(numeric_features) / ncols))_x000a_    fig, axes = plt.subplots(nrows=nrows, ncols=ncols, figsize=(5*ncols, 4*nrows))_x000a_    axes = np.array(axes).reshape(-1)_x000a__x000a_    for i, col in enumerate(numeric_features):_x000a_        ax = axes[i]_x000a_        sns.histplot(df[col].dropna(), kde=True, bins=30, ax=ax)_x000a_        ax.set_title(f&quot;Distribusi: {col}&quot;)_x000a_        ax.set_xlabel(col)_x000a_        ax.set_ylabel(&quot;Count&quot;)_x000a__x000a_    for j in range(i + 1, len(axes)):_x000a_        axes[j].axis(&quot;off&quot;)_x000a__x000a_    plt.tight_layout()_x000a_    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s v="```python_x000a_#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    &quot;student_id&quot;,&quot;gender&quot;,&quot;age&quot;,&quot;parental_education&quot;,&quot;family_income&quot;,&quot;internet_access&quot;,_x000a_    &quot;study_environment&quot;,&quot;study_hours_per_day&quot;,&quot;attendance_rate&quot;,&quot;sleep_hours&quot;,&quot;social_media_hours&quot;,_x000a_    &quot;assignment_completion_rate&quot;,&quot;participation_score&quot;,&quot;online_courses_completed&quot;,&quot;tutoring&quot;,_x000a_    &quot;math_score&quot;,&quot;reading_score&quot;,&quot;writing_score&quot;,&quot;science_score&quot;,&quot;final_exam_score&quot;,_x000a_    &quot;previous_gpa&quot;,&quot;pass_fail&quot;,&quot;grade_category&quot;_x000a_]_x000a__x000a_numeric_features = [c for c in feature_list if c in df.columns and pd.api.types.is_numeric_dtype(df[c])]_x000a__x000a_if len(numeric_features) == 0:_x000a_    print(&quot;Tidak ada fitur numerik dari list yang ditemukan di df.&quot;)_x000a_else:_x000a_    ncols = 4_x000a_    nrows = int(np.ceil(len(numeric_features) / ncols))_x000a_    fig, axes = plt.subplots(nrows=nrows, ncols=ncols, figsize=(5*ncols, 4*nrows))_x000a_    axes = np.array(axes).reshape(-1)_x000a__x000a_    for i, col in enumerate(numeric_features):_x000a_        ax = axes[i]_x000a_        sns.histplot(df[col].dropna(), kde=True, bins=30, ax=ax)_x000a_        ax.set_title(f&quot;Distribusi: {col}&quot;)_x000a_        ax.set_xlabel(col)_x000a_        ax.set_ylabel(&quot;Count&quot;)_x000a__x000a_    for j in range(i + 1, len(axes)):_x000a_        axes[j].axis(&quot;off&quot;)_x000a__x000a_    plt.tight_layout()_x000a_    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_x000a_```"/>
    <d v="2026-04-14T10:43:25"/>
    <x v="3"/>
    <n v="0"/>
    <n v="182"/>
    <n v="507"/>
    <n v="689"/>
    <n v="750"/>
    <n v="1844"/>
    <n v="2199"/>
    <n v="4"/>
    <n v="5"/>
    <n v="5"/>
    <s v="Clear and specific requirements."/>
    <s v="Could specify the expected format of the output more clearly."/>
    <s v="Correct implementation with clear code structure and comments."/>
    <s v="None significant; all requirements addressed."/>
    <s v="Implement the following code in Python: 1. Display descriptive statistics for numeric columns. 2. Visualize the distribution of the following numeric features from the dataset 'df':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3. Create a heatmap of correlations for numeric features. Use libraries: pandas, numpy, matplotlib, seaborn, sklearn. Please separate each code block with comments."/>
    <s v="Consider adding more comments to explain the logic behind each step."/>
    <s v="excellent"/>
    <b v="0"/>
    <s v="gpt-4o-mini"/>
    <s v="{&quot;prompt_score&quot;: 4, &quot;response_score&quot;: 5, &quot;overall_score&quot;: 5, &quot;prompt_strengths&quot;: &quot;Clear and specific requirements.&quot;, &quot;prompt_issues&quot;: &quot;Could specify the expected format of the output more clearly.&quot;, &quot;response_strengths&quot;: &quot;Correct implementation with clear code structure and comments.&quot;, &quot;response_issues&quot;: &quot;None significant; all requirements addressed.&quot;, &quot;prompt_rewrite&quot;: &quot;Implement the following code in Python: 1. Display descriptive statistics for numeric columns. 2. Visualize the distribution of the following numeric features from the dataset 'df':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3. Create a heatmap of correlations for numeric features. Use libraries: pandas, numpy, matplotlib, seaborn, sklearn. Please separate each code block with comments.&quot;, &quot;response_improvement_suggestions&quot;: &quot;Consider adding more comments to explain the logic behind each step.&quot;, &quot;verdict&quot;: &quot;excellent&quot;, &quot;needs_human_review&quot;: false}"/>
    <s v="ok"/>
    <n v="5"/>
  </r>
  <r>
    <x v="52"/>
    <s v="[MODE:summary]_x000a_Konteks: Jelaskan konsep [Fungsi hipotesis terhadap linear regression ] untuk mahasiswa. Level: Pemuka Minta: definisi singkat, analogi, contoh sederhana, apakah pertanyatan benar_x000a__x000a_Konteks: Jelaskan konsep [Fungsi hipotesis terhadap linear regression ] untuk mahasiswa. Level: Pemuka Minta: definisi singkat, analogi, contoh sederhana, apakah pertanyatan benar_x000a__x000a_Jawb juga singkat_x000a_[Decision boundary itu rumusnya y atau θ]"/>
    <s v="done"/>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d v="2026-04-14T10:07:03"/>
    <x v="3"/>
    <n v="0"/>
    <n v="136"/>
    <n v="220"/>
    <n v="356"/>
    <n v="436"/>
    <n v="661"/>
    <n v="2713"/>
    <n v="3"/>
    <n v="4"/>
    <n v="4"/>
    <s v="Provides context and specific requests."/>
    <s v="Repetitive structure and unclear phrasing."/>
    <s v="Clear explanation with relevant analogy and example."/>
    <s v="Could be more concise and structured."/>
    <s v="Jelaskan konsep Fungsi hipotesis dalam linear regression untuk mahasiswa pemula, termasuk definisi singkat, analogi, contoh sederhana, dan penjelasan tentang decision boundary."/>
    <s v="Make the response more concise and clearly structured with bullet points for better readability."/>
    <s v="good"/>
    <b v="0"/>
    <s v="gpt-4o-mini"/>
    <s v="{&quot;prompt_score&quot;: 3, &quot;response_score&quot;: 4, &quot;overall_score&quot;: 4, &quot;prompt_strengths&quot;: &quot;Provides context and specific requests.&quot;, &quot;prompt_issues&quot;: &quot;Repetitive structure and unclear phrasing.&quot;, &quot;response_strengths&quot;: &quot;Clear explanation with relevant analogy and example.&quot;, &quot;response_issues&quot;: &quot;Could be more concise and structured.&quot;, &quot;prompt_rewrite&quot;: &quot;Jelaskan konsep Fungsi hipotesis dalam linear regression untuk mahasiswa pemula, termasuk definisi singkat, analogi, contoh sederhana, dan penjelasan tentang decision boundary.&quot;, &quot;response_improvement_suggestions&quot;: &quot;Make the response more concise and clearly structured with bullet points for better readability.&quot;, &quot;verdict&quot;: &quot;good&quot;, &quot;needs_human_review&quot;: false}"/>
    <s v="ok"/>
    <n v="4"/>
  </r>
  <r>
    <x v="52"/>
    <s v="[MODE:summary]_x000a_Konteks: Jelaskan konsep [λ besar pada Ridge menyebabkan _x000a_]: Level: pemula Minta: definisi singkat, analogi, contoh nyata, dan kapan konsep ini dipakai."/>
    <s v="done"/>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d v="2026-04-14T09:49:20"/>
    <x v="3"/>
    <n v="0"/>
    <n v="55"/>
    <n v="205"/>
    <n v="260"/>
    <n v="167"/>
    <n v="677"/>
    <n v="2919"/>
    <n v="4"/>
    <n v="5"/>
    <n v="5"/>
    <s v="Clear and specific request for explanation."/>
    <s v="Could provide more context on the audience's background."/>
    <s v="Accurate, comprehensive, and includes relevant examples."/>
    <s v="Could simplify language for beginners."/>
    <s v="Jelaskan konsep λ besar pada Ridge dalam konteks pemula: definisi singkat, analogi, contoh nyata, dan aplikasi praktis."/>
    <s v="Use simpler language and define technical terms for clarity."/>
    <s v="excellent"/>
    <b v="0"/>
    <s v="gpt-4o-mini"/>
    <s v="{&quot;prompt_score&quot;: 4, &quot;response_score&quot;: 5, &quot;overall_score&quot;: 5, &quot;prompt_strengths&quot;: &quot;Clear and specific request for explanation.&quot;, &quot;prompt_issues&quot;: &quot;Could provide more context on the audience's background.&quot;, &quot;response_strengths&quot;: &quot;Accurate, comprehensive, and includes relevant examples.&quot;, &quot;response_issues&quot;: &quot;Could simplify language for beginners.&quot;, &quot;prompt_rewrite&quot;: &quot;Jelaskan konsep λ besar pada Ridge dalam konteks pemula: definisi singkat, analogi, contoh nyata, dan aplikasi praktis.&quot;, &quot;response_improvement_suggestions&quot;: &quot;Use simpler language and define technical terms for clarity.&quot;, &quot;verdict&quot;: &quot;excellent&quot;, &quot;needs_human_review&quot;: false}"/>
    <s v="ok"/>
    <n v="5"/>
  </r>
  <r>
    <x v="52"/>
    <s v="[MODE:code]_x000a_Null per kolom (housing):_x000a_longitude               0_x000a_latitude                0_x000a_housing_median_age      0_x000a_total_rooms             0_x000a_total_bedrooms        168_x000a_population              0_x000a_households              0_x000a_median_income           0_x000a_ocean_proximity         0_x000a_dtype: int64_x000a__x000a_Null per kolom (housing_labels):_x000a_median_house_value    0_x000a_dtype: int64_x000a__x000a_Total null (housing): 168_x000a_Total null (housing_labels): 0_x000a__x000a_Jumlah baris yang punya null (housing): 168_x000a_Jumlah baris yang punya null (housing_labels): 0_x000a__x000a_Persentase null per kolom (housing):_x000a_longitude             0.00_x000a_latitude              0.00_x000a_housing_median_age    0.00_x000a_total_rooms           0.00_x000a_total_bedrooms        1.02_x000a_population            0.00_x000a_households            0.00_x000a_median_income         0.00_x000a_ocean_proximity       0.00_x000a_dtype: float64_x000a__x000a_Persentase null per kolom (housing_labels):_x000a_median_house_value    0.0_x000a_dtype: float64_x000a__x000a_Dari informasi diatas apakah yang NULL itu bedroom? Jelaskan singkat NULL itu apa"/>
    <s v="done"/>
    <s v="#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
    <s v="```python_x000a_#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_x000a_```"/>
    <d v="2026-02-24T11:54:01"/>
    <x v="1"/>
    <n v="0"/>
    <n v="272"/>
    <n v="188"/>
    <n v="460"/>
    <n v="972"/>
    <n v="656"/>
    <n v="3352"/>
    <n v="3"/>
    <n v="4"/>
    <n v="4"/>
    <s v="Provides detailed null data and context."/>
    <s v="Could be clearer in asking for a definition of NULL."/>
    <s v="Accurate explanation of NULL and relevant to the prompt."/>
    <s v="Could improve clarity in the explanation."/>
    <s v="Dari informasi di atas, apakah yang NULL itu adalah total_bedrooms? Jelaskan secara singkat apa itu NULL."/>
    <s v="Simplify the explanation of NULL for better clarity."/>
    <s v="good"/>
    <b v="0"/>
    <s v="gpt-4o-mini"/>
    <s v="{&quot;prompt_score&quot;: 3, &quot;response_score&quot;: 4, &quot;overall_score&quot;: 4, &quot;prompt_strengths&quot;: &quot;Provides detailed null data and context.&quot;, &quot;prompt_issues&quot;: &quot;Could be clearer in asking for a definition of NULL.&quot;, &quot;response_strengths&quot;: &quot;Accurate explanation of NULL and relevant to the prompt.&quot;, &quot;response_issues&quot;: &quot;Could improve clarity in the explanation.&quot;, &quot;prompt_rewrite&quot;: &quot;Dari informasi di atas, apakah yang NULL itu adalah total_bedrooms? Jelaskan secara singkat apa itu NULL.&quot;, &quot;response_improvement_suggestions&quot;: &quot;Simplify the explanation of NULL for better clarity.&quot;, &quot;verdict&quot;: &quot;good&quot;, &quot;needs_human_review&quot;: false}"/>
    <s v="ok"/>
    <n v="4"/>
  </r>
  <r>
    <x v="52"/>
    <s v="[MODE:summary_code_explanation]_x000a_Jelaskan saja mengenai ClusterSimilarity jika dipakai untuk memproses latitude dan longitude cara kerjanya gimana. Librarynya menggunakan Kmeans dari sklearn.cluster"/>
    <s v="done"/>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 output shape: (n_samples, n_clusters)_x000a_        return rbf_kernel(X, self.kmeans_.cluster_centers_, gamma=self.gamma)_x000a__x000a_    def get_feature_names_out(self, input_features=None):_x000a_        return [f&quot;cluster_{i}_similarity&quot; for i in range(self.n_clusters)]_x000a_```_x000a__x000a_**EXPLANATION**  _x000a_Misal input Anda hanya 2 kolom: `latitude` dan `longitude`._x000a__x000a_1. **Fit (belajar cluster dari data lat/long)**  _x000a_   - KMeans akan membagi semua titik koordinat menjadi `n_clusters` kelompok.  _x000a_   - Setiap kelompok punya **pusat cluster** (centroid) berupa koordinat rata-rata: `(lat_center, lon_center)`.  _x000a_   - Contoh: jika `n_clusters=3`, KMeans menghasilkan 3 centroid: `C0, C1, C2`._x000a__x000a_2. **Transform (ubah lat/long jadi fitur “kedekatan ke tiap cluster”)**  _x000a_   - Untuk setiap rumah (setiap baris), kita hitung kedekatan titik `(lat, lon)` ke **setiap centroid**.  _x000a_   - Kedekatan dihitung dengan **RBF kernel**:_x000a_     \[_x000a_     similarity(x, c) = \exp(-\gamma \cdot ||x-c||^2)_x000a_     \]_x000a_     - Jika rumah sangat dekat dengan centroid `Ci`, nilainya mendekati **1**.  _x000a_     - Jika jauh, nilainya mendekati **0**._x000a__x000a_3. **Outputnya jadi fitur baru**  _x000a_   - Dari 2 kolom (lat, lon) menjadi `n_clusters` kolom baru.  _x000a_   - Contoh `n_clusters=3`:_x000a_     - `cluster_0_similarity`, `cluster_1_similarity`, `cluster_2_similarity`  _x000a_     - Satu rumah bisa punya nilai seperti `[0.95, 0.10, 0.02]` artinya rumah itu paling dekat dengan cluster 0._x000a__x000a_4. **Kenapa ini berguna?**  _x000a_   - Lokasi sering punya pola non-linear (misal dekat pantai mahal, dekat pusat kota mahal, dll).  _x000a_   -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 output shape: (n_samples, n_clusters)_x000a_        return rbf_kernel(X, self.kmeans_.cluster_centers_, gamma=self.gamma)_x000a__x000a_    def get_feature_names_out(self, input_features=None):_x000a_        return [f&quot;cluster_{i}_similarity&quot; for i in range(self.n_clusters)]_x000a_```_x000a__x000a_**EXPLANATION**  _x000a_Misal input Anda hanya 2 kolom: `latitude` dan `longitude`._x000a__x000a_1. **Fit (belajar cluster dari data lat/long)**  _x000a_   - KMeans akan membagi semua titik koordinat menjadi `n_clusters` kelompok.  _x000a_   - Setiap kelompok punya **pusat cluster** (centroid) berupa koordinat rata-rata: `(lat_center, lon_center)`.  _x000a_   - Contoh: jika `n_clusters=3`, KMeans menghasilkan 3 centroid: `C0, C1, C2`._x000a__x000a_2. **Transform (ubah lat/long jadi fitur “kedekatan ke tiap cluster”)**  _x000a_   - Untuk setiap rumah (setiap baris), kita hitung kedekatan titik `(lat, lon)` ke **setiap centroid**.  _x000a_   - Kedekatan dihitung dengan **RBF kernel**:_x000a_     \[_x000a_     similarity(x, c) = \exp(-\gamma \cdot ||x-c||^2)_x000a_     \]_x000a_     - Jika rumah sangat dekat dengan centroid `Ci`, nilainya mendekati **1**.  _x000a_     - Jika jauh, nilainya mendekati **0**._x000a__x000a_3. **Outputnya jadi fitur baru**  _x000a_   - Dari 2 kolom (lat, lon) menjadi `n_clusters` kolom baru.  _x000a_   - Contoh `n_clusters=3`:_x000a_     - `cluster_0_similarity`, `cluster_1_similarity`, `cluster_2_similarity`  _x000a_     - Satu rumah bisa punya nilai seperti `[0.95, 0.10, 0.02]` artinya rumah itu paling dekat dengan cluster 0._x000a__x000a_4. **Kenapa ini berguna?**  _x000a_   - Lokasi sering punya pola non-linear (misal dekat pantai mahal, dekat pusat kota mahal, dll).  _x000a_   -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d v="2026-02-24T12:50:37"/>
    <x v="1"/>
    <n v="0"/>
    <n v="44"/>
    <n v="839"/>
    <n v="883"/>
    <n v="197"/>
    <n v="2927"/>
    <n v="3494"/>
    <n v="4"/>
    <n v="5"/>
    <n v="4"/>
    <s v="Clear and specific request for explanation of ClusterSimilarity."/>
    <s v="Could provide more context on the intended application of the explanation."/>
    <s v="Thorough explanation with code example, clear steps, and practical implications."/>
    <s v="Could simplify some technical terms for broader audience understanding."/>
    <s v="Jelaskan cara kerja ClusterSimilarity dalam memproses latitude dan longitude menggunakan KMeans dari sklearn.cluster, serta aplikasinya."/>
    <s v="Consider simplifying technical jargon and providing a real-world example of application."/>
    <s v="good"/>
    <b v="0"/>
    <s v="gpt-4o-mini"/>
    <s v="{&quot;prompt_score&quot;: 4, &quot;response_score&quot;: 5, &quot;overall_score&quot;: 4, &quot;prompt_strengths&quot;: &quot;Clear and specific request for explanation of ClusterSimilarity.&quot;, &quot;prompt_issues&quot;: &quot;Could provide more context on the intended application of the explanation.&quot;, &quot;response_strengths&quot;: &quot;Thorough explanation with code example, clear steps, and practical implications.&quot;, &quot;response_issues&quot;: &quot;Could simplify some technical terms for broader audience understanding.&quot;, &quot;prompt_rewrite&quot;: &quot;Jelaskan cara kerja ClusterSimilarity dalam memproses latitude dan longitude menggunakan KMeans dari sklearn.cluster, serta aplikasinya.&quot;, &quot;response_improvement_suggestions&quot;: &quot;Consider simplifying technical jargon and providing a real-world example of application.&quot;, &quot;verdict&quot;: &quot;good&quot;, &quot;needs_human_review&quot;: false}"/>
    <s v="ok"/>
    <n v="4"/>
  </r>
  <r>
    <x v="52"/>
    <s v="[MODE:summary]_x000a_EXPLANATION PRAKTIKUM 02_x000a_=========================_x000a__x000a_= ClusterSimilarit y=_x000a_1) Apa yang dilakukan ClusterSimilarity untuk latitude dan longitude? _x000a_- Inputnya adalah dua kolom: latitude dan longitude (misalnya X berbentuk [ [lat1, lon1], [lat2, lon2], ... ]). _x000a_- Tujuannya: mengubah 2 angka lokasi mentah (lat/long) menjadi beberapa fitur baru yang menyatakan “seberapa dekat rumah ini dengan area-area (cluster) tertentu”. _x000a__x000a_2) Cara kerja fit() _x000a_- fit() menjalankan KMeans pada data lat/long. _x000a_- KMeans membagi semua titik lokasi menjadi n_clusters kelompok. _x000a_- Dari proses itu, KMeans menghasilkan n_clusters buah “pusat cluster” (centroid). Pusat cluster ini adalah koordinat (lat, lon) yang mewakili area tersebut. _x000a_- Setelah fit selesai, pusat cluster tersimpan di: self.kmeans_.cluster_centers_ _x000a__x000a_3) Cara kerja transform() _x000a_- transform() tidak meng-cluster ulang. Ia hanya memakai pusat cluster yang sudah dipelajari saat fit(). _x000a_- Untuk setiap rumah (setiap baris X), dihitung kedekatan (similarity) ke setiap pusat cluster. _x000a_- Kedekatan dihitung dengan RBF kernel: similarity = exp(-gamma * jarak^2) Artinya: _x000a_- Jika rumah sangat dekat dengan pusat cluster, similarity mendekati 1. _x000a_- Jika jauh, similarity mendekati 0. _x000a_- Output transform() adalah matriks dengan bentuk: (jumlah_rumah, n_clusters) Jadi 2 kolom (lat/long) berubah menjadi n_clusters kolom fitur baru. _x000a__x000a_4) Contoh intuitif _x000a_- Misal n_clusters = 3, maka outputnya 3 fitur: cluster_0_similarity, cluster_1_similarity, cluster_2_similarity _x000a_- Jika sebuah rumah berada dekat area cluster_1, bisa saja nilainya seperti: [0.05, 0.92, 0.10] Ini berarti rumah tersebut paling “mirip/dekat” dengan cluster 1. _x000a__x000a_5) Kenapa ini berguna? _x000a_- Banyak model lebih mudah belajar dari fitur “kedekatan ke area-area penting” daripada dari angka lat/long mentah. _x000a_- Ini membantu menangkap pola lokasi yang tidak linear (misalnya area dekat pantai atau pusat kota punya harga berbeda). _x000a__x000a_= Fungsi Tambahan untuk class ClusterSimilarity = (tolong buat ini jadi lebih rapih dengan penjelasan seperti diatas)_x000a_- Cara kerja &quot;get&quot; column ratio from (X) and return X[:, [0]] / X[:. [1]]_x000a_- Cara kerja &quot;get&quot; ratio name from (function_transformer, feature_names_in) and return [&quot;ratio&quot;] # features names out_x000a_- Cara kerja &quot;ratio_pipeline&quot; and return make_pipeline with parameter SimpleImputer(strategy=&quot;median), Function Transformer(column_ratio, feature_names_out=ratio_name), StandardScaler)"/>
    <s v="done"/>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  Penjelasan indexing singkat:  _x000a_  - X[:, [0]] artinya ambil semua baris, hanya kolom ke-0, dan tetap berbentuk 2D (n_samples, 1).  _x000a_  -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 function_transformer: objek FunctionTransformer yang memanggil column_ratio (biasanya tidak dipakai isinya untuk logika penamaan sederhana).  _x000a_  - feature_names_in: daftar nama fitur input (misalnya dua nama kolom yang dipakai untuk rasio).  _x000a_- Operasi: karena outputnya hanya 1 kolom (hasil rasio), fungsi ini mengembalikan list dengan satu nama saja.  _x000a_- Output: [&quot;ratio&quot;]  _x000a_  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  a) SimpleImputer(strategy=&quot;median&quot;)  _x000a_     - Mengisi nilai kosong (NaN) pada dua kolom input dengan nilai median masing-masing kolom.  _x000a_     - Ini penting supaya pembagian tidak menghasilkan error karena ada NaN.  _x000a_  b) FunctionTransformer(column_ratio, feature_names_out=ratio_name)  _x000a_     - Menjalankan fungsi column_ratio untuk menghasilkan 1 fitur baru (rasio).  _x000a_     - feature_names_out=ratio_name memastikan nama kolom output menjadi [&quot;ratio&quot;].  _x000a_  c) StandardScaler()  _x000a_     - Menstandarkan fitur rasio (mean=0, std=1).  _x000a_     -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  Penjelasan indexing singkat:  _x000a_  - X[:, [0]] artinya ambil semua baris, hanya kolom ke-0, dan tetap berbentuk 2D (n_samples, 1).  _x000a_  -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 function_transformer: objek FunctionTransformer yang memanggil column_ratio (biasanya tidak dipakai isinya untuk logika penamaan sederhana).  _x000a_  - feature_names_in: daftar nama fitur input (misalnya dua nama kolom yang dipakai untuk rasio).  _x000a_- Operasi: karena outputnya hanya 1 kolom (hasil rasio), fungsi ini mengembalikan list dengan satu nama saja.  _x000a_- Output: [&quot;ratio&quot;]  _x000a_  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  a) SimpleImputer(strategy=&quot;median&quot;)  _x000a_     - Mengisi nilai kosong (NaN) pada dua kolom input dengan nilai median masing-masing kolom.  _x000a_     - Ini penting supaya pembagian tidak menghasilkan error karena ada NaN.  _x000a_  b) FunctionTransformer(column_ratio, feature_names_out=ratio_name)  _x000a_     - Menjalankan fungsi column_ratio untuk menghasilkan 1 fitur baru (rasio).  _x000a_     - feature_names_out=ratio_name memastikan nama kolom output menjadi [&quot;ratio&quot;].  _x000a_  c) StandardScaler()  _x000a_     - Menstandarkan fitur rasio (mean=0, std=1).  _x000a_     -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d v="2026-02-24T13:09:00"/>
    <x v="1"/>
    <n v="0"/>
    <n v="715"/>
    <n v="842"/>
    <n v="1557"/>
    <n v="2446"/>
    <n v="3004"/>
    <n v="3773"/>
    <n v="4"/>
    <n v="4"/>
    <n v="4"/>
    <s v="Detailed explanation of ClusterSimilarity and its functions."/>
    <s v="Could be more concise; some sections are overly verbose."/>
    <s v="Clear breakdown of additional functions and their purposes."/>
    <s v="Could improve on naming suggestions for clarity."/>
    <s v="[MODE:summary] EXPLANATION PRAKTIKUM 02 ========================= = ClusterSimilarity= 1) Apa yang dilakukan ClusterSimilarity untuk latitude dan longitude? - Input: dua kolom latitude dan longitude. - Tujuan: mengubah lat/long menjadi fitur yang menunjukkan kedekatan dengan cluster. 2) Cara kerja fit() - Menjalankan KMeans untuk membagi lokasi menjadi n_clusters. - Menghasilkan pusat cluster yang disimpan di self.kmeans_.cluster_centers_. 3) Cara kerja transform() - Menghitung kedekatan ke pusat cluster menggunakan RBF kernel. - Output: matriks (jumlah_rumah, n_clusters). 4) Contoh intuitif - Misal n_clusters = 3, output: [0.05, 0.92, 0.10]. 5) Kenapa ini berguna? - Memudahkan model belajar dari fitur kedekatan daripada lat/long mentah. = Fungsi Tambahan untuk class ClusterSimilarity = - Cara kerja &quot;get&quot; column ratio from (X) and return X[:, [0]] / X[:, [1]] - Cara kerja &quot;get&quot; ratio name from (function_transformer, feature_names_in) and return [&quot;ratio&quot;] - Cara kerja &quot;ratio_pipeline&quot; and return make_pipeline with parameter SimpleImputer(strategy=&quot;median), Function Transformer(column_ratio, feature_names_out=ratio_name), StandardScaler."/>
    <s v="Provide specific naming examples for the ratio features to enhance clarity."/>
    <s v="good"/>
    <b v="0"/>
    <s v="gpt-4o-mini"/>
    <s v="{&quot;prompt_score&quot;: 4, &quot;response_score&quot;: 4, &quot;overall_score&quot;: 4, &quot;prompt_strengths&quot;: &quot;Detailed explanation of ClusterSimilarity and its functions.&quot;, &quot;prompt_issues&quot;: &quot;Could be more concise; some sections are overly verbose.&quot;, &quot;response_strengths&quot;: &quot;Clear breakdown of additional functions and their purposes.&quot;, &quot;response_issues&quot;: &quot;Could improve on naming suggestions for clarity.&quot;, &quot;prompt_rewrite&quot;: &quot;[MODE:summary] EXPLANATION PRAKTIKUM 02 ========================= = ClusterSimilarity= 1) Apa yang dilakukan ClusterSimilarity untuk latitude dan longitude? - Input: dua kolom latitude dan longitude. - Tujuan: mengubah lat/long menjadi fitur yang menunjukkan kedekatan dengan cluster. 2) Cara kerja fit() - Menjalankan KMeans untuk membagi lokasi menjadi n_clusters. - Menghasilkan pusat cluster yang disimpan di self.kmeans_.cluster_centers_. 3) Cara kerja transform() - Menghitung kedekatan ke pusat cluster menggunakan RBF kernel. - Output: matriks (jumlah_rumah, n_clusters). 4) Contoh intuitif - Misal n_clusters = 3, output: [0.05, 0.92, 0.10]. 5) Kenapa ini berguna? - Memudahkan model belajar dari fitur kedekatan daripada lat/long mentah. = Fungsi Tambahan untuk class ClusterSimilarity = - Cara kerja \&quot;get\&quot; column ratio from (X) and return X[:, [0]] / X[:, [1]] - Cara kerja \&quot;get\&quot; ratio name from (function_transformer, feature_names_in) and return [\&quot;ratio\&quot;] - Cara kerja \&quot;ratio_pipeline\&quot; and return make_pipeline with parameter SimpleImputer(strategy=\&quot;median), Function Transformer(column_ratio, feature_names_out=ratio_name), StandardScaler.&quot;, &quot;response_improvement_suggestions&quot;: &quot;Provide specific naming examples for the ratio features to enhance clarity.&quot;, &quot;verdict&quot;: &quot;good&quot;, &quot;needs_human_review&quot;: false}"/>
    <s v="ok"/>
    <n v="4"/>
  </r>
  <r>
    <x v="52"/>
    <s v="[MODE:code]_x000a_Untuk di taro di variable param_grid Bagaimana cara membuat sebuah param_grid dengan attribut C : [0.01, 0.1, 1, 10, 100] dan penalty : ['l1', 'l2']"/>
    <s v="done"/>
    <s v="# param_grid untuk GridSearchCV (kombinasi nilai C dan penalty)_x000a_param_grid = {_x000a_    &quot;C&quot;: [0.01, 0.1, 1, 10, 100],_x000a_    &quot;penalty&quot;: [&quot;l1&quot;, &quot;l2&quot;]_x000a_}"/>
    <s v="```python_x000a_# param_grid untuk GridSearchCV (kombinasi nilai C dan penalty)_x000a_param_grid = {_x000a_    &quot;C&quot;: [0.01, 0.1, 1, 10, 100],_x000a_    &quot;penalty&quot;: [&quot;l1&quot;, &quot;l2&quot;]_x000a_}_x000a_```"/>
    <d v="2026-03-10T11:45:52"/>
    <x v="2"/>
    <n v="0"/>
    <n v="57"/>
    <n v="62"/>
    <n v="119"/>
    <n v="160"/>
    <n v="156"/>
    <n v="3966"/>
    <n v="4"/>
    <n v="5"/>
    <n v="5"/>
    <s v="Clear and specific request for a param_grid."/>
    <s v="Could provide more context on the intended use."/>
    <s v="Correct and complete code for the requested param_grid."/>
    <s v="None."/>
    <s v="Bagaimana cara membuat sebuah param_grid untuk GridSearchCV dengan atribut C: [0.01, 0.1, 1, 10, 100] dan penalty: ['l1', 'l2']?"/>
    <s v="Consider adding a brief explanation of the code."/>
    <s v="excellent"/>
    <b v="0"/>
    <s v="gpt-4o-mini"/>
    <s v="{&quot;prompt_score&quot;: 4, &quot;response_score&quot;: 5, &quot;overall_score&quot;: 5, &quot;prompt_strengths&quot;: &quot;Clear and specific request for a param_grid.&quot;, &quot;prompt_issues&quot;: &quot;Could provide more context on the intended use.&quot;, &quot;response_strengths&quot;: &quot;Correct and complete code for the requested param_grid.&quot;, &quot;response_issues&quot;: &quot;None.&quot;, &quot;prompt_rewrite&quot;: &quot;Bagaimana cara membuat sebuah param_grid untuk GridSearchCV dengan atribut C: [0.01, 0.1, 1, 10, 100] dan penalty: ['l1', 'l2']?&quot;, &quot;response_improvement_suggestions&quot;: &quot;Consider adding a brief explanation of the code.&quot;, &quot;verdict&quot;: &quot;excellent&quot;, &quot;needs_human_review&quot;: false}"/>
    <s v="ok"/>
    <n v="5"/>
  </r>
  <r>
    <x v="52"/>
    <s v="[MODE:summary_code_explanation]_x000a_bagaimana cara menyimpan semua nilai datafram eke variable array (dengan cara mengugnakna ttriutbe values)_x000a__x000a_Setelah itu X itu baris dan kolom ke-1 s.d. ke-7 ke dalam variabel X. dan  semua baris dari kolom ke-7 ke dalam variabel y."/>
    <s v="done"/>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d v="2026-03-17T12:09:18"/>
    <x v="4"/>
    <n v="0"/>
    <n v="78"/>
    <n v="224"/>
    <n v="302"/>
    <n v="263"/>
    <n v="636"/>
    <n v="4257"/>
    <n v="3"/>
    <n v="4"/>
    <n v="4"/>
    <s v="The prompt specifies the task clearly and provides context."/>
    <s v="Some grammatical errors and unclear phrasing may hinder understanding."/>
    <s v="The response is relevant, correct, and provides a clear code example."/>
    <s v="Could include more explanation on the slicing process for clarity."/>
    <s v="[MODE:summary_code_explanation] Bagaimana cara menyimpan semua nilai dari DataFrame ke dalam variabel array menggunakan atribut .values? Setelah itu, bagaimana cara memisahkan baris dan kolom ke-1 hingga ke-7 ke dalam variabel X, dan semua baris dari kolom ke-7 ke dalam variabel y?"/>
    <s v="Add a brief explanation of why slicing is done this way for better understanding."/>
    <s v="good"/>
    <b v="0"/>
    <s v="gpt-4o-mini"/>
    <s v="{&quot;prompt_score&quot;: 3, &quot;response_score&quot;: 4, &quot;overall_score&quot;: 4, &quot;prompt_strengths&quot;: &quot;The prompt specifies the task clearly and provides context.&quot;, &quot;prompt_issues&quot;: &quot;Some grammatical errors and unclear phrasing may hinder understanding.&quot;, &quot;response_strengths&quot;: &quot;The response is relevant, correct, and provides a clear code example.&quot;, &quot;response_issues&quot;: &quot;Could include more explanation on the slicing process for clarity.&quot;, &quot;prompt_rewrite&quot;: &quot;[MODE:summary_code_explanation] Bagaimana cara menyimpan semua nilai dari DataFrame ke dalam variabel array menggunakan atribut .values? Setelah itu, bagaimana cara memisahkan baris dan kolom ke-1 hingga ke-7 ke dalam variabel X, dan semua baris dari kolom ke-7 ke dalam variabel y?&quot;, &quot;response_improvement_suggestions&quot;: &quot;Add a brief explanation of why slicing is done this way for better understanding.&quot;, &quot;verdict&quot;: &quot;good&quot;, &quot;needs_human_review&quot;: false}"/>
    <s v="ok"/>
    <n v="4"/>
  </r>
  <r>
    <x v="52"/>
    <s v="[MODE:summary]_x000a_Konteks: Jelaskan konsep [λ besar pada Lasso]:  Level: pemula Minta: definisi singkat, analogi, contoh nyata, dan kapan konsep ini dipakai."/>
    <s v="done"/>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d v="2026-04-14T09:44:14"/>
    <x v="3"/>
    <n v="0"/>
    <n v="52"/>
    <n v="178"/>
    <n v="230"/>
    <n v="154"/>
    <n v="622"/>
    <n v="4608"/>
    <n v="4"/>
    <n v="5"/>
    <n v="5"/>
    <s v="Clear and specific request for explanation."/>
    <s v="Could specify the desired length of the response."/>
    <s v="Relevant, correct, and provides a clear analogy and example."/>
    <s v="None significant."/>
    <s v="[MODE:summary] Konteks: Jelaskan konsep [λ besar pada Lasso]: Level: pemula Minta: definisi singkat, analogi, contoh nyata, dan kapan konsep ini dipakai. (Maksimal 150 kata)"/>
    <s v="None needed; response is well-structured."/>
    <s v="excellent"/>
    <b v="0"/>
    <s v="gpt-4o-mini"/>
    <s v="{&quot;prompt_score&quot;: 4, &quot;response_score&quot;: 5, &quot;overall_score&quot;: 5, &quot;prompt_strengths&quot;: &quot;Clear and specific request for explanation.&quot;, &quot;prompt_issues&quot;: &quot;Could specify the desired length of the response.&quot;, &quot;response_strengths&quot;: &quot;Relevant, correct, and provides a clear analogy and example.&quot;, &quot;response_issues&quot;: &quot;None significant.&quot;, &quot;prompt_rewrite&quot;: &quot;[MODE:summary] Konteks: Jelaskan konsep [λ besar pada Lasso]: Level: pemula Minta: definisi singkat, analogi, contoh nyata, dan kapan konsep ini dipakai. (Maksimal 150 kata)&quot;, &quot;response_improvement_suggestions&quot;: &quot;None needed; response is well-structured.&quot;, &quot;verdict&quot;: &quot;excellent&quot;, &quot;needs_human_review&quot;: false}"/>
    <s v="ok"/>
    <n v="5"/>
  </r>
  <r>
    <x v="53"/>
    <s v="[MODE:code]_x000a_[ASSESSMENT_ID:1771cf8e-0a65-11f1-b762-3e0936ad7efb]_x000a_[FORCE_GPT:true]_x000a_[AUTO_FALLBACK:true]_x000a_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_x000a_```"/>
    <d v="2026-04-14T10:44:49"/>
    <x v="3"/>
    <n v="0"/>
    <n v="149"/>
    <n v="976"/>
    <n v="1125"/>
    <n v="474"/>
    <n v="3835"/>
    <n v="453"/>
    <n v="4"/>
    <n v="5"/>
    <n v="5"/>
    <s v="Clear and specific requirements for regression and classification tasks."/>
    <s v="Could provide more context on the dataset and expected output format."/>
    <s v="Comprehensive implementation covering all aspects of the prompt with clear code structure."/>
    <s v="None significant; could include comments for clarity."/>
    <s v="Implement regression and classification tasks using the final_exam_score as the regression target and pass_fail as the classification target. Ensure to convert classification labels to numeric format if necessary. Use regression predictions as input for classification. Split the dataset into training and testing sets with an 80:20 ratio."/>
    <s v="Add comments to the code for better understanding and clarity."/>
    <s v="excellent"/>
    <b v="0"/>
    <s v="gpt-4o-mini"/>
    <s v="{&quot;prompt_score&quot;: 4, &quot;response_score&quot;: 5, &quot;overall_score&quot;: 5, &quot;prompt_strengths&quot;: &quot;Clear and specific requirements for regression and classification tasks.&quot;, &quot;prompt_issues&quot;: &quot;Could provide more context on the dataset and expected output format.&quot;, &quot;response_strengths&quot;: &quot;Comprehensive implementation covering all aspects of the prompt with clear code structure.&quot;, &quot;response_issues&quot;: &quot;None significant; could include comments for clarity.&quot;, &quot;prompt_rewrite&quot;: &quot;Implement regression and classification tasks using the final_exam_score as the regression target and pass_fail as the classification target. Ensure to convert classification labels to numeric format if necessary. Use regression predictions as input for classification. Split the dataset into training and testing sets with an 80:20 ratio.&quot;, &quot;response_improvement_suggestions&quot;: &quot;Add comments to the code for better understanding and clarity.&quot;, &quot;verdict&quot;: &quot;excellent&quot;, &quot;needs_human_review&quot;: false}"/>
    <s v="ok"/>
    <n v="5"/>
  </r>
  <r>
    <x v="53"/>
    <s v="[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 ===== Feature selection (relevan) =====_x000a_# Gunakan semua kolom selain target sebagai fitur awal (lebih umum &amp; aman),_x000a_# lalu preprocessing akan menangani numerik/kategorikal._x000a_feature_cols = [c for c in df.columns if c not in [reg_target, clf_target]]_x000a_X = df[feature_cols].copy()_x000a__x000a_y_reg = df[reg_target].copy()_x000a_y_clf_raw = df[clf_target].copy()_x000a__x000a_# ===== Convert classification labels to numeric if needed =====_x000a_def to_binary_numeric(series: pd.Series) -&gt; pd.Series:_x000a_    s = series.copy()_x000a_    if pd.api.types.is_numeric_dtype(s):_x000a_        uniq = pd.Series(s.dropna().unique())_x000a_        if len(uniq) &lt;= 2:_x000a_            return s.astype(int)_x000a_        return s_x000a__x000a_    s_str = 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mapped = s_str.map(mapping)_x000a_    if mapped.isna().any():_x000a_        # fallback: factorize (tetap numerik)_x000a_        codes, uniques = pd.factorize(s_str, sort=True)_x000a_        if len(uniques) == 2:_x000a_            return pd.Series(codes, index=s.index).astype(int)_x000a_        return pd.Series(codes, index=s.index)_x000a_    return mapped.astype(int)_x000a__x000a_y_clf = to_binary_numeric(y_clf_raw)_x000a__x000a_# ===== Train-test split 80:20 =====_x000a_X_train, X_test, y_reg_train, y_reg_test, y_clf_train, y_clf_test = train_test_split(_x000a_    X, y_reg, y_clf, test_size=0.2, random_state=42, stratify=y_clf if y_clf.nunique() == 2 else None_x000a_)_x000a__x000a_# ===== Preprocessing =====_x000a_numeric_features = X.select_dtypes(include=[&quot;number&quot;]).columns.tolist()_x000a_categorical_features = [c for c in X.columns if c not in numeric_feature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Regression model =====_x000a_reg_model = Pipeline(steps=[_x000a_    (&quot;preprocess&quot;, preprocess),_x000a_    (&quot;model&quot;, LinearRegression()),_x000a_])_x000a__x000a_reg_model.fit(X_train, y_reg_train)_x000a__x000a_# Prediksi regresi sebagai fitur tambahan untuk klasifikasi_x000a_reg_pred_train = reg_model.predict(X_train)_x000a_reg_pred_test = reg_model.predict(X_test)_x000a__x000a_# ===== Classification model (uses regression predictions as input) =====_x000a_# Input klasifikasi = fitur asli + 1 fitur tambahan (prediksi regresi)_x000a_X_train_clf = X_train.copy()_x000a_X_test_clf = X_test.copy()_x000a_X_train_clf[&quot;reg_pred_final_exam_score&quot;] = reg_pred_train_x000a_X_test_clf[&quot;reg_pred_final_exam_score&quot;] = reg_pred_test_x000a__x000a_numeric_features_clf = X_train_clf.select_dtypes(include=[&quot;number&quot;]).columns.tolist()_x000a_categorical_features_clf = [c for c in X_train_clf.columns if c not in numeric_features_clf]_x000a__x000a_preprocess_clf = ColumnTransformer(_x000a_    transformers=[_x000a_        (&quot;num&quot;, Pipeline([(&quot;imputer&quot;, SimpleImputer(strategy=&quot;median&quot;))]), numeric_features_clf),_x000a_        (&quot;cat&quot;, Pipeline([(&quot;imputer&quot;, SimpleImputer(strategy=&quot;most_frequent&quot;)),_x000a_                         (&quot;onehot&quot;, OneHotEncoder(handle_unknown=&quot;ignore&quot;))]), categorical_features_clf),_x000a_    ],_x000a_    remainder=&quot;drop&quot;,"/>
    <d v="2026-04-14T10:41:04"/>
    <x v="3"/>
    <n v="0"/>
    <n v="109"/>
    <n v="1040"/>
    <n v="1149"/>
    <n v="383"/>
    <n v="4047"/>
    <n v="1599"/>
    <n v="4"/>
    <n v="3"/>
    <n v="3"/>
    <s v="Clear and specific about tasks and requirements."/>
    <s v="Could provide more context on the dataset and features."/>
    <s v="Includes relevant libraries and initial setup for the tasks."/>
    <s v="Lacks complete implementation and clarity on how to proceed with the tasks."/>
    <s v="Implement regression and classification tasks: Target regression: final_exam_score. Select relevant features. Target classification: pass_fail (convert labels to numeric if needed). Use regression predictions as input for classification. Split data into training and testing sets (80:20). Provide context on dataset."/>
    <s v="Include complete code for data preprocessing, model training, and evaluation for both regression and classification tasks."/>
    <s v="fair"/>
    <b v="0"/>
    <s v="gpt-4o-mini"/>
    <s v="{&quot;prompt_score&quot;: 4, &quot;response_score&quot;: 3, &quot;overall_score&quot;: 3, &quot;prompt_strengths&quot;: &quot;Clear and specific about tasks and requirements.&quot;, &quot;prompt_issues&quot;: &quot;Could provide more context on the dataset and features.&quot;, &quot;response_strengths&quot;: &quot;Includes relevant libraries and initial setup for the tasks.&quot;, &quot;response_issues&quot;: &quot;Lacks complete implementation and clarity on how to proceed with the tasks.&quot;, &quot;prompt_rewrite&quot;: &quot;Implement regression and classification tasks: Target regression: final_exam_score. Select relevant features. Target classification: pass_fail (convert labels to numeric if needed). Use regression predictions as input for classification. Split data into training and testing sets (80:20). Provide context on dataset.&quot;, &quot;response_improvement_suggestions&quot;: &quot;Include complete code for data preprocessing, model training, and evaluation for both regression and classification tasks.&quot;, &quot;verdict&quot;: &quot;fair&quot;, &quot;needs_human_review&quot;: false}"/>
    <s v="ok"/>
    <n v="3"/>
  </r>
  <r>
    <x v="53"/>
    <s v="[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python_x000a_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_x000a_```"/>
    <d v="2026-03-10T12:32:55"/>
    <x v="2"/>
    <n v="0"/>
    <n v="1043"/>
    <n v="68"/>
    <n v="1111"/>
    <n v="3960"/>
    <n v="292"/>
    <n v="2768"/>
    <n v="3"/>
    <n v="4"/>
    <n v="4"/>
    <s v="Provides context and specific error message."/>
    <s v="Could be clearer about what specific help is needed."/>
    <s v="Correctly addresses the error and provides a relevant solution."/>
    <s v="Lacks explanation of the code provided."/>
    <s v="Saya mengalami TypeError saat menggunakan Leave One Out Cross-Validation. Bisakah Anda membantu saya memperbaiki kode ini?"/>
    <s v="Add comments to explain each step of the code for clarity."/>
    <s v="good"/>
    <b v="0"/>
    <s v="gpt-4o-mini"/>
    <s v="{&quot;prompt_score&quot;: 3, &quot;response_score&quot;: 4, &quot;overall_score&quot;: 4, &quot;prompt_strengths&quot;: &quot;Provides context and specific error message.&quot;, &quot;prompt_issues&quot;: &quot;Could be clearer about what specific help is needed.&quot;, &quot;response_strengths&quot;: &quot;Correctly addresses the error and provides a relevant solution.&quot;, &quot;response_issues&quot;: &quot;Lacks explanation of the code provided.&quot;, &quot;prompt_rewrite&quot;: &quot;Saya mengalami TypeError saat menggunakan Leave One Out Cross-Validation. Bisakah Anda membantu saya memperbaiki kode ini?&quot;, &quot;response_improvement_suggestions&quot;: &quot;Add comments to explain each step of the code for clarity.&quot;, &quot;verdict&quot;: &quot;good&quot;, &quot;needs_human_review&quot;: false}"/>
    <s v="ok"/>
    <n v="4"/>
  </r>
  <r>
    <x v="53"/>
    <s v="[MODE:summary]_x000a_lalu ada pertanyaan apa fungsi StandardScaler()? RMSE digunakan untuk? Apa arti handle_unknown='ignore'?"/>
    <s v="done"/>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d v="2026-03-10T09:46:47"/>
    <x v="2"/>
    <n v="0"/>
    <n v="32"/>
    <n v="175"/>
    <n v="207"/>
    <n v="119"/>
    <n v="676"/>
    <n v="3289"/>
    <n v="4"/>
    <n v="5"/>
    <n v="5"/>
    <s v="Clear and specific questions."/>
    <s v="Could provide more context for better understanding."/>
    <s v="Accurate, complete, and clear explanations."/>
    <s v="None identified."/>
    <s v="[MODE:summary] Apa fungsi StandardScaler()? Apa itu RMSE dan untuk apa digunakan? Apa arti dari handle_unknown='ignore' dalam konteks OneHotEncoder?"/>
    <s v="None needed; response is already comprehensive."/>
    <s v="excellent"/>
    <b v="0"/>
    <s v="gpt-4o-mini"/>
    <s v="{&quot;prompt_score&quot;: 4, &quot;response_score&quot;: 5, &quot;overall_score&quot;: 5, &quot;prompt_strengths&quot;: &quot;Clear and specific questions.&quot;, &quot;prompt_issues&quot;: &quot;Could provide more context for better understanding.&quot;, &quot;response_strengths&quot;: &quot;Accurate, complete, and clear explanations.&quot;, &quot;response_issues&quot;: &quot;None identified.&quot;, &quot;prompt_rewrite&quot;: &quot;[MODE:summary] Apa fungsi StandardScaler()? Apa itu RMSE dan untuk apa digunakan? Apa arti dari handle_unknown='ignore' dalam konteks OneHotEncoder?&quot;, &quot;response_improvement_suggestions&quot;: &quot;None needed; response is already comprehensive.&quot;, &quot;verdict&quot;: &quot;excellent&quot;, &quot;needs_human_review&quot;: false}"/>
    <s v="ok"/>
    <n v="5"/>
  </r>
  <r>
    <x v="53"/>
    <s v="[MODE:summary]_x000a_lalu ada pertanyaan tentang pepline, Apa fungsi pipeline.predict(X_test)? dan Mengapa preprocessing dimasukkan dalam pipeline?"/>
    <s v="done"/>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d v="2026-03-10T09:42:22"/>
    <x v="2"/>
    <n v="0"/>
    <n v="34"/>
    <n v="117"/>
    <n v="151"/>
    <n v="141"/>
    <n v="508"/>
    <n v="3456"/>
    <n v="4"/>
    <n v="5"/>
    <n v="5"/>
    <s v="Clear and specific question about pipeline functionality."/>
    <s v="Could provide more context on the audience's knowledge level."/>
    <s v="Accurate, complete, and clearly explains the function and importance of preprocessing in a pipeline."/>
    <s v="None identified."/>
    <s v="Apa fungsi dari pipeline.predict(X_test) dalam konteks machine learning, dan mengapa preprocessing penting untuk dimasukkan dalam pipeline?"/>
    <s v="None needed; response is already comprehensive."/>
    <s v="excellent"/>
    <b v="0"/>
    <s v="gpt-4o-mini"/>
    <s v="{&quot;prompt_score&quot;: 4, &quot;response_score&quot;: 5, &quot;overall_score&quot;: 5, &quot;prompt_strengths&quot;: &quot;Clear and specific question about pipeline functionality.&quot;, &quot;prompt_issues&quot;: &quot;Could provide more context on the audience's knowledge level.&quot;, &quot;response_strengths&quot;: &quot;Accurate, complete, and clearly explains the function and importance of preprocessing in a pipeline.&quot;, &quot;response_issues&quot;: &quot;None identified.&quot;, &quot;prompt_rewrite&quot;: &quot;Apa fungsi dari pipeline.predict(X_test) dalam konteks machine learning, dan mengapa preprocessing penting untuk dimasukkan dalam pipeline?&quot;, &quot;response_improvement_suggestions&quot;: &quot;None needed; response is already comprehensive.&quot;, &quot;verdict&quot;: &quot;excellent&quot;, &quot;needs_human_review&quot;: false}"/>
    <s v="ok"/>
    <n v="5"/>
  </r>
  <r>
    <x v="53"/>
    <s v="[MODE:code]_x000a_Konteks: Saya sedang mengerjakan correlation matrix_x000a_Error: AttributeError                            Traceback (most recent call last)_x000a_~\AppData\Local\Temp\ipykernel_6544\238506990.py in ?()_x000a_----&gt; 1 correlation = dataframe.correlation(numeric_only=True)_x000a_      2 print(correlation_matrix)_x000a__x000a_C:\Software\anaconda3\Lib\site-packages\pandas\core\generic.py in ?(self, name)_x000a_   6295             and name not in self._accessors_x000a_   6296             and self._info_axis._can_hold_identifiers_and_holds_name(name)_x000a_   6297         ):_x000a_   6298             return self[name]_x000a_-&gt; 6299         return object.__getattribute__(self, name)_x000a__x000a_AttributeError: 'DataFrame' object has no attribute 'correlation'_x000a_Kode terkait: correlation = dataframe.correlation(numeric_only=True)_x000a_print(correlation_matrix)"/>
    <s v="done"/>
    <s v="# Correlation matrix (pandas memakai .corr(), bukan .correlation())_x000a_correlation_matrix = dataframe.corr(numeric_only=True)_x000a_print(correlation_matrix)"/>
    <s v="```python_x000a_# Correlation matrix (pandas memakai .corr(), bukan .correlation())_x000a_correlation_matrix = dataframe.corr(numeric_only=True)_x000a_print(correlation_matrix)_x000a_```"/>
    <d v="2026-03-10T12:00:42"/>
    <x v="2"/>
    <n v="0"/>
    <n v="201"/>
    <n v="40"/>
    <n v="241"/>
    <n v="793"/>
    <n v="162"/>
    <n v="3623"/>
    <n v="3"/>
    <n v="5"/>
    <n v="4"/>
    <s v="Provides context and specific error message."/>
    <s v="Could be clearer about the expected output."/>
    <s v="Directly addresses the error with a correct solution."/>
    <s v="Could include a brief explanation of the correction."/>
    <s v="Saya mengalami kesalahan AttributeError saat mencoba membuat correlation matrix. Berikut adalah pesan kesalahan: ... Apa yang salah dan bagaimana cara memperbaikinya?"/>
    <s v="Add a brief explanation of why .corr() is used instead of .correlation()."/>
    <s v="good"/>
    <b v="0"/>
    <s v="gpt-4o-mini"/>
    <s v="{&quot;prompt_score&quot;: 3, &quot;response_score&quot;: 5, &quot;overall_score&quot;: 4, &quot;prompt_strengths&quot;: &quot;Provides context and specific error message.&quot;, &quot;prompt_issues&quot;: &quot;Could be clearer about the expected output.&quot;, &quot;response_strengths&quot;: &quot;Directly addresses the error with a correct solution.&quot;, &quot;response_issues&quot;: &quot;Could include a brief explanation of the correction.&quot;, &quot;prompt_rewrite&quot;: &quot;Saya mengalami kesalahan AttributeError saat mencoba membuat correlation matrix. Berikut adalah pesan kesalahan: ... Apa yang salah dan bagaimana cara memperbaikinya?&quot;, &quot;response_improvement_suggestions&quot;: &quot;Add a brief explanation of why .corr() is used instead of .correlation().&quot;, &quot;verdict&quot;: &quot;good&quot;, &quot;needs_human_review&quot;: false}"/>
    <s v="ok"/>
    <n v="4"/>
  </r>
  <r>
    <x v="54"/>
    <s v="[MODE:summary]_x000a_Gradient Descent bekerja dengan_x000a_*_x000a_Random search_x000a_Naik gradien_x000a_Sampling_x000a_Iterasi menuruni gradien_x000a_Perbedaan Ridge vs Lasso_x000a_*_x000a_Ridge non-linear_x000a_Lasso bisa nol_x000a_Lasso tidak stabil_x000a_Ridge hapus fitur_x000a_Regularization bertujuan_x000a_*_x000a_Mengurangi overfitting_x000a_Menghapus data_x000a_Menambah error_x000a_Menambah fitur_x000a_Decision boundary logistic regression_x000a_*_x000a_Linear_x000a_Non-linear_x000a_Random_x000a_Diskrit_x000a_λ besar pada Ridge menyebabkan _x000a_*_x000a_Overfit_x000a_Tidak berubah_x000a_Koefisien besar_x000a_Koefisien kecil_x000a_Output 0.8 pada regresi logistik‚ maka keputusannya kelas …_x000a_*_x000a_1_x000a_0_x000a_Tidak diketahui_x000a_-1_x000a_Tanpa scaling_x000a_*_x000a_Stabil_x000a_Cepat_x000a_Lambat_x000a_Optimal"/>
    <s v="done"/>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d v="2026-04-14T09:50:36"/>
    <x v="3"/>
    <n v="0"/>
    <n v="197"/>
    <n v="145"/>
    <n v="342"/>
    <n v="590"/>
    <n v="502"/>
    <n v="846"/>
    <n v="3"/>
    <n v="4"/>
    <n v="4"/>
    <s v="Covers multiple relevant topics in machine learning."/>
    <s v="Lacks clarity and structure, making it hard to follow."/>
    <s v="Accurate and concise explanation of key concepts."/>
    <s v="Could provide more detail on some points for completeness."/>
    <s v="Summarize the key concepts of Gradient Descent, Ridge vs Lasso, regularization, and decision boundaries in logistic regression."/>
    <s v="Expand on the implications of regularization techniques and provide examples."/>
    <s v="good"/>
    <b v="0"/>
    <s v="gpt-4o-mini"/>
    <s v="{&quot;prompt_score&quot;: 3, &quot;response_score&quot;: 4, &quot;overall_score&quot;: 4, &quot;prompt_strengths&quot;: &quot;Covers multiple relevant topics in machine learning.&quot;, &quot;prompt_issues&quot;: &quot;Lacks clarity and structure, making it hard to follow.&quot;, &quot;response_strengths&quot;: &quot;Accurate and concise explanation of key concepts.&quot;, &quot;response_issues&quot;: &quot;Could provide more detail on some points for completeness.&quot;, &quot;prompt_rewrite&quot;: &quot;Summarize the key concepts of Gradient Descent, Ridge vs Lasso, regularization, and decision boundaries in logistic regression.&quot;, &quot;response_improvement_suggestions&quot;: &quot;Expand on the implications of regularization techniques and provide examples.&quot;, &quot;verdict&quot;: &quot;good&quot;, &quot;needs_human_review&quot;: false}"/>
    <s v="ok"/>
    <n v="4"/>
  </r>
  <r>
    <x v="54"/>
    <s v="[MODE:summary_code_explanation]_x000a_Bagian 1 - Load Dataset_x000a_Lakukan langkah berikut:_x000a__x000a_Load dataset student_exam_performance_dataset (1).csv._x000a_Tampilkan 5 baris pertama._x000a_Tampilkan ukuran dataset (jumlah baris dan kolom)._x000a_Tampilkan tipe data setiap kolom._x000a__x000a_# Tulis jawaban Anda di sini"/>
    <s v="done"/>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d v="2026-04-14T10:33:41"/>
    <x v="3"/>
    <n v="0"/>
    <n v="75"/>
    <n v="228"/>
    <n v="303"/>
    <n v="278"/>
    <n v="733"/>
    <n v="893"/>
    <n v="4"/>
    <n v="5"/>
    <n v="5"/>
    <s v="Clear instructions and specific tasks."/>
    <s v="Could provide more context about the dataset."/>
    <s v="Correct, complete, and clearly explained code."/>
    <s v="None."/>
    <s v="Bagian 1 - Load Dataset: Muat dataset student_exam_performance_dataset (1).csv, tampilkan 5 baris pertama, ukuran dataset, dan tipe data setiap kolom. Dataset ini berisi informasi tentang kinerja ujian siswa."/>
    <s v="None needed; response is already excellent."/>
    <s v="excellent"/>
    <b v="0"/>
    <s v="gpt-4o-mini"/>
    <s v="{&quot;prompt_score&quot;: 4, &quot;response_score&quot;: 5, &quot;overall_score&quot;: 5, &quot;prompt_strengths&quot;: &quot;Clear instructions and specific tasks.&quot;, &quot;prompt_issues&quot;: &quot;Could provide more context about the dataset.&quot;, &quot;response_strengths&quot;: &quot;Correct, complete, and clearly explained code.&quot;, &quot;response_issues&quot;: &quot;None.&quot;, &quot;prompt_rewrite&quot;: &quot;Bagian 1 - Load Dataset: Muat dataset student_exam_performance_dataset (1).csv, tampilkan 5 baris pertama, ukuran dataset, dan tipe data setiap kolom. Dataset ini berisi informasi tentang kinerja ujian siswa.&quot;, &quot;response_improvement_suggestions&quot;: &quot;None needed; response is already excellent.&quot;, &quot;verdict&quot;: &quot;excellent&quot;, &quot;needs_human_review&quot;: false}"/>
    <s v="ok"/>
    <n v="5"/>
  </r>
  <r>
    <x v="54"/>
    <s v="[MODE:summary]_x000a_Jika model overfit * Tambah fitur Stop Hapus data Tambah regularization Learning rate kecil * Stabil Divergen Lambat Cepat SGD menggunakan * Tidak ada data Semua data Batch besar 1 sampel"/>
    <s v="done"/>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d v="2026-04-14T09:44:26"/>
    <x v="3"/>
    <n v="0"/>
    <n v="53"/>
    <n v="80"/>
    <n v="133"/>
    <n v="202"/>
    <n v="324"/>
    <n v="955"/>
    <n v="3"/>
    <n v="4"/>
    <n v="4"/>
    <s v="Addresses overfitting solutions."/>
    <s v="Lacks clarity and structure."/>
    <s v="Relevant and mostly correct solutions provided."/>
    <s v="Could be more detailed in explaining concepts."/>
    <s v="[MODE:summary] Apa solusi untuk model yang mengalami overfitting?"/>
    <s v="Include more detailed explanations of each solution."/>
    <s v="good"/>
    <b v="0"/>
    <s v="gpt-4o-mini"/>
    <s v="{&quot;prompt_score&quot;: 3, &quot;response_score&quot;: 4, &quot;overall_score&quot;: 4, &quot;prompt_strengths&quot;: &quot;Addresses overfitting solutions.&quot;, &quot;prompt_issues&quot;: &quot;Lacks clarity and structure.&quot;, &quot;response_strengths&quot;: &quot;Relevant and mostly correct solutions provided.&quot;, &quot;response_issues&quot;: &quot;Could be more detailed in explaining concepts.&quot;, &quot;prompt_rewrite&quot;: &quot;[MODE:summary] Apa solusi untuk model yang mengalami overfitting?&quot;, &quot;response_improvement_suggestions&quot;: &quot;Include more detailed explanations of each solution.&quot;, &quot;verdict&quot;: &quot;good&quot;, &quot;needs_human_review&quot;: false}"/>
    <s v="ok"/>
    <n v="4"/>
  </r>
  <r>
    <x v="54"/>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Tulis jawaban Anda di sini"/>
    <s v="done"/>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    n = len(cols_to_plot)_x000a_    fig, axes = plt.subplots(1, n, figsize=(5*n, 4))_x000a_    if n == 1:_x000a_        axes = [axes]_x000a_    for ax, col in zip(axes, cols_to_plot):_x000a_        sns.histplot(df[col], kde=True, ax=ax)_x000a_        ax.set_title(f&quot;Distribusi: {col}&quot;)_x000a_    plt.tight_layout()_x000a_    plt.show()_x000a_else:_x000a_    print(&quot;\nTidak ada kolom numerik untuk divisualisasikan.&quot;)_x000a__x000a_# 4) Heatmap korelasi fitur numerik_x000a_if num_df.shape[1] &gt;= 2:_x000a_    corr = num_df.corr(numeric_only=True)_x000a_    plt.figure(figsize=(10, 8))_x000a_    sns.heatmap(corr, annot=True, fmt=&quot;.2f&quot;, cmap=&quot;coolwarm&quot;, square=True)_x000a_    plt.title(&quot;Heatmap Korelasi (Numerik)&quot;)_x000a_    plt.tight_layout()_x000a_    plt.show()_x000a_else:_x000a_    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    n = len(cols_to_plot)_x000a_    fig, axes = plt.subplots(1, n, figsize=(5*n, 4))_x000a_    if n == 1:_x000a_        axes = [axes]_x000a_    for ax, col in zip(axes, cols_to_plot):_x000a_        sns.histplot(df[col], kde=True, ax=ax)_x000a_        ax.set_title(f&quot;Distribusi: {col}&quot;)_x000a_    plt.tight_layout()_x000a_    plt.show()_x000a_else:_x000a_    print(&quot;\nTidak ada kolom numerik untuk divisualisasikan.&quot;)_x000a__x000a_# 4) Heatmap korelasi fitur numerik_x000a_if num_df.shape[1] &gt;= 2:_x000a_    corr = num_df.corr(numeric_only=True)_x000a_    plt.figure(figsize=(10, 8))_x000a_    sns.heatmap(corr, annot=True, fmt=&quot;.2f&quot;, cmap=&quot;coolwarm&quot;, square=True)_x000a_    plt.title(&quot;Heatmap Korelasi (Numerik)&quot;)_x000a_    plt.tight_layout()_x000a_    plt.show()_x000a_else:_x000a_    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d v="2026-04-14T10:35:42"/>
    <x v="3"/>
    <n v="0"/>
    <n v="93"/>
    <n v="618"/>
    <n v="711"/>
    <n v="336"/>
    <n v="2081"/>
    <n v="1154"/>
    <n v="4"/>
    <n v="5"/>
    <n v="5"/>
    <s v="Clear and specific instructions for EDA tasks."/>
    <s v="Could provide more context on the dataset."/>
    <s v="Comprehensive and well-structured code with explanations."/>
    <s v="None significant; all tasks addressed effectively."/>
    <s v="Bagian 2 - Exploratory Data Analysis (EDA) pada dataset 'student_exam_performance'. Kerjakan analisis berikut: Cek apakah terdapat missing value, tampilkan statistik deskriptif untuk kolom numerik, visualisasikan distribusi fitur numerik penting, dan buat heatmap korelasi untuk fitur numerik. Tulis jawaban Anda di sini."/>
    <s v="Include a brief introduction to the dataset and its significance."/>
    <s v="excellent"/>
    <b v="0"/>
    <s v="gpt-4o-mini"/>
    <s v="{&quot;prompt_score&quot;: 4, &quot;response_score&quot;: 5, &quot;overall_score&quot;: 5, &quot;prompt_strengths&quot;: &quot;Clear and specific instructions for EDA tasks.&quot;, &quot;prompt_issues&quot;: &quot;Could provide more context on the dataset.&quot;, &quot;response_strengths&quot;: &quot;Comprehensive and well-structured code with explanations.&quot;, &quot;response_issues&quot;: &quot;None significant; all tasks addressed effectively.&quot;, &quot;prompt_rewrite&quot;: &quot;Bagian 2 - Exploratory Data Analysis (EDA) pada dataset 'student_exam_performance'. Kerjakan analisis berikut: Cek apakah terdapat missing value, tampilkan statistik deskriptif untuk kolom numerik, visualisasikan distribusi fitur numerik penting, dan buat heatmap korelasi untuk fitur numerik. Tulis jawaban Anda di sini.&quot;, &quot;response_improvement_suggestions&quot;: &quot;Include a brief introduction to the dataset and its significance.&quot;, &quot;verdict&quot;: &quot;excellent&quot;, &quot;needs_human_review&quot;: false}"/>
    <s v="ok"/>
    <n v="5"/>
  </r>
  <r>
    <x v="54"/>
    <s v="[MODE:summary_code_explanation]_x000a_Your request is being processed (queued). job_id: 54a3aacb-a5d9-4faa-a54f-7a255c9bab5e. I will check for up to 24 seconds, or type &quot;status 54a3aacb-a5d9-4faa-a54f-7a255c9bab5e&quot; to check manually._x000a__x000a_status 54a3aacb-a5d9-4faa-a54f-7a255c9bab5e"/>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d v="2026-03-10T12:38:14"/>
    <x v="2"/>
    <n v="0"/>
    <n v="118"/>
    <n v="958"/>
    <n v="1076"/>
    <n v="272"/>
    <n v="3324"/>
    <n v="1180"/>
    <n v="3"/>
    <n v="4"/>
    <n v="3"/>
    <s v="Provides context and specific job ID for tracking."/>
    <s v="Lacks clarity on what specific information is needed from the user."/>
    <s v="Detailed explanation with relevant code and clear steps."/>
    <s v="Could be more concise and focused on the user's immediate needs."/>
    <s v="Please provide the status of job ID 54a3aacb-a5d9-4faa-a54f-7a255c9bab5e or let me know if you need help with the code to analyze the results."/>
    <s v="Summarize the key points and focus on the most relevant code snippets for the user's request."/>
    <s v="fair"/>
    <b v="0"/>
    <s v="gpt-4o-mini"/>
    <s v="{&quot;prompt_score&quot;: 3, &quot;response_score&quot;: 4, &quot;overall_score&quot;: 3, &quot;prompt_strengths&quot;: &quot;Provides context and specific job ID for tracking.&quot;, &quot;prompt_issues&quot;: &quot;Lacks clarity on what specific information is needed from the user.&quot;, &quot;response_strengths&quot;: &quot;Detailed explanation with relevant code and clear steps.&quot;, &quot;response_issues&quot;: &quot;Could be more concise and focused on the user's immediate needs.&quot;, &quot;prompt_rewrite&quot;: &quot;Please provide the status of job ID 54a3aacb-a5d9-4faa-a54f-7a255c9bab5e or let me know if you need help with the code to analyze the results.&quot;, &quot;response_improvement_suggestions&quot;: &quot;Summarize the key points and focus on the most relevant code snippets for the user's request.&quot;, &quot;verdict&quot;: &quot;fair&quot;, &quot;needs_human_review&quot;: false}"/>
    <s v="ok"/>
    <n v="3"/>
  </r>
  <r>
    <x v="54"/>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d v="2026-04-14T10:45:39"/>
    <x v="3"/>
    <n v="0"/>
    <n v="133"/>
    <n v="968"/>
    <n v="1101"/>
    <n v="532"/>
    <n v="3624"/>
    <n v="2402"/>
    <n v="5"/>
    <n v="5"/>
    <n v="5"/>
    <s v="Clear and specific instructions for model building and evaluation."/>
    <s v="None."/>
    <s v="Comprehensive implementation with clear explanations and relevant code."/>
    <s v="None."/>
    <s v="Bagian 5 - Pemodelan Klasifikasi: Bangun model klasifikasi menggunakan LogisticRegression untuk memprediksi pass_fail dengan input dari prediksi final_exam_score. Evaluasi model menggunakan Confusion Matrix, Accuracy, Precision, Recall, ROC Curve, dan AUC."/>
    <s v="Consider adding comments in the code for better understanding."/>
    <s v="excellent"/>
    <b v="0"/>
    <s v="gpt-4o-mini"/>
    <s v="{&quot;prompt_score&quot;: 5, &quot;response_score&quot;: 5, &quot;overall_score&quot;: 5, &quot;prompt_strengths&quot;: &quot;Clear and specific instructions for model building and evaluation.&quot;, &quot;prompt_issues&quot;: &quot;None.&quot;, &quot;response_strengths&quot;: &quot;Comprehensive implementation with clear explanations and relevant code.&quot;, &quot;response_issues&quot;: &quot;None.&quot;, &quot;prompt_rewrite&quot;: &quot;Bagian 5 - Pemodelan Klasifikasi: Bangun model klasifikasi menggunakan LogisticRegression untuk memprediksi pass_fail dengan input dari prediksi final_exam_score. Evaluasi model menggunakan Confusion Matrix, Accuracy, Precision, Recall, ROC Curve, dan AUC.&quot;, &quot;response_improvement_suggestions&quot;: &quot;Consider adding comments in the code for better understanding.&quot;, &quot;verdict&quot;: &quot;excellent&quot;, &quot;needs_human_review&quot;: false}"/>
    <s v="ok"/>
    <n v="5"/>
  </r>
  <r>
    <x v="54"/>
    <s v="[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d v="2026-04-14T10:50:10"/>
    <x v="3"/>
    <n v="0"/>
    <n v="167"/>
    <n v="444"/>
    <n v="611"/>
    <n v="603"/>
    <n v="1674"/>
    <n v="2993"/>
    <n v="4"/>
    <n v="5"/>
    <n v="5"/>
    <s v="Clear instructions with specific context for the task."/>
    <s v="Could provide more detail on expected input data structure."/>
    <s v="Thorough and accurate explanation with complete code example."/>
    <s v="None significant; all parts of the task are addressed."/>
    <s v="[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Pastikan untuk menjelaskan format data input yang diharapkan."/>
    <s v="Consider adding comments in the code to explain each step for clarity."/>
    <s v="excellent"/>
    <b v="0"/>
    <s v="gpt-4o-mini"/>
    <s v="{&quot;prompt_score&quot;: 4, &quot;response_score&quot;: 5, &quot;overall_score&quot;: 5, &quot;prompt_strengths&quot;: &quot;Clear instructions with specific context for the task.&quot;, &quot;prompt_issues&quot;: &quot;Could provide more detail on expected input data structure.&quot;, &quot;response_strengths&quot;: &quot;Thorough and accurate explanation with complete code example.&quot;, &quot;response_issues&quot;: &quot;None significant; all parts of the task are addressed.&quot;, &quot;prompt_rewrite&quot;: &quo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Pastikan untuk menjelaskan format data input yang diharapkan.&quot;, &quot;response_improvement_suggestions&quot;: &quot;Consider adding comments in the code to explain each step for clarity.&quot;, &quot;verdict&quot;: &quot;excellent&quot;, &quot;needs_human_review&quot;: false}"/>
    <s v="ok"/>
    <n v="5"/>
  </r>
  <r>
    <x v="54"/>
    <s v="[MODE:code]_x000a_sekarang, mari kita buat pipeline untuk data numerical. gunakan `imputer` dan `SimpleImputer` dengan `strategy = median` dan menggunakan `StandardScaler`_x000a_num_pipeline = ## YOUR CODE HERE ##_x000a_Buat pipeline itu gimana ya"/>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2:07:30"/>
    <x v="6"/>
    <n v="0"/>
    <n v="57"/>
    <n v="53"/>
    <n v="110"/>
    <n v="229"/>
    <n v="262"/>
    <n v="4119"/>
    <n v="4"/>
    <n v="5"/>
    <n v="5"/>
    <s v="Clear request for a coding task with specific components."/>
    <s v="Could provide more context on the data or use case."/>
    <s v="Correct implementation of the pipeline with appropriate components."/>
    <s v="None."/>
    <s v="Buatlah pipeline untuk data numerik menggunakan `SimpleImputer` dengan `strategy = median` dan `StandardScaler`. Berikan contoh penggunaannya."/>
    <s v="Include a brief explanation of how the pipeline can be used with data."/>
    <s v="excellent"/>
    <b v="0"/>
    <s v="gpt-4o-mini"/>
    <s v="{&quot;prompt_score&quot;: 4, &quot;response_score&quot;: 5, &quot;overall_score&quot;: 5, &quot;prompt_strengths&quot;: &quot;Clear request for a coding task with specific components.&quot;, &quot;prompt_issues&quot;: &quot;Could provide more context on the data or use case.&quot;, &quot;response_strengths&quot;: &quot;Correct implementation of the pipeline with appropriate components.&quot;, &quot;response_issues&quot;: &quot;None.&quot;, &quot;prompt_rewrite&quot;: &quot;Buatlah pipeline untuk data numerik menggunakan `SimpleImputer` dengan `strategy = median` dan `StandardScaler`. Berikan contoh penggunaannya.&quot;, &quot;response_improvement_suggestions&quot;: &quot;Include a brief explanation of how the pipeline can be used with data.&quot;, &quot;verdict&quot;: &quot;excellent&quot;, &quot;needs_human_review&quot;: false}"/>
    <s v="ok"/>
    <n v="5"/>
  </r>
  <r>
    <x v="55"/>
    <s v="[MODE:summary_code_explanation]_x000a_eyError                                  Traceback (most recent call last)_x000a_Cell In[115], line 5_x000a_      1 housing_6000 = housing.iloc[:6000].copy()_x000a_      3 TARGET_COL = &quot;median_house_value&quot;_x000a_----&gt; 5 X_train = housing_6000.drop(columns=[TARGET_COL])_x000a_      6 y_train = housing_6000[TARGET_COL]_x000a_      8 grid_search.fit(X_train, y_train)_x000a__x000a_File C:\Software\anaconda3\Lib\site-packages\pandas\core\frame.py:5581, in DataFrame.drop(self, labels, axis, index, columns, level, inplace, errors)_x000a_   5433 def drop(_x000a_   5434     self,_x000a_   5435     labels: IndexLabel | None = None,_x000a_   (...)_x000a_   5442     errors: IgnoreRaise = &quot;raise&quot;,_x000a_   5443 ) -&gt; DataFrame | None:_x000a_   5444     &quot;&quot;&quot;_x000a_   5445     Drop specified labels from rows or columns._x000a_   5446 _x000a_   (...)_x000a_   5579             weight  1.0     0.8_x000a_   5580     &quot;&quot;&quot;_x000a_-&gt; 5581     return super().drop(_x000a_   5582         labels=labels,_x000a_   5583         axis=axis,_x000a_   5584         index=index,_x000a_   5585         columns=columns,_x000a_   5586         level=level,_x000a_   5587         inplace=inplace,_x000a_   5588         errors=errors,_x000a_   5589     )_x000a__x000a_File C:\Software\anaconda3\Lib\site-packages\pandas\core\generic.py:4788, in NDFrame.drop(self, labels, axis, index, columns, level, inplace, errors)_x000a_   4786 for axis, labels in axes.items():_x000a_   4787     if labels is not None:_x000a_-&gt; 4788         obj = obj._drop_axis(labels, axis, level=level, errors=errors)_x000a_   4790 if inplace:_x000a_   4791     self._update_inplace(obj)_x000a__x000a_File C:\Software\anaconda3\Lib\site-packages\pandas\core\generic.py:4830, in NDFrame._drop_axis(self, labels, axis, level, errors, only_slice)_x000a_   4828         new_axis = axis.drop(labels, level=level, errors=errors)_x000a_   4829     else:_x000a_-&gt; 4830         new_axis = axis.drop(labels, errors=errors)_x000a_   4831     indexer = axis.get_indexer(new_axis)_x000a_   4833 # Case for non-unique axis_x000a_   4834 else:_x000a__x000a_File C:\Software\anaconda3\Lib\site-packages\pandas\core\indexes\base.py:7070, in Index.drop(self, labels, errors)_x000a_   7068 if mask.any():_x000a_   7069     if errors != &quot;ignore&quot;:_x000a_-&gt; 7070         raise KeyError(f&quot;{labels[mask].tolist()} not found in axis&quot;)_x000a_   7071     indexer = indexer[~mask]_x000a_   7072 return self.delete(indexer)_x000a__x000a_KeyError: &quot;['median_house_value'] not found in axis&quot;_x000a__x000a_Kita latih grid_search tersebut pada 6000 data pertama._x000a__x000a_housing_6000 = housing.iloc[:6000].copy()_x000a__x000a_TARGET_COL = &quot;median_house_value&quot;_x000a__x000a_X_train = housing_6000.drop(columns=[TARGET_COL])_x000a_y_train = housing_6000[TARGET_COL]_x000a__x000a_grid_search.fit(X_train, y_train)_x000a__x000a_Selection deleted"/>
    <s v="done"/>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    estimator=svr_pipeline,_x000a_    param_grid=param_grid,_x000a_    cv=3,_x000a_    scoring=&quot;neg_root_mean_squared_error&quot;,_x000a_    n_jobs=-1,_x000a_    verbose=2,_x000a_    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    estimator=svr_pipeline,_x000a_    param_grid=param_grid,_x000a_    cv=3,_x000a_    scoring=&quot;neg_root_mean_squared_error&quot;,_x000a_    n_jobs=-1,_x000a_    verbose=2,_x000a_    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d v="2026-02-24T13:33:31"/>
    <x v="1"/>
    <n v="0"/>
    <n v="725"/>
    <n v="518"/>
    <n v="1243"/>
    <n v="2495"/>
    <n v="1770"/>
    <n v="387"/>
    <n v="3"/>
    <n v="4"/>
    <n v="4"/>
    <s v="Provides a clear context of the error and the code involved."/>
    <s v="Lacks specificity in terms of what the user should do next."/>
    <s v="Offers a detailed explanation and actionable steps to resolve the error."/>
    <s v="Could be more concise in some parts."/>
    <s v="[MODE:summary_code_explanation] Explain the KeyError encountered when trying to drop the target column 'median_house_value' from the DataFrame housing_6000."/>
    <s v="Consider summarizing the steps more succinctly and focusing on the most critical actions."/>
    <s v="good"/>
    <b v="0"/>
    <s v="gpt-4o-mini"/>
    <s v="{&quot;prompt_score&quot;: 3, &quot;response_score&quot;: 4, &quot;overall_score&quot;: 4, &quot;prompt_strengths&quot;: &quot;Provides a clear context of the error and the code involved.&quot;, &quot;prompt_issues&quot;: &quot;Lacks specificity in terms of what the user should do next.&quot;, &quot;response_strengths&quot;: &quot;Offers a detailed explanation and actionable steps to resolve the error.&quot;, &quot;response_issues&quot;: &quot;Could be more concise in some parts.&quot;, &quot;prompt_rewrite&quot;: &quot;[MODE:summary_code_explanation] Explain the KeyError encountered when trying to drop the target column 'median_house_value' from the DataFrame housing_6000.&quot;, &quot;response_improvement_suggestions&quot;: &quot;Consider summarizing the steps more succinctly and focusing on the most critical actions.&quot;, &quot;verdict&quot;: &quot;good&quot;, &quot;needs_human_review&quot;: false}"/>
    <s v="ok"/>
    <n v="4"/>
  </r>
  <r>
    <x v="55"/>
    <s v="[MODE:summary]_x000a_dalam soal QUIZ ada pertanyaan tentang Mengapa preprocessing dimasukkan dalam pipeline? dan dalam pertanyaan ada 4 pilihan jawaban_x000a_1.Agar mencegah data leakage_x000a_2.Agar model lambat_x000a_3.Agar dataset besar_x000a_4.Agar model sederhana_x000a_jawaban apa yang tepat terkait pertanyaan ini ? dan tolong berikan penjelasan nya"/>
    <s v="done"/>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d v="2026-03-10T09:41:23"/>
    <x v="2"/>
    <n v="0"/>
    <n v="93"/>
    <n v="94"/>
    <n v="187"/>
    <n v="320"/>
    <n v="356"/>
    <n v="585"/>
    <n v="4"/>
    <n v="5"/>
    <n v="4"/>
    <s v="Clear question with specific options."/>
    <s v="Could provide more context on the importance of preprocessing."/>
    <s v="Correct answer with a clear and detailed explanation."/>
    <s v="None."/>
    <s v="Dalam soal QUIZ, terdapat pertanyaan: Mengapa preprocessing dimasukkan dalam pipeline? Pilihan jawaban: 1. Agar mencegah data leakage 2. Agar model lambat 3. Agar dataset besar 4. Agar model sederhana. Apa jawaban yang tepat dan mengapa?"/>
    <s v="Consider adding examples of preprocessing techniques."/>
    <s v="excellent"/>
    <b v="0"/>
    <s v="gpt-4o-mini"/>
    <s v="{&quot;prompt_score&quot;: 4, &quot;response_score&quot;: 5, &quot;overall_score&quot;: 4, &quot;prompt_strengths&quot;: &quot;Clear question with specific options.&quot;, &quot;prompt_issues&quot;: &quot;Could provide more context on the importance of preprocessing.&quot;, &quot;response_strengths&quot;: &quot;Correct answer with a clear and detailed explanation.&quot;, &quot;response_issues&quot;: &quot;None.&quot;, &quot;prompt_rewrite&quot;: &quot;Dalam soal QUIZ, terdapat pertanyaan: Mengapa preprocessing dimasukkan dalam pipeline? Pilihan jawaban: 1. Agar mencegah data leakage 2. Agar model lambat 3. Agar dataset besar 4. Agar model sederhana. Apa jawaban yang tepat dan mengapa?&quot;, &quot;response_improvement_suggestions&quot;: &quot;Consider adding examples of preprocessing techniques.&quot;, &quot;verdict&quot;: &quot;excellent&quot;, &quot;needs_human_review&quot;: false}"/>
    <s v="ok"/>
    <n v="5"/>
  </r>
  <r>
    <x v="55"/>
    <s v="[MODE:summary_code_explanation]_x000a_# YOUR CODE is HERE_x000a_housing_6000 = df.iloc[:6000].copy()_x000a_objek saya menggunakan housing dan gunakan semua objek jadi housing"/>
    <s v="done"/>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d v="2026-02-24T13:28:38"/>
    <x v="1"/>
    <n v="0"/>
    <n v="41"/>
    <n v="380"/>
    <n v="421"/>
    <n v="156"/>
    <n v="1345"/>
    <n v="928"/>
    <n v="3"/>
    <n v="4"/>
    <n v="4"/>
    <s v="Provides a clear instruction to summarize code."/>
    <s v="Lacks specificity in the expected output format and context."/>
    <s v="Correctly explains the code and provides a complete example."/>
    <s v="Could improve clarity by breaking down complex parts further."/>
    <s v="[MODE:summary_code_explanation] # Provide a summary and explanation of the following code snippet: housing_6000 = df.iloc[:6000].copy()"/>
    <s v="Consider simplifying explanations and using bullet points for clarity."/>
    <s v="good"/>
    <b v="0"/>
    <s v="gpt-4o-mini"/>
    <s v="{&quot;prompt_score&quot;: 3, &quot;response_score&quot;: 4, &quot;overall_score&quot;: 4, &quot;prompt_strengths&quot;: &quot;Provides a clear instruction to summarize code.&quot;, &quot;prompt_issues&quot;: &quot;Lacks specificity in the expected output format and context.&quot;, &quot;response_strengths&quot;: &quot;Correctly explains the code and provides a complete example.&quot;, &quot;response_issues&quot;: &quot;Could improve clarity by breaking down complex parts further.&quot;, &quot;prompt_rewrite&quot;: &quot;[MODE:summary_code_explanation] # Provide a summary and explanation of the following code snippet: housing_6000 = df.iloc[:6000].copy()&quot;, &quot;response_improvement_suggestions&quot;: &quot;Consider simplifying explanations and using bullet points for clarity.&quot;, &quot;verdict&quot;: &quot;good&quot;, &quot;needs_human_review&quot;: false}"/>
    <s v="ok"/>
    <n v="4"/>
  </r>
  <r>
    <x v="55"/>
    <s v="[MODE:summary]_x000a_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
    <s v="done"/>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d v="2026-03-10T09:55:04"/>
    <x v="2"/>
    <n v="0"/>
    <n v="113"/>
    <n v="306"/>
    <n v="419"/>
    <n v="397"/>
    <n v="1123"/>
    <n v="1021"/>
    <n v="3"/>
    <n v="4"/>
    <n v="4"/>
    <s v="The prompt is specific about the request for an explanation."/>
    <s v="The prompt is somewhat convoluted and could be clearer."/>
    <s v="The response is relevant, correct, and provides a complete explanation."/>
    <s v="The response could be simplified for better clarity."/>
    <s v="Tolong berikan penjelasan lengkap dan mudah dimengerti tentang `handle_unknown='ignore'` dalam konteks OneHotEncoder di scikit-learn."/>
    <s v="Simplify the explanation and use more straightforward language."/>
    <s v="good"/>
    <b v="0"/>
    <s v="gpt-4o-mini"/>
    <s v="{&quot;prompt_score&quot;: 3, &quot;response_score&quot;: 4, &quot;overall_score&quot;: 4, &quot;prompt_strengths&quot;: &quot;The prompt is specific about the request for an explanation.&quot;, &quot;prompt_issues&quot;: &quot;The prompt is somewhat convoluted and could be clearer.&quot;, &quot;response_strengths&quot;: &quot;The response is relevant, correct, and provides a complete explanation.&quot;, &quot;response_issues&quot;: &quot;The response could be simplified for better clarity.&quot;, &quot;prompt_rewrite&quot;: &quot;Tolong berikan penjelasan lengkap dan mudah dimengerti tentang `handle_unknown='ignore'` dalam konteks OneHotEncoder di scikit-learn.&quot;, &quot;response_improvement_suggestions&quot;: &quot;Simplify the explanation and use more straightforward language.&quot;, &quot;verdict&quot;: &quot;good&quot;, &quot;needs_human_review&quot;: false}"/>
    <s v="ok"/>
    <n v="4"/>
  </r>
  <r>
    <x v="55"/>
    <s v="[MODE:summary_code_explanation]_x000a_Saya sedang mengerjakan tugas machine learning dengan mengevaluasi performa algoritma machine learning dengan resampling, dengan soal berikut ini_x000a__x000a_Buatlah variabel dengan nama filename dan isi variabel bertipe string, yaitu pima-indians-diabetes.data.csv , dan dengan code berikut ini_x000a_filename = 'Brilian_03_pima-indians-diabetes.data.csv', apakah code yang saya buat itu benar ? . Jika salah , berikan jawaban yang benar dan berikan penjelasannya"/>
    <s v="done"/>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  ```python_x000a_  filename = 'Brilian_03_pima-indians-diabetes.data.csv'_x000a_  ```"/>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  ```python_x000a_  filename = 'Brilian_03_pima-indians-diabetes.data.csv'_x000a_  ```"/>
    <d v="2026-03-10T11:52:04"/>
    <x v="2"/>
    <n v="0"/>
    <n v="124"/>
    <n v="263"/>
    <n v="387"/>
    <n v="479"/>
    <n v="888"/>
    <n v="2580"/>
    <n v="4"/>
    <n v="5"/>
    <n v="4"/>
    <s v="Clear task description and context provided."/>
    <s v="Could be more concise and focused on the specific question."/>
    <s v="Accurate explanation and clear correction provided."/>
    <s v="Could be slightly more concise in the explanation."/>
    <s v="Saya sedang mengerjakan tugas machine learning dan ingin tahu apakah kode berikut benar: filename = 'Brilian_03_pima-indians-diabetes.data.csv'. Jika salah, berikan jawaban yang benar dan penjelasannya."/>
    <s v="Consider summarizing the explanation to enhance clarity."/>
    <s v="good"/>
    <b v="0"/>
    <s v="gpt-4o-mini"/>
    <s v="{&quot;prompt_score&quot;: 4, &quot;response_score&quot;: 5, &quot;overall_score&quot;: 4, &quot;prompt_strengths&quot;: &quot;Clear task description and context provided.&quot;, &quot;prompt_issues&quot;: &quot;Could be more concise and focused on the specific question.&quot;, &quot;response_strengths&quot;: &quot;Accurate explanation and clear correction provided.&quot;, &quot;response_issues&quot;: &quot;Could be slightly more concise in the explanation.&quot;, &quot;prompt_rewrite&quot;: &quot;Saya sedang mengerjakan tugas machine learning dan ingin tahu apakah kode berikut benar: filename = 'Brilian_03_pima-indians-diabetes.data.csv'. Jika salah, berikan jawaban yang benar dan penjelasannya.&quot;, &quot;response_improvement_suggestions&quot;: &quot;Consider summarizing the explanation to enhance clarity.&quot;, &quot;verdict&quot;: &quot;good&quot;, &quot;needs_human_review&quot;: false}"/>
    <s v="ok"/>
    <n v="4"/>
  </r>
  <r>
    <x v="55"/>
    <s v="[MODE:code]_x000a_Sekarang, kita akan pisahkan fitur dan target (X dan y). kolom target adalah charge sedangkan fitur adalah sisanya_x000a_X = ## YOUR CODE HERE ##_x000a_y = ## YOUR CODE HERE ##"/>
    <s v="done"/>
    <s v="X = df.drop(columns=[&quot;charges&quot;])_x000a_y = df[&quot;charges&quot;]"/>
    <s v="```python_x000a_X = df.drop(columns=[&quot;charges&quot;])_x000a_y = df[&quot;charges&quot;]_x000a_```"/>
    <d v="2026-03-03T11:38:26"/>
    <x v="6"/>
    <n v="0"/>
    <n v="50"/>
    <n v="18"/>
    <n v="68"/>
    <n v="176"/>
    <n v="64"/>
    <n v="3079"/>
    <n v="4"/>
    <n v="5"/>
    <n v="4"/>
    <s v="Clear and specific about the task."/>
    <s v="Could provide more context on the data structure."/>
    <s v="Correct and complete code for separating features and target."/>
    <s v="None."/>
    <s v="Pisahkan fitur dan target dari DataFrame df, di mana kolom target adalah 'charges' dan fitur adalah kolom lainnya."/>
    <s v="None needed; response is already clear and correct."/>
    <s v="good"/>
    <b v="0"/>
    <s v="gpt-4o-mini"/>
    <s v="{&quot;prompt_score&quot;: 4, &quot;response_score&quot;: 5, &quot;overall_score&quot;: 4, &quot;prompt_strengths&quot;: &quot;Clear and specific about the task.&quot;, &quot;prompt_issues&quot;: &quot;Could provide more context on the data structure.&quot;, &quot;response_strengths&quot;: &quot;Correct and complete code for separating features and target.&quot;, &quot;response_issues&quot;: &quot;None.&quot;, &quot;prompt_rewrite&quot;: &quot;Pisahkan fitur dan target dari DataFrame df, di mana kolom target adalah 'charges' dan fitur adalah kolom lainnya.&quot;, &quot;response_improvement_suggestions&quot;: &quot;None needed; response is already clear and correct.&quot;, &quot;verdict&quot;: &quot;good&quot;, &quot;needs_human_review&quot;: false}"/>
    <s v="ok"/>
    <n v="4"/>
  </r>
  <r>
    <x v="55"/>
    <s v="[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1:59"/>
    <x v="6"/>
    <n v="0"/>
    <n v="181"/>
    <n v="266"/>
    <n v="447"/>
    <n v="531"/>
    <n v="867"/>
    <n v="4304"/>
    <n v="4"/>
    <n v="5"/>
    <n v="4"/>
    <s v="Clear and specific data points provided."/>
    <s v="Could benefit from clearer structure or questions."/>
    <s v="Thorough analysis and clear explanation of data."/>
    <s v="Could include more visual references to the graph."/>
    <s v="[MODE:summary] Jelaskan grafik asuransi berdasarkan data berikut: Rata-rata biaya berdasarkan status perokok, jenis kelamin, dan wilayah. Sertakan juga tren biaya berdasarkan usia."/>
    <s v="Incorporate references to specific visual elements of the graph for better clarity."/>
    <s v="good"/>
    <b v="0"/>
    <s v="gpt-4o-mini"/>
    <s v="{&quot;prompt_score&quot;: 4, &quot;response_score&quot;: 5, &quot;overall_score&quot;: 4, &quot;prompt_strengths&quot;: &quot;Clear and specific data points provided.&quot;, &quot;prompt_issues&quot;: &quot;Could benefit from clearer structure or questions.&quot;, &quot;response_strengths&quot;: &quot;Thorough analysis and clear explanation of data.&quot;, &quot;response_issues&quot;: &quot;Could include more visual references to the graph.&quot;, &quot;prompt_rewrite&quot;: &quot;[MODE:summary] Jelaskan grafik asuransi berdasarkan data berikut: Rata-rata biaya berdasarkan status perokok, jenis kelamin, dan wilayah. Sertakan juga tren biaya berdasarkan usia.&quot;, &quot;response_improvement_suggestions&quot;: &quot;Incorporate references to specific visual elements of the graph for better clarity.&quot;, &quot;verdict&quot;: &quot;good&quot;, &quot;needs_human_review&quot;: false}"/>
    <s v="ok"/>
    <n v="4"/>
  </r>
  <r>
    <x v="56"/>
    <s v="[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
    <s v="done"/>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d v="2026-04-07T12:38:29"/>
    <x v="0"/>
    <n v="0"/>
    <n v="623"/>
    <n v="378"/>
    <n v="1001"/>
    <n v="2163"/>
    <n v="1364"/>
    <n v="738"/>
    <n v="4"/>
    <n v="4"/>
    <n v="4"/>
    <s v="Clear explanation of the bug and solution with code context."/>
    <s v="Could be more concise; some details may overwhelm the reader."/>
    <s v="Addresses the issue directly and provides a corrected code example."/>
    <s v="Could clarify the reasoning behind the changes more explicitly."/>
    <s v="[MODE:summary_code_explanation] **Summary:** The bug is in `linear_reg_cost_function` due to a shape mismatch with `theta`. Flatten `theta` and `y` to 1D to fix the issue. **Explanation:** The error occurs when `reg_term @ reg_term` is invalid due to `reg_term` being 2D. Reshape `theta` to `(n,)` for correct computation."/>
    <s v="Clarify the reasoning behind the function signature change and its impact on the error."/>
    <s v="good"/>
    <b v="0"/>
    <s v="gpt-4o-mini"/>
    <s v="{&quot;prompt_score&quot;: 4, &quot;response_score&quot;: 4, &quot;overall_score&quot;: 4, &quot;prompt_strengths&quot;: &quot;Clear explanation of the bug and solution with code context.&quot;, &quot;prompt_issues&quot;: &quot;Could be more concise; some details may overwhelm the reader.&quot;, &quot;response_strengths&quot;: &quot;Addresses the issue directly and provides a corrected code example.&quot;, &quot;response_issues&quot;: &quot;Could clarify the reasoning behind the changes more explicitly.&quot;, &quot;prompt_rewrite&quot;: &quot;[MODE:summary_code_explanation] **Summary:** The bug is in `linear_reg_cost_function` due to a shape mismatch with `theta`. Flatten `theta` and `y` to 1D to fix the issue. **Explanation:** The error occurs when `reg_term @ reg_term` is invalid due to `reg_term` being 2D. Reshape `theta` to `(n,)` for correct computation.&quot;, &quot;response_improvement_suggestions&quot;: &quot;Clarify the reasoning behind the function signature change and its impact on the error.&quot;, &quot;verdict&quot;: &quot;good&quot;, &quot;needs_human_review&quot;: false}"/>
    <s v="ok"/>
    <n v="4"/>
  </r>
  <r>
    <x v="56"/>
    <s v="[MODE:summary_code_explanation]_x000a_What will happen to the eta vs MSE cost diagram if added more iteration like to 1 million iterations?"/>
    <s v="done"/>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    m = y.size_x000a_    history = []_x000a_    for i in range(num_iters):_x000a_        error = X @ theta - y_x000a_        theta = theta - (eta / m) * (X.T @ error)_x000a_        if i % sample_every == 0:_x000a_            history.append(compute_cost(X, y, theta))_x000a_    return theta, np.array(history)_x000a_```_x000a__x000a_**EXPLANATION:**_x000a_- **For stable `eta` (below the stability limit):**_x000a_  - The MSE curve will **keep decreasing** until it gets very close to the optimum, then **flatten** (diminishing returns)._x000a_  - With **larger stable `eta` (e.g., 0.1)**: it will typically **drop fast early** and then plateau quickly. Extra iterations mostly don’t help after it’s near the minimum._x000a_  - With **small `eta` (e.g., 0.001)**: it will **decrease more slowly**, so adding many iterations can let it eventually reach a similar final MSE—just much later._x000a__x000a_- **For unstable `eta` (too large):**_x000a_  - More iterations makes the behavior more obvious: MSE will **oscillate with growing amplitude** or **diverge to very large values / NaN/Inf**. It will not “eventually converge” just by waiting longer._x000a__x000a_- **What the “eta vs final MSE” picture looks like with huge iterations:**_x000a_  - For each `eta`, if you plot **final MSE after 1e6 iterations**:_x000a_    - Stable `eta` values will cluster near the **same minimum MSE** (the optimum), because given enough iterations they all approach it._x000a_    - Very small `eta` might still be slightly above optimum if 1e6 is still not enough (depends on conditioning), but usually it gets closer._x000a_    - Unstable `eta` will show **very high / undefined** final MSE._x000a_  -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    m = y.size_x000a_    history = []_x000a_    for i in range(num_iters):_x000a_        error = X @ theta - y_x000a_        theta = theta - (eta / m) * (X.T @ error)_x000a_        if i % sample_every == 0:_x000a_            history.append(compute_cost(X, y, theta))_x000a_    return theta, np.array(history)_x000a_```_x000a__x000a_**EXPLANATION:**_x000a_- **For stable `eta` (below the stability limit):**_x000a_  - The MSE curve will **keep decreasing** until it gets very close to the optimum, then **flatten** (diminishing returns)._x000a_  - With **larger stable `eta` (e.g., 0.1)**: it will typically **drop fast early** and then plateau quickly. Extra iterations mostly don’t help after it’s near the minimum._x000a_  - With **small `eta` (e.g., 0.001)**: it will **decrease more slowly**, so adding many iterations can let it eventually reach a similar final MSE—just much later._x000a__x000a_- **For unstable `eta` (too large):**_x000a_  - More iterations makes the behavior more obvious: MSE will **oscillate with growing amplitude** or **diverge to very large values / NaN/Inf**. It will not “eventually converge” just by waiting longer._x000a__x000a_- **What the “eta vs final MSE” picture looks like with huge iterations:**_x000a_  - For each `eta`, if you plot **final MSE after 1e6 iterations**:_x000a_    - Stable `eta` values will cluster near the **same minimum MSE** (the optimum), because given enough iterations they all approach it._x000a_    - Very small `eta` might still be slightly above optimum if 1e6 is still not enough (depends on conditioning), but usually it gets closer._x000a_    - Unstable `eta` will show **very high / undefined** final MSE._x000a_  -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d v="2026-03-31T12:29:47"/>
    <x v="5"/>
    <n v="0"/>
    <n v="29"/>
    <n v="597"/>
    <n v="626"/>
    <n v="133"/>
    <n v="2343"/>
    <n v="845"/>
    <n v="4"/>
    <n v="5"/>
    <n v="5"/>
    <s v="Clear and specific about the scenario."/>
    <s v="Could provide more context on the significance of eta and MSE."/>
    <s v="Thorough explanation with relevant code example."/>
    <s v="Could be slightly more concise in some areas."/>
    <s v="[MODE:summary_code_explanation] How does increasing iterations to 1 million affect the eta vs MSE cost diagram in gradient descent optimization?"/>
    <s v="Consider summarizing key points more succinctly to enhance clarity."/>
    <s v="excellent"/>
    <b v="0"/>
    <s v="gpt-4o-mini"/>
    <s v="{&quot;prompt_score&quot;: 4, &quot;response_score&quot;: 5, &quot;overall_score&quot;: 5, &quot;prompt_strengths&quot;: &quot;Clear and specific about the scenario.&quot;, &quot;prompt_issues&quot;: &quot;Could provide more context on the significance of eta and MSE.&quot;, &quot;response_strengths&quot;: &quot;Thorough explanation with relevant code example.&quot;, &quot;response_issues&quot;: &quot;Could be slightly more concise in some areas.&quot;, &quot;prompt_rewrite&quot;: &quot;[MODE:summary_code_explanation] How does increasing iterations to 1 million affect the eta vs MSE cost diagram in gradient descent optimization?&quot;, &quot;response_improvement_suggestions&quot;: &quot;Consider summarizing key points more succinctly to enhance clarity.&quot;, &quot;verdict&quot;: &quot;excellent&quot;, &quot;needs_human_review&quot;: false}"/>
    <s v="ok"/>
    <n v="5"/>
  </r>
  <r>
    <x v="56"/>
    <s v="[MODE:code]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
    <s v="done"/>
    <s v="print(f&quot;Accuracy : {acc:.4f}&quot;)_x000a_print(f&quot;Precision: {prec:.4f}&quot;)_x000a_print(f&quot;Recall   : {rec:.4f}&quot;)"/>
    <s v="```python_x000a_# =========================_x000a_# KLASIFIKASI: pass_fail_x000a_# - encode label ke numerik_x000a_# - gunakan prediksi regresi (final_exam_score) sebagai fitur tambahan_x000a_# - split 80:20_x000a_# =========================_x000a__x000a_target_reg = &quot;final_exam_score&quot;_x000a_target_clf = &quot;pass_fail&quot;_x000a__x000a_# Fitur dasar (hindari leakage: jangan pakai final_exam_score, pass_fail, grade_category, student_id)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1) Encode pass_fail -&gt; 0/1_x000a_map_pf = {&quot;pass&quot;: 1, &quot;fail&quot;: 0, &quot;Pass&quot;: 1, &quot;Fail&quot;: 0, &quot;PASS&quot;: 1, &quot;FAIL&quot;: 0}_x000a_y_clf = y_clf_raw.map(map_pf)_x000a__x000a_if y_clf.isna().any():_x000a_    y_clf, classes_ = pd.factorize(y_clf_raw)_x000a_    print(&quot;pass_fail difactorize. Urutan kelas:&quot;, list(classes_))_x000a_else:_x000a_    y_clf = y_clf.astype(int)_x000a__x000a_# 2) Split 80:20 (stratify untuk menjaga proporsi kelas)_x000a_X_train, X_test, y_reg_train, y_reg_test, y_clf_train, y_clf_test = train_test_split(_x000a_    X, y_reg, y_clf, test_size=0.2, random_state=42, stratify=y_clf_x000a_)_x000a__x000a_# 3) Preprocess untuk regresi_x000a_num_cols = X.select_dtypes(include=[np.number]).columns.tolist()_x000a_cat_cols = X.select_dtypes(exclude=[np.number]).columns.tolist()_x000a__x000a_preprocess_reg = ColumnTransformer(_x000a_    transformers=[_x000a_        (&quot;num&quot;, StandardScaler(), num_cols),_x000a_        (&quot;cat&quot;, OneHotEncoder(handle_unknown=&quot;ignore&quot;), cat_cols),_x000a_    ],_x000a_    remainder=&quot;drop&quot;,_x000a_)_x000a__x000a_# 4) Model regresi -&gt; prediksi final_exam_score_x000a_reg_model = Pipeline(steps=[_x000a_    (&quot;preprocess&quot;, preprocess_reg),_x000a_    (&quot;model&quot;, Ridge(alpha=1.0))_x000a_])_x000a__x000a_reg_model.fit(X_train, y_reg_train)_x000a__x000a_pred_reg_train = reg_model.predict(X_train)_x000a_pred_reg_test = reg_model.predict(X_test)_x000a__x000a_# (opsional) evaluasi regresi_x000a_rmse = mean_squared_error(y_reg_test, pred_reg_test) ** 0.5_x000a_mae = mean_absolute_error(y_reg_test, pred_reg_test)_x000a_print(&quot;=== REGRESI (final_exam_score) ===&quot;)_x000a_print(f&quot;RMSE: {rmse:.4f}&quot;)_x000a_print(f&quot;MAE : {mae:.4f}&quot;)_x000a__x000a_# 5) Tambahkan prediksi regresi sebagai fitur untuk klasifikasi_x000a_X_train_clf = X_train.copy()_x000a_X_test_clf = X_test.copy()_x000a_X_train_clf[&quot;pred_final_exam_score&quot;] = pred_reg_train_x000a_X_test_clf[&quot;pred_final_exam_score&quot;] = pred_reg_test_x000a__x000a_# 6) Preprocess untuk klasifikasi (termasuk fitur pred_final_exam_score)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 7) Model klasifikasi -&gt; pass_fail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_x000a__x000a_print(&quot;\n=== KLASIFIKASI (pass_fail) ===&quot;)_x000a_print(f&quot;Accuracy : {acc:.4f}&quot;)_x000a_print(f&quot;Precision: {prec:.4f}&quot;)_x000a_print(f&quot;Recall   : {rec:.4f}&quot;)_x000a_print(&quot;Confusion Matrix:\"/>
    <d v="2026-04-14T11:01:32"/>
    <x v="3"/>
    <n v="0"/>
    <n v="307"/>
    <n v="1039"/>
    <n v="1346"/>
    <n v="1447"/>
    <n v="3579"/>
    <n v="1105"/>
    <n v="3"/>
    <n v="2"/>
    <n v="2"/>
    <s v="Includes relevant libraries and context for classification task."/>
    <s v="Lacks clarity and structure; mixed languages and unclear instructions."/>
    <s v="Provides relevant output format for model evaluation metrics."/>
    <s v="Incomplete; lacks context and necessary code for model predictions."/>
    <s v="Using the provided dataset, implement a classification task to predict 'pass_fail' using regression model outputs. Ensure to convert target labels to numeric format if needed."/>
    <s v="Include the complete code for model training and predictions before printing metrics."/>
    <s v="fair"/>
    <b v="0"/>
    <s v="gpt-4o-mini"/>
    <s v="{&quot;prompt_score&quot;: 3, &quot;response_score&quot;: 2, &quot;overall_score&quot;: 2, &quot;prompt_strengths&quot;: &quot;Includes relevant libraries and context for classification task.&quot;, &quot;prompt_issues&quot;: &quot;Lacks clarity and structure; mixed languages and unclear instructions.&quot;, &quot;response_strengths&quot;: &quot;Provides relevant output format for model evaluation metrics.&quot;, &quot;response_issues&quot;: &quot;Incomplete; lacks context and necessary code for model predictions.&quot;, &quot;prompt_rewrite&quot;: &quot;Using the provided dataset, implement a classification task to predict 'pass_fail' using regression model outputs. Ensure to convert target labels to numeric format if needed.&quot;, &quot;response_improvement_suggestions&quot;: &quot;Include the complete code for model training and predictions before printing metrics.&quot;, &quot;verdict&quot;: &quot;fair&quot;, &quot;needs_human_review&quot;: false}"/>
    <s v="ok"/>
    <n v="3"/>
  </r>
  <r>
    <x v="56"/>
    <s v="[MODE:summary_code_explanation]_x000a_[ASSESSMENT_ID:1771cf8b-0a65-11f1-b762-3e0936ad7efb]_x000a_[FORCE_GPT:true]_x000a_[AUTO_FALLBACK:true]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Summary:** Your `train_linear_reg` is fixed to call `linear_reg_cost_function(t, x, y, alpha)`, so your cost function must use the signature `(theta, X, y, alpha)` (theta first). Right now you defined it as `(X, y, theta, alpha)`, so arguments are swapped and you get the matmul dimension error._x000a__x000a_```python_x000a_import numpy as np_x000a__x000a_def linear_reg_cost_function(theta, X, y, alpha):_x000a_    # m training examples_x000a_    y = np.asarray(y).reshape(-1)           # (m,)_x000a_    X = np.asarray(X)                      # (m, n)_x000a_    theta = np.asarray(theta).reshape(-1)  # (n,)_x000a__x000a_    m = y.size_x000a__x000a_    error = X @ theta - y                  # (m,)_x000a__x000a_    # regularization (exclude bias)_x000a_    reg_theta = theta.copy()_x000a_    reg_theta[0] = 0.0_x000a__x000a_    cost = (error @ error) / (2 * m) + (alpha / (2 * m)) * (reg_theta @ reg_theta)_x000a_    grad = (X.T @ error) / m + (alpha / m) * reg_theta_x000a__x000a_    return cost, grad_x000a_```_x000a__x000a_**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
    <s v="**Summary:** Your `train_linear_reg` is fixed to call `linear_reg_cost_function(t, x, y, alpha)`, so your cost function must use the signature `(theta, X, y, alpha)` (theta first). Right now you defined it as `(X, y, theta, alpha)`, so arguments are swapped and you get the matmul dimension error._x000a__x000a_```python_x000a_import numpy as np_x000a__x000a_def linear_reg_cost_function(theta, X, y, alpha):_x000a_    # m training examples_x000a_    y = np.asarray(y).reshape(-1)           # (m,)_x000a_    X = np.asarray(X)                      # (m, n)_x000a_    theta = np.asarray(theta).reshape(-1)  # (n,)_x000a__x000a_    m = y.size_x000a__x000a_    error = X @ theta - y                  # (m,)_x000a__x000a_    # regularization (exclude bias)_x000a_    reg_theta = theta.copy()_x000a_    reg_theta[0] = 0.0_x000a__x000a_    cost = (error @ error) / (2 * m) + (alpha / (2 * m)) * (reg_theta @ reg_theta)_x000a_    grad = (X.T @ error) / m + (alpha / m) * reg_theta_x000a__x000a_    return cost, grad_x000a_```_x000a__x000a_**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
    <d v="2026-04-07T12:46:16"/>
    <x v="0"/>
    <n v="0"/>
    <n v="781"/>
    <n v="370"/>
    <n v="1151"/>
    <n v="2744"/>
    <n v="1368"/>
    <n v="1524"/>
    <n v="4"/>
    <n v="5"/>
    <n v="5"/>
    <s v="Clear and specific about the bug and solution."/>
    <s v="Could provide more context on the function's purpose."/>
    <s v="Accurate, relevant, and provides a clear solution."/>
    <s v="None significant; well-structured explanation."/>
    <s v="Explain the bug in `linear_reg_cost_function` and how to fix it, including context on the function's role in the learning process."/>
    <s v="Consider adding a brief example of how the corrected function would be used."/>
    <s v="excellent"/>
    <b v="0"/>
    <s v="gpt-4o-mini"/>
    <s v="{&quot;prompt_score&quot;: 4, &quot;response_score&quot;: 5, &quot;overall_score&quot;: 5, &quot;prompt_strengths&quot;: &quot;Clear and specific about the bug and solution.&quot;, &quot;prompt_issues&quot;: &quot;Could provide more context on the function's purpose.&quot;, &quot;response_strengths&quot;: &quot;Accurate, relevant, and provides a clear solution.&quot;, &quot;response_issues&quot;: &quot;None significant; well-structured explanation.&quot;, &quot;prompt_rewrite&quot;: &quot;Explain the bug in `linear_reg_cost_function` and how to fix it, including context on the function's role in the learning process.&quot;, &quot;response_improvement_suggestions&quot;: &quot;Consider adding a brief example of how the corrected function would be used.&quot;, &quot;verdict&quot;: &quot;excellent&quot;, &quot;needs_human_review&quot;: false}"/>
    <s v="ok"/>
    <n v="5"/>
  </r>
  <r>
    <x v="5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_x000a_# =========================_x000a_# Split data (80:20)_x000a_# =========================_x000a_X_reg_train, X_reg_test, y_reg_train, y_reg_test = train_test_split(_x000a_    X_reg, y_reg, test_size=0.2, random_state=42_x000a_)_x000a__x000a_# =========================_x000a_# Preprocessing pipeline_x000a_# =========================_x000a_# - Pisahkan kolom numerik &amp; kategorikal_x000a_num_cols = X_reg.select_dtypes(include=[np.number]).columns.tolist()_x000a_cat_cols = X_reg.select_dtypes(exclude=[np.number]).columns.tolist()_x000a__x000a_preprocess = ColumnTransformer(_x000a_    transformers=[_x000a_        # Standarisasi fitur numerik agar skala seragam (penting untuk Ridge/Lasso)_x000a_        (&quot;num&quot;, StandardScaler(), num_cols),_x000a_        # One-hot encoding untuk fitur kategorikal (aman untuk kategori baru di test)_x000a_        (&quot;cat&quot;, OneHotEncoder(handle_unknown=&quot;ignore&quot;), cat_cols),_x000a_    ],_x000a_    remainder=&quot;drop&quot;  # buang kolom lain yang tidak dipilih_x000a_)_x000a__x000a_# =========================_x000a_# Model candidate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
    <s v="```python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_x000a_# =========================_x000a_# Split data (80:20)_x000a_# =========================_x000a_X_reg_train, X_reg_test, y_reg_train, y_reg_test = train_test_split(_x000a_    X_reg, y_reg, test_size=0.2, random_state=42_x000a_)_x000a__x000a_# =========================_x000a_# Preprocessing pipeline_x000a_# =========================_x000a_# - Pisahkan kolom numerik &amp; kategorikal_x000a_num_cols = X_reg.select_dtypes(include=[np.number]).columns.tolist()_x000a_cat_cols = X_reg.select_dtypes(exclude=[np.number]).columns.tolist()_x000a__x000a_preprocess = ColumnTransformer(_x000a_    transformers=[_x000a_        # Standarisasi fitur numerik agar skala seragam (penting untuk Ridge/Lasso)_x000a_        (&quot;num&quot;, StandardScaler(), num_cols),_x000a_        # One-hot encoding untuk fitur kategorikal (aman untuk kategori baru di test)_x000a_        (&quot;cat&quot;, OneHotEncoder(handle_unknown=&quot;ignore&quot;), cat_cols),_x000a_    ],_x000a_    remainder=&quot;drop&quot;  # buang kolom lain yang tidak dipilih_x000a_)_x000a__x000a_# =========================_x000a_# Model candidate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
    <d v="2026-04-14T11:15:08"/>
    <x v="3"/>
    <n v="0"/>
    <n v="366"/>
    <n v="507"/>
    <n v="873"/>
    <n v="1340"/>
    <n v="2133"/>
    <n v="1937"/>
    <n v="4"/>
    <n v="5"/>
    <n v="4"/>
    <s v="Clear instructions and specific requirements for model building."/>
    <s v="Could benefit from clearer context on the dataset and features."/>
    <s v="Correct implementation of models and evaluation metrics, clear structure."/>
    <s v="Lacks comments explaining each step in the code."/>
    <s v="Build regression models to predict `final_exam_score` using LinearRegression, Ridge (alpha=1.0), and Lasso (alpha=0.1). Use a pipeline to handle numerical and categorical features. Evaluate each model using RMSE and MAE. Provide context on the dataset used."/>
    <s v="Add comments to explain the purpose of each code section and the rationale behind choices made."/>
    <s v="good"/>
    <b v="0"/>
    <s v="gpt-4o-mini"/>
    <s v="{&quot;prompt_score&quot;: 4, &quot;response_score&quot;: 5, &quot;overall_score&quot;: 4, &quot;prompt_strengths&quot;: &quot;Clear instructions and specific requirements for model building.&quot;, &quot;prompt_issues&quot;: &quot;Could benefit from clearer context on the dataset and features.&quot;, &quot;response_strengths&quot;: &quot;Correct implementation of models and evaluation metrics, clear structure.&quot;, &quot;response_issues&quot;: &quot;Lacks comments explaining each step in the code.&quot;, &quot;prompt_rewrite&quot;: &quot;Build regression models to predict `final_exam_score` using LinearRegression, Ridge (alpha=1.0), and Lasso (alpha=0.1). Use a pipeline to handle numerical and categorical features. Evaluate each model using RMSE and MAE. Provide context on the dataset used.&quot;, &quot;response_improvement_suggestions&quot;: &quot;Add comments to explain the purpose of each code section and the rationale behind choices made.&quot;, &quot;verdict&quot;: &quot;good&quot;, &quot;needs_human_review&quot;: false}"/>
    <s v="ok"/>
    <n v="4"/>
  </r>
  <r>
    <x v="56"/>
    <s v="[LANG:Python]_x000a_[MODE:summary_code_explanation]_x000a_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
    <s v="done"/>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d v="2026-03-03T11:52:45"/>
    <x v="6"/>
    <n v="0"/>
    <n v="117"/>
    <n v="156"/>
    <n v="273"/>
    <n v="474"/>
    <n v="589"/>
    <n v="2407"/>
    <n v="4"/>
    <n v="5"/>
    <n v="5"/>
    <s v="Clear and specific about the task."/>
    <s v="Minor grammatical error in 'sucessfully'."/>
    <s v="Accurate, complete, and well-explained."/>
    <s v="None."/>
    <s v="[LANG:Python] [MODE:summary_code_explanation] I'm using Python and have imported the pandas library as ```pd```. I've successfully loaded the csv dataset into a variable called ```df``` (DataFrame object) with the columns: ```age, sex, bmi, children, smoker, region, charges```. I want to separate the dataframe into ```X``` for the features and ```y``` for the labels. The features' columns are: ```age, sex, bmi, children, smoker, region``` and the label's column is: ```charges```."/>
    <s v="None needed; response is already excellent."/>
    <s v="excellent"/>
    <b v="0"/>
    <s v="gpt-4o-mini"/>
    <s v="{&quot;prompt_score&quot;: 4, &quot;response_score&quot;: 5, &quot;overall_score&quot;: 5, &quot;prompt_strengths&quot;: &quot;Clear and specific about the task.&quot;, &quot;prompt_issues&quot;: &quot;Minor grammatical error in 'sucessfully'.&quot;, &quot;response_strengths&quot;: &quot;Accurate, complete, and well-explained.&quot;, &quot;response_issues&quot;: &quot;None.&quot;, &quot;prompt_rewrite&quot;: &quot;[LANG:Python] [MODE:summary_code_explanation] I'm using Python and have imported the pandas library as ```pd```. I've successfully loaded the csv dataset into a variable called ```df``` (DataFrame object) with the columns: ```age, sex, bmi, children, smoker, region, charges```. I want to separate the dataframe into ```X``` for the features and ```y``` for the labels. The features' columns are: ```age, sex, bmi, children, smoker, region``` and the label's column is: ```charges```.&quot;, &quot;response_improvement_suggestions&quot;: &quot;None needed; response is already excellent.&quot;, &quot;verdict&quot;: &quot;excellent&quot;, &quot;needs_human_review&quot;: false}"/>
    <s v="ok"/>
    <n v="5"/>
  </r>
  <r>
    <x v="56"/>
    <s v="[MODE:code]_x000a_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
    <s v="done"/>
    <s v="import numpy as np_x000a_from sklearn.model_selection import cross_val_predict_x000a_from sklearn.metrics import roc_auc_score, roc_curve_x000a__x000a_# Get cross-validated predicted probabilities for the positive class_x000a_y_probas_forest = cross_val_predict(_x000a_    forest_clf,_x000a_    X,_x000a_    y,_x000a_    cv=5,_x000a_    method=&quot;predict_proba&quot;_x000a_)[:, 1]_x000a__x000a_# ROC AUC_x000a_roc_auc = roc_auc_score(y, y_probas_forest)_x000a_print(&quot;ROC AUC:&quot;, roc_auc)_x000a__x000a_# (optional) ROC curve points_x000a_fpr, tpr, thresholds = roc_curve(y, y_probas_forest)"/>
    <s v="```python_x000a_import numpy as np_x000a_from sklearn.model_selection import cross_val_predict_x000a_from sklearn.metrics import roc_auc_score, roc_curve_x000a__x000a_# Get cross-validated predicted probabilities for the positive class_x000a_y_probas_forest = cross_val_predict(_x000a_    forest_clf,_x000a_    X,_x000a_    y,_x000a_    cv=5,_x000a_    method=&quot;predict_proba&quot;_x000a_)[:, 1]_x000a__x000a_# ROC AUC_x000a_roc_auc = roc_auc_score(y, y_probas_forest)_x000a_print(&quot;ROC AUC:&quot;, roc_auc)_x000a__x000a_# (optional) ROC curve points_x000a_fpr, tpr, thresholds = roc_curve(y, y_probas_forest)_x000a_```"/>
    <d v="2026-03-17T12:41:42"/>
    <x v="4"/>
    <n v="0"/>
    <n v="79"/>
    <n v="132"/>
    <n v="211"/>
    <n v="315"/>
    <n v="487"/>
    <n v="3609"/>
    <n v="4"/>
    <n v="5"/>
    <n v="5"/>
    <s v="Clear and specific about the task."/>
    <s v="Could provide more context about the dataset."/>
    <s v="Correct and complete code with clear explanations."/>
    <s v="None."/>
    <s v="In Python, I have imported pandas as pd and partially imported scikit-learn. What additional imports do I need to calculate the ROC AUC for a RandomForestClassifier named forest_clf, using cross-validation predictions stored in y_probas_forest?"/>
    <s v="Consider adding comments to explain each step of the code."/>
    <s v="excellent"/>
    <b v="0"/>
    <s v="gpt-4o-mini"/>
    <s v="{&quot;prompt_score&quot;: 4, &quot;response_score&quot;: 5, &quot;overall_score&quot;: 5, &quot;prompt_strengths&quot;: &quot;Clear and specific about the task.&quot;, &quot;prompt_issues&quot;: &quot;Could provide more context about the dataset.&quot;, &quot;response_strengths&quot;: &quot;Correct and complete code with clear explanations.&quot;, &quot;response_issues&quot;: &quot;None.&quot;, &quot;prompt_rewrite&quot;: &quot;In Python, I have imported pandas as pd and partially imported scikit-learn. What additional imports do I need to calculate the ROC AUC for a RandomForestClassifier named forest_clf, using cross-validation predictions stored in y_probas_forest?&quot;, &quot;response_improvement_suggestions&quot;: &quot;Consider adding comments to explain each step of the code.&quot;, &quot;verdict&quot;: &quot;excellent&quot;, &quot;needs_human_review&quot;: false}"/>
    <s v="ok"/>
    <n v="5"/>
  </r>
  <r>
    <x v="56"/>
    <s v="[MODE:summary_code_explanation]_x000a_[ASSESSMENT_ID:1771cf8b-0a65-11f1-b762-3e0936ad7efb]_x000a_[FORCE_GPT:true]_x000a_[AUTO_FALLBACK:true]_x000a_Can you debug this function? i have imported mathplotlib as plt, numpy as np and scipy.io as scio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_x000a_returns error at_x000a_error_train, error_val = learning_curve(np.c_[np.ones(m), X], y, np.c_[np.ones(Xval.shape[0]), Xval], yval, alpha)_x000a__x000a_error msg: _x000a_--------------------------------------------------------------------------_x000a_ValueError                                Traceback (most recent call last)_x000a_/tmp/ipykernel_2721/11294958.py in &lt;cell line: 0&gt;()_x000a_      4 _x000a_      5 alpha = 0_x000a_----&gt; 6 error_train, error_val = learning_curve(np.c_[np.ones(m), X], y, np.c_[np.ones(Xval.shape[0]), Xval], yval, alpha)_x000a_      7 _x000a_      8 plt.figure()_x000a__x000a_1 frames_x000a_/tmp/ipykernel_2721/349473195.py in linear_reg_cost_function(theta, x, y, alpha)_x000a_     16     reg_term = theta.copy()_x000a_     17     reg_term[0] = 0.0_x000a_---&gt; 18     cost += (alpha / (2 * m)) * (reg_term @ reg_term)_x000a_     19 _x000a_     20     grad = (x.T @ error) / m + (alpha / m) * reg_term_x000a__x000a_ValueError: matmul: Input operand 1 has a mismatch in its core dimension 0, with gufunc signature (n?,k),(k,m?)-&gt;(n?,m?) (size 1 is different from 2)"/>
    <s v="done"/>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_x000a_```python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_x000a_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_x000a_```python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_x000a_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d v="2026-04-07T12:32:40"/>
    <x v="0"/>
    <n v="0"/>
    <n v="593"/>
    <n v="377"/>
    <n v="970"/>
    <n v="1965"/>
    <n v="1324"/>
    <n v="4077"/>
    <n v="4"/>
    <n v="5"/>
    <n v="5"/>
    <s v="Clear and specific about the debugging task."/>
    <s v="Could provide more context on the expected output format."/>
    <s v="Thorough explanation of the issue with code corrections."/>
    <s v="None significant; response is complete and clear."/>
    <s v="Can you debug this function that calculates learning curves using imported libraries? The function is defined as follows: ... (include more context about expected output)."/>
    <s v="Consider adding examples of input and output for clarity."/>
    <s v="excellent"/>
    <b v="0"/>
    <s v="gpt-4o-mini"/>
    <s v="{&quot;prompt_score&quot;: 4, &quot;response_score&quot;: 5, &quot;overall_score&quot;: 5, &quot;prompt_strengths&quot;: &quot;Clear and specific about the debugging task.&quot;, &quot;prompt_issues&quot;: &quot;Could provide more context on the expected output format.&quot;, &quot;response_strengths&quot;: &quot;Thorough explanation of the issue with code corrections.&quot;, &quot;response_issues&quot;: &quot;None significant; response is complete and clear.&quot;, &quot;prompt_rewrite&quot;: &quot;Can you debug this function that calculates learning curves using imported libraries? The function is defined as follows: ... (include more context about expected output).&quot;, &quot;response_improvement_suggestions&quot;: &quot;Consider adding examples of input and output for clarity.&quot;, &quot;verdict&quot;: &quot;excellent&quot;, &quot;needs_human_review&quot;: false}"/>
    <s v="ok"/>
    <n v="5"/>
  </r>
  <r>
    <x v="56"/>
    <s v="[MODE:summary_code_explanation]_x000a_I'm currently code using Python with Pandas, MatPlotLib, and Numpy imported. I have a trained model using LogisticRegression() called logistic_reg using X_train and y_train, and I also have X_test and y_test for testing. Can you make a variable called result that uses the score()"/>
    <s v="done"/>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d v="2026-03-10T12:42:13"/>
    <x v="2"/>
    <n v="0"/>
    <n v="70"/>
    <n v="114"/>
    <n v="184"/>
    <n v="312"/>
    <n v="490"/>
    <n v="4755"/>
    <n v="4"/>
    <n v="5"/>
    <n v="5"/>
    <s v="Clear context and specific request for code."/>
    <s v="Could specify the expected output format for clarity."/>
    <s v="Correct and complete explanation with clear code example."/>
    <s v="None."/>
    <s v="I'm using Python with Pandas, Matplotlib, and Numpy. I have a trained LogisticRegression model called logistic_reg with X_train and y_train. Please provide code to create a variable called result that uses the score() method on the test set, and explain the output."/>
    <s v="None needed; response is already clear and complete."/>
    <s v="excellent"/>
    <b v="0"/>
    <s v="gpt-4o-mini"/>
    <s v="{&quot;prompt_score&quot;: 4, &quot;response_score&quot;: 5, &quot;overall_score&quot;: 5, &quot;prompt_strengths&quot;: &quot;Clear context and specific request for code.&quot;, &quot;prompt_issues&quot;: &quot;Could specify the expected output format for clarity.&quot;, &quot;response_strengths&quot;: &quot;Correct and complete explanation with clear code example.&quot;, &quot;response_issues&quot;: &quot;None.&quot;, &quot;prompt_rewrite&quot;: &quot;I'm using Python with Pandas, Matplotlib, and Numpy. I have a trained LogisticRegression model called logistic_reg with X_train and y_train. Please provide code to create a variable called result that uses the score() method on the test set, and explain the output.&quot;, &quot;response_improvement_suggestions&quot;: &quot;None needed; response is already clear and complete.&quot;, &quot;verdict&quot;: &quot;excellent&quot;, &quot;needs_human_review&quot;: false}"/>
    <s v="ok"/>
    <n v="5"/>
  </r>
  <r>
    <x v="56"/>
    <s v="[MODE:summary_code_explanation]_x000a_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_x0009_`grid_search` with the first 6000 data and also display the best score by `RSME` and the best hyperparameter from the result."/>
    <s v="done"/>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d v="2026-02-24T13:45:44"/>
    <x v="1"/>
    <n v="0"/>
    <n v="300"/>
    <n v="245"/>
    <n v="545"/>
    <n v="1347"/>
    <n v="948"/>
    <n v="4917"/>
    <n v="4"/>
    <n v="5"/>
    <n v="5"/>
    <s v="Detailed description of the code and its components."/>
    <s v="Could be more concise; some parts are overly verbose."/>
    <s v="Clear, relevant, and provides a complete solution with explanation."/>
    <s v="None significant; all aspects of the task are addressed."/>
    <s v="Summarize the Python code that processes a housing dataset using pandas, numpy, and scikit-learn, detailing the creation of pipelines and the training of a GridSearchCV model."/>
    <s v="None needed; the response is already comprehensive."/>
    <s v="excellent"/>
    <b v="0"/>
    <s v="gpt-4o-mini"/>
    <s v="{&quot;prompt_score&quot;: 4, &quot;response_score&quot;: 5, &quot;overall_score&quot;: 5, &quot;prompt_strengths&quot;: &quot;Detailed description of the code and its components.&quot;, &quot;prompt_issues&quot;: &quot;Could be more concise; some parts are overly verbose.&quot;, &quot;response_strengths&quot;: &quot;Clear, relevant, and provides a complete solution with explanation.&quot;, &quot;response_issues&quot;: &quot;None significant; all aspects of the task are addressed.&quot;, &quot;prompt_rewrite&quot;: &quot;Summarize the Python code that processes a housing dataset using pandas, numpy, and scikit-learn, detailing the creation of pipelines and the training of a GridSearchCV model.&quot;, &quot;response_improvement_suggestions&quot;: &quot;None needed; the response is already comprehensive.&quot;, &quot;verdict&quot;: &quot;excellent&quot;, &quot;needs_human_review&quot;: false}"/>
    <s v="ok"/>
    <n v="5"/>
  </r>
  <r>
    <x v="57"/>
    <s v="[MODE:code]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saya membutuhkan prasyarat yg diatas untuk bagian 3 dan 4. berikan kode untuk prasyarat tersebut"/>
    <s v="done"/>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_x000a__x000a_# =========================_x000a_# BAGIAN 3 &amp; 4 (PRASYARAT)_x000a_# - Load data_x000a_# - Feature engineering: engagement_index, digital_distraction_ratio, support_score_x000a_# - Buat target klasifikasi: at_risk_x000a_# - Tentukan fitur regresi (hindari leakage)_x000a_# - Split train-test 80:20 random_state=42_x000a_# - Train model regresi (Ridge) untuk menghasilkan:_x000a_#     y_pred_reg_train, y_pred_reg_test_x000a_# - Siapkan split klasifikasi:_x000a_#     X_train_cls, X_test_cls, y_train_cls, y_test_cls_x000a_# =========================_x000a__x000a_# 1) Load dataset_x000a_df = pd.read_csv(&quot;student_exam_performance_dataset (1).csv&quot;)_x000a__x000a_# 2) Helper: cari nama kolom (robust terhadap variasi penamaan)_x000a_def _find_col(df_cols, candidates):_x000a_    cols_lower = {c.lower(): c for c in df_cols}_x000a_    for cand in candidates:_x000a_        if cand.lower() in cols_lower:_x000a_            return cols_lower[cand.lower()]_x000a_    return None_x000a_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final_exam_col = _find_col(df.columns, [&quot;final_exam_score&quot;, &quot;final_score&quot;, &quot;final_exam&quot;, &quot;finalexam_score&quot;])_x000a_pass_fail_col = _find_col(df.columns, [&quot;pass_fail&quot;, &quot;pass/fail&quot;, &quot;passfail&quot;, &quot;passed&quot;])_x000a_grade_cat_col = _find_col(df.columns, [&quot;grade_category&quot;, &quot;grade_cat&quot;, &quot;gradecategory&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quot;final_exam_score&quot;: final_exam_col,_x000a_}_x000a_missing = [k for k, v in required.items() if v is None]_x000a_if missing:_x000a_    raise KeyError(f&quot;Kolom berikut tidak ditemukan di dataset: {missing}&quot;)_x000a__x000a_# 3) Pastikan numerik untuk kolom yang dibutuhkan_x000a_for c in [attendance_col, assignment_col, participation_col, social_col, study_col, online_courses_col, final_exam_col]:_x000a_    df[c] = pd.to_numeric(df[c], errors=&quot;coerce&quot;)_x000a__x000a_# 4) Feature engineering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df[&quot;digital_distraction_ratio&quot;] = df[social_col] / df[study_col].replace(0, np.nan)_x000a__x000a_tut = df[tutoring_col]_x000a_if tut.dtype == &quot;O&quot;:_x000a_    tut_norm = (_x000a_        tut.astype(str)_x000a_        .str.strip()_x000a_        .str.lower()_x000a_        .replace(_x000a_            {_x000a_                &quot;yes&quot;: 1, &quot;y&quot;: 1, &quot;true&quot;: 1, &quot;1&quot;: 1, &quot;t&quot;: 1,_x000a_                &quot;no&quot;: 0, &quot;n&quot;:"/>
    <d v="2026-04-15T15:00:00"/>
    <x v="3"/>
    <n v="0"/>
    <n v="130"/>
    <n v="1037"/>
    <n v="1167"/>
    <n v="462"/>
    <n v="3984"/>
    <n v="579"/>
    <n v="3"/>
    <n v="4"/>
    <n v="3"/>
    <s v="The prompt specifies prerequisites clearly."/>
    <s v="Lacks detail on what specific code is needed."/>
    <s v="The response includes relevant imports for data processing."/>
    <s v="Does not provide the actual code to create the required data structures."/>
    <s v="Berikan kode lengkap untuk membuat df dengan kolom: at_risk, engagement_index, digital_distraction_ratio, support_score, serta prediksi regresi y_pred_reg_train dan y_pred_reg_test, dan split klasifikasi X_train_cls, X_test_cls, y_train_cls, y_test_cls."/>
    <s v="Include code snippets that create the required DataFrame and perform the necessary splits."/>
    <s v="fair"/>
    <b v="0"/>
    <s v="gpt-4o-mini"/>
    <s v="{&quot;prompt_score&quot;: 3, &quot;response_score&quot;: 4, &quot;overall_score&quot;: 3, &quot;prompt_strengths&quot;: &quot;The prompt specifies prerequisites clearly.&quot;, &quot;prompt_issues&quot;: &quot;Lacks detail on what specific code is needed.&quot;, &quot;response_strengths&quot;: &quot;The response includes relevant imports for data processing.&quot;, &quot;response_issues&quot;: &quot;Does not provide the actual code to create the required data structures.&quot;, &quot;prompt_rewrite&quot;: &quot;Berikan kode lengkap untuk membuat df dengan kolom: at_risk, engagement_index, digital_distraction_ratio, support_score, serta prediksi regresi y_pred_reg_train dan y_pred_reg_test, dan split klasifikasi X_train_cls, X_test_cls, y_train_cls, y_test_cls.&quot;, &quot;response_improvement_suggestions&quot;: &quot;Include code snippets that create the required DataFrame and perform the necessary splits.&quot;, &quot;verdict&quot;: &quot;fair&quot;, &quot;needs_human_review&quot;: false}"/>
    <s v="ok"/>
    <n v="3"/>
  </r>
  <r>
    <x v="57"/>
    <s v="[MODE:code]_x000a_i need to show best score from grid_search based on RMSE from earlier input database course 2 machine learning"/>
    <s v="done"/>
    <s v="from sklearn.model_selection import GridSearchCV_x000a_from sklearn.metrics import mean_squared_error_x000a__x000a_# Assumes you already have:_x000a_# - svr_pipeline (Pipeline with preprocessing + SVR)_x000a_# - X_train, X_test, y_train, y_test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
    <s v="```python_x000a_from sklearn.model_selection import GridSearchCV_x000a_from sklearn.metrics import mean_squared_error_x000a__x000a_# Assumes you already have:_x000a_# - svr_pipeline (Pipeline with preprocessing + SVR)_x000a_# - X_train, X_test, y_train, y_test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_x000a_```"/>
    <d v="2026-02-25T16:04:14"/>
    <x v="1"/>
    <n v="0"/>
    <n v="27"/>
    <n v="266"/>
    <n v="293"/>
    <n v="122"/>
    <n v="911"/>
    <n v="1575"/>
    <n v="3"/>
    <n v="5"/>
    <n v="4"/>
    <s v="The prompt specifies the need for RMSE and grid search context."/>
    <s v="Lacks clarity and structure; could be more specific about the input data."/>
    <s v="The response is relevant, correct, and complete, providing a clear code example."/>
    <s v="Could include comments on the importance of RMSE in model evaluation."/>
    <s v="Show how to extract the best score from a grid search based on RMSE for a support vector regression model using a provided dataset."/>
    <s v="Add a brief explanation of RMSE and its significance in model evaluation."/>
    <s v="good"/>
    <b v="0"/>
    <s v="gpt-4o-mini"/>
    <s v="{&quot;prompt_score&quot;: 3, &quot;response_score&quot;: 5, &quot;overall_score&quot;: 4, &quot;prompt_strengths&quot;: &quot;The prompt specifies the need for RMSE and grid search context.&quot;, &quot;prompt_issues&quot;: &quot;Lacks clarity and structure; could be more specific about the input data.&quot;, &quot;response_strengths&quot;: &quot;The response is relevant, correct, and complete, providing a clear code example.&quot;, &quot;response_issues&quot;: &quot;Could include comments on the importance of RMSE in model evaluation.&quot;, &quot;prompt_rewrite&quot;: &quot;Show how to extract the best score from a grid search based on RMSE for a support vector regression model using a provided dataset.&quot;, &quot;response_improvement_suggestions&quot;: &quot;Add a brief explanation of RMSE and its significance in model evaluation.&quot;, &quot;verdict&quot;: &quot;good&quot;, &quot;needs_human_review&quot;: false}"/>
    <s v="ok"/>
    <n v="4"/>
  </r>
  <r>
    <x v="57"/>
    <s v="[MODE:code]_x000a_bagaimana cara menghitung f1 score menggunakan classifier yang dimiliki jika classifier yang dimiliki adalah y dan x"/>
    <s v="done"/>
    <s v="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
    <s v="```python_x000a_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_x000a_```"/>
    <d v="2026-03-18T15:32:10"/>
    <x v="4"/>
    <n v="0"/>
    <n v="29"/>
    <n v="82"/>
    <n v="111"/>
    <n v="128"/>
    <n v="300"/>
    <n v="3049"/>
    <n v="4"/>
    <n v="5"/>
    <n v="5"/>
    <s v="Clear and specific request for F1 score calculation."/>
    <s v="Could provide more context on the classifier type."/>
    <s v="Correct implementation with relevant libraries and clear output."/>
    <s v="None significant; could include comments for clarity."/>
    <s v="Bagaimana cara menghitung F1 score menggunakan classifier yang sudah dilatih dengan data x dan y?"/>
    <s v="Add comments to explain each step of the code."/>
    <s v="excellent"/>
    <b v="0"/>
    <s v="gpt-4o-mini"/>
    <s v="{&quot;prompt_score&quot;: 4, &quot;response_score&quot;: 5, &quot;overall_score&quot;: 5, &quot;prompt_strengths&quot;: &quot;Clear and specific request for F1 score calculation.&quot;, &quot;prompt_issues&quot;: &quot;Could provide more context on the classifier type.&quot;, &quot;response_strengths&quot;: &quot;Correct implementation with relevant libraries and clear output.&quot;, &quot;response_issues&quot;: &quot;None significant; could include comments for clarity.&quot;, &quot;prompt_rewrite&quot;: &quot;Bagaimana cara menghitung F1 score menggunakan classifier yang sudah dilatih dengan data x dan y?&quot;, &quot;response_improvement_suggestions&quot;: &quot;Add comments to explain each step of the code.&quot;, &quot;verdict&quot;: &quot;excellent&quot;, &quot;needs_human_review&quot;: false}"/>
    <s v="ok"/>
    <n v="5"/>
  </r>
  <r>
    <x v="57"/>
    <s v="[MODE:code]_x000a_saya membutuhkan kode utnuk membuat pairplot yang menghubungkan antarfitur sekaligus menggunakan librasi sns dengan atribut pairplot dan hue='class'"/>
    <s v="done"/>
    <s v="import seaborn as sns_x000a_import matplotlib.pyplot as plt_x000a__x000a_sns.pairplot(dataframe, hue='class')_x000a_plt.show()"/>
    <s v="```python_x000a_import seaborn as sns_x000a_import matplotlib.pyplot as plt_x000a__x000a_sns.pairplot(dataframe, hue='class')_x000a_plt.show()_x000a_```"/>
    <d v="2026-03-18T14:51:23"/>
    <x v="4"/>
    <n v="0"/>
    <n v="45"/>
    <n v="28"/>
    <n v="73"/>
    <n v="160"/>
    <n v="116"/>
    <n v="3743"/>
    <n v="4"/>
    <n v="4"/>
    <n v="4"/>
    <s v="Clear request for code with specific requirements."/>
    <s v="Could provide more context about the dataframe."/>
    <s v="Correct use of seaborn for pairplot with hue."/>
    <s v="Assumes 'dataframe' is defined without explanation."/>
    <s v="Saya membutuhkan kode untuk membuat pairplot yang menghubungkan antarfitur menggunakan librari sns dengan atribut pairplot dan hue='class' pada dataframe yang berisi data saya."/>
    <s v="Include a brief explanation of how to define 'dataframe' or provide an example."/>
    <s v="good"/>
    <b v="0"/>
    <s v="gpt-4o-mini"/>
    <s v="{&quot;prompt_score&quot;: 4, &quot;response_score&quot;: 4, &quot;overall_score&quot;: 4, &quot;prompt_strengths&quot;: &quot;Clear request for code with specific requirements.&quot;, &quot;prompt_issues&quot;: &quot;Could provide more context about the dataframe.&quot;, &quot;response_strengths&quot;: &quot;Correct use of seaborn for pairplot with hue.&quot;, &quot;response_issues&quot;: &quot;Assumes 'dataframe' is defined without explanation.&quot;, &quot;prompt_rewrite&quot;: &quot;Saya membutuhkan kode untuk membuat pairplot yang menghubungkan antarfitur menggunakan librari sns dengan atribut pairplot dan hue='class' pada dataframe yang berisi data saya.&quot;, &quot;response_improvement_suggestions&quot;: &quot;Include a brief explanation of how to define 'dataframe' or provide an example.&quot;, &quot;verdict&quot;: &quot;good&quot;, &quot;needs_human_review&quot;: false}"/>
    <s v="ok"/>
    <n v="4"/>
  </r>
  <r>
    <x v="57"/>
    <s v="[MODE:code]_x000a_saya membutuhkan kode yang menampilkan distribusi fitur berdasarkan class menggunakan librar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python_x000a_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_x000a_```"/>
    <d v="2026-03-18T14:53:11"/>
    <x v="4"/>
    <n v="0"/>
    <n v="32"/>
    <n v="157"/>
    <n v="189"/>
    <n v="132"/>
    <n v="530"/>
    <n v="4314"/>
    <n v="4"/>
    <n v="5"/>
    <n v="5"/>
    <s v="Clear and specific request for code."/>
    <s v="Could provide more context about the dataset."/>
    <s v="Correct and complete code implementation."/>
    <s v="None noted."/>
    <s v="Tolong berikan kode Python yang menggunakan seaborn untuk menampilkan boxplot distribusi fitur berdasarkan kelas dari dataset yang saya miliki."/>
    <s v="Add comments to the code for better clarity."/>
    <s v="excellent"/>
    <b v="0"/>
    <s v="gpt-4o-mini"/>
    <s v="{&quot;prompt_score&quot;: 4, &quot;response_score&quot;: 5, &quot;overall_score&quot;: 5, &quot;prompt_strengths&quot;: &quot;Clear and specific request for code.&quot;, &quot;prompt_issues&quot;: &quot;Could provide more context about the dataset.&quot;, &quot;response_strengths&quot;: &quot;Correct and complete code implementation.&quot;, &quot;response_issues&quot;: &quot;None noted.&quot;, &quot;prompt_rewrite&quot;: &quot;Tolong berikan kode Python yang menggunakan seaborn untuk menampilkan boxplot distribusi fitur berdasarkan kelas dari dataset yang saya miliki.&quot;, &quot;response_improvement_suggestions&quot;: &quot;Add comments to the code for better clarity.&quot;, &quot;verdict&quot;: &quot;excellent&quot;, &quot;needs_human_review&quot;: false}"/>
    <s v="ok"/>
    <n v="5"/>
  </r>
  <r>
    <x v="57"/>
    <s v="[MODE:summary_code_explanation]_x000a_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_x000a__x000a_kemudian Buat target klasifikasi at_risk._x000a_Tentukan fitur untuk regresi yang tidak menyebabkan leakage._x000a_Bagi data menjadi train-test dengan rasio 80:20 dan random_state=42."/>
    <s v="done"/>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    raise KeyError(f&quot;Kolom target '{target_reg}' tidak ditemukan. Kolom tersedia: {data.columns.tolist()}&quot;)_x000a__x000a_leakage_cols = [_x000a_    target_reg,          # target regresi_x000a_    &quot;pass_fail&quot;,         # label hasil akhir_x000a_    &quot;grade_category&quot;,    # label hasil akhir_x000a_    &quot;at_risk&quot;,           # target klasifikasi (dibuat dari fitur)_x000a_    &quot;final_grade&quot;,       # jika ada_x000a_    &quot;grade&quot;,             # jika ada_x000a_    &quot;result&quot;,            # jika ada_x000a_    &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    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    raise KeyError(f&quot;Kolom target '{target_reg}' tidak ditemukan. Kolom tersedia: {data.columns.tolist()}&quot;)_x000a__x000a_leakage_cols = [_x000a_    target_reg,          # target regresi_x000a_    &quot;pass_fail&quot;,         # label hasil akhir_x000a_    &quot;grade_category&quot;,    # label hasil akhir_x000a_    &quot;at_risk&quot;,           # target klasifikasi (dibuat dari fitur)_x000a_    &quot;final_grade&quot;,       # jika ada_x000a_    &quot;grade&quot;,             # jika ada_x000a_    &quot;result&quot;,            # jika ada_x000a_    &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    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d v="2026-04-15T15:12:55"/>
    <x v="3"/>
    <n v="0"/>
    <n v="656"/>
    <n v="751"/>
    <n v="1407"/>
    <n v="2443"/>
    <n v="2716"/>
    <n v="4804"/>
    <n v="4"/>
    <n v="5"/>
    <n v="5"/>
    <s v="The prompt is clear and provides specific instructions for coding tasks."/>
    <s v="Could benefit from more context about the dataset and its purpose."/>
    <s v="The response is relevant, correct, and complete, providing a clear explanation and code."/>
    <s v="None identified; the response meets all requirements effectively."/>
    <s v="Explain how to create a classification target and regression features from the student exam performance dataset, ensuring no data leakage, and include a train-test split."/>
    <s v="None needed; the response is comprehensive and clear."/>
    <s v="excellent"/>
    <b v="0"/>
    <s v="gpt-4o-mini"/>
    <s v="{&quot;prompt_score&quot;: 4, &quot;response_score&quot;: 5, &quot;overall_score&quot;: 5, &quot;prompt_strengths&quot;: &quot;The prompt is clear and provides specific instructions for coding tasks.&quot;, &quot;prompt_issues&quot;: &quot;Could benefit from more context about the dataset and its purpose.&quot;, &quot;response_strengths&quot;: &quot;The response is relevant, correct, and complete, providing a clear explanation and code.&quot;, &quot;response_issues&quot;: &quot;None identified; the response meets all requirements effectively.&quot;, &quot;prompt_rewrite&quot;: &quot;Explain how to create a classification target and regression features from the student exam performance dataset, ensuring no data leakage, and include a train-test split.&quot;, &quot;response_improvement_suggestions&quot;: &quot;None needed; the response is comprehensive and clear.&quot;, &quot;verdict&quot;: &quot;excellent&quot;, &quot;needs_human_review&quot;: false}"/>
    <s v="ok"/>
    <n v="5"/>
  </r>
  <r>
    <x v="58"/>
    <s v="[MODE:code]_x000a_cara membuat fungsi learning_curve dengan parameter X,y,yval,alpha untuk melengkapi:_x000a_- theta dilatih oada i contoh pertama_x000a_-training error dihitung pada subset train yang sama_x000a_-validation error dihitung pada seluruh validation set_x000a_-perhitungan error memakai alpha = 0"/>
    <s v="done"/>
    <s v="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
    <s v="```python_x000a_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_x000a_```"/>
    <d v="2026-04-07T12:10:48"/>
    <x v="0"/>
    <n v="0"/>
    <n v="72"/>
    <n v="654"/>
    <n v="726"/>
    <n v="279"/>
    <n v="1905"/>
    <n v="1854"/>
    <n v="4"/>
    <n v="5"/>
    <n v="5"/>
    <s v="Clear and specific about the function requirements."/>
    <s v="Could benefit from clearer formatting or examples."/>
    <s v="Correct implementation of the learning curve function with detailed comments."/>
    <s v="None significant; well-structured and complete."/>
    <s v="Buat fungsi learning_curve dengan parameter X, y, Xval, yval, alpha. Fungsi harus: - melatih theta pada i contoh pertama - menghitung training error pada subset train - menghitung validation error pada seluruh validation set - menggunakan alpha = 0 untuk perhitungan error."/>
    <s v="Consider adding example usage or test cases for clarity."/>
    <s v="excellent"/>
    <b v="0"/>
    <s v="gpt-4o-mini"/>
    <s v="{&quot;prompt_score&quot;: 4, &quot;response_score&quot;: 5, &quot;overall_score&quot;: 5, &quot;prompt_strengths&quot;: &quot;Clear and specific about the function requirements.&quot;, &quot;prompt_issues&quot;: &quot;Could benefit from clearer formatting or examples.&quot;, &quot;response_strengths&quot;: &quot;Correct implementation of the learning curve function with detailed comments.&quot;, &quot;response_issues&quot;: &quot;None significant; well-structured and complete.&quot;, &quot;prompt_rewrite&quot;: &quot;Buat fungsi learning_curve dengan parameter X, y, Xval, yval, alpha. Fungsi harus: - melatih theta pada i contoh pertama - menghitung training error pada subset train - menghitung validation error pada seluruh validation set - menggunakan alpha = 0 untuk perhitungan error.&quot;, &quot;response_improvement_suggestions&quot;: &quot;Consider adding example usage or test cases for clarity.&quot;, &quot;verdict&quot;: &quot;excellent&quot;, &quot;needs_human_review&quot;: false}"/>
    <s v="ok"/>
    <n v="5"/>
  </r>
  <r>
    <x v="58"/>
    <s v="[MODE:code]_x000a_def learning_curve(X,y,Xval,yval,alpha):_x000a_m = X.shape[0]_x000a_error_train = np.zeros(m)_x000a_error_val = np.zeros(m)_x000a__x000a_for i in range(m):"/>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python_x000a_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
    <d v="2026-04-07T12:13:35"/>
    <x v="0"/>
    <n v="0"/>
    <n v="43"/>
    <n v="139"/>
    <n v="182"/>
    <n v="137"/>
    <n v="450"/>
    <n v="4666"/>
    <n v="4"/>
    <n v="5"/>
    <n v="5"/>
    <s v="Clear and specific about the function definition."/>
    <s v="Could provide more context on the purpose of the function."/>
    <s v="Correctly implements the learning curve function with relevant calculations."/>
    <s v="None significant; the response is complete and clear."/>
    <s v="Define a function to compute the learning curve for a linear regression model given training and validation datasets."/>
    <s v="Consider adding comments to explain each step of the implementation."/>
    <s v="excellent"/>
    <b v="0"/>
    <s v="gpt-4o-mini"/>
    <s v="{&quot;prompt_score&quot;: 4, &quot;response_score&quot;: 5, &quot;overall_score&quot;: 5, &quot;prompt_strengths&quot;: &quot;Clear and specific about the function definition.&quot;, &quot;prompt_issues&quot;: &quot;Could provide more context on the purpose of the function.&quot;, &quot;response_strengths&quot;: &quot;Correctly implements the learning curve function with relevant calculations.&quot;, &quot;response_issues&quot;: &quot;None significant; the response is complete and clear.&quot;, &quot;prompt_rewrite&quot;: &quot;Define a function to compute the learning curve for a linear regression model given training and validation datasets.&quot;, &quot;response_improvement_suggestions&quot;: &quot;Consider adding comments to explain each step of the implementation.&quot;, &quot;verdict&quot;: &quot;excellent&quot;, &quot;needs_human_review&quot;: false}"/>
    <s v="ok"/>
    <n v="5"/>
  </r>
  <r>
    <x v="59"/>
    <s v="[MODE:summary]_x000a_bisa berikan rangkuman penjelasan yang intinya saja pada penjelasan tentang Plot boxplot `charges` berdasarkan `smoker` memberikan insight yang cukup kuat tentang pengaruh status perokok terhadap biaya asuransi."/>
    <s v="done"/>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d v="2026-03-03T12:36:49"/>
    <x v="6"/>
    <n v="0"/>
    <n v="64"/>
    <n v="103"/>
    <n v="167"/>
    <n v="226"/>
    <n v="356"/>
    <n v="297"/>
    <n v="4"/>
    <n v="5"/>
    <n v="4"/>
    <s v="Clear and specific request for a summary."/>
    <s v="Could provide more context on the audience or purpose."/>
    <s v="Accurate, clear, and provides a complete summary of the boxplot analysis."/>
    <s v="None identified."/>
    <s v="[MODE:summary] Berikan rangkuman singkat tentang pengaruh status perokok terhadap biaya asuransi berdasarkan analisis boxplot `charges`."/>
    <s v="Consider adding a brief explanation of what outliers indicate in this context."/>
    <s v="good"/>
    <b v="0"/>
    <s v="gpt-4o-mini"/>
    <s v="{&quot;prompt_score&quot;: 4, &quot;response_score&quot;: 5, &quot;overall_score&quot;: 4, &quot;prompt_strengths&quot;: &quot;Clear and specific request for a summary.&quot;, &quot;prompt_issues&quot;: &quot;Could provide more context on the audience or purpose.&quot;, &quot;response_strengths&quot;: &quot;Accurate, clear, and provides a complete summary of the boxplot analysis.&quot;, &quot;response_issues&quot;: &quot;None identified.&quot;, &quot;prompt_rewrite&quot;: &quot;[MODE:summary] Berikan rangkuman singkat tentang pengaruh status perokok terhadap biaya asuransi berdasarkan analisis boxplot `charges`.&quot;, &quot;response_improvement_suggestions&quot;: &quot;Consider adding a brief explanation of what outliers indicate in this context.&quot;, &quot;verdict&quot;: &quot;good&quot;, &quot;needs_human_review&quot;: false}"/>
    <s v="ok"/>
    <n v="4"/>
  </r>
  <r>
    <x v="59"/>
    <s v="[MODE:summary_code_explanation]_x000a_[ASSESSMENT_ID:1771cf81-0a65-11f1-b762-3e0936ad7efb]_x000a_[FORCE_GPT:true]_x000a_[AUTO_FALLBACK:true]_x000a_Kita akan mencoba classifier yang lain, yaitu RandomForestClassifier._x000a_Gunakan random_state yang bernilai 42 sebagai argumen._x000a_from sklearn.ensemble import RandomForestClassifier_x000a__x000a_##### Your Code Here #####_x000a_forest_clf ="/>
    <s v="done"/>
    <s v="**SUMMARY**  _x000a_Inisialisasi `RandomForestClassifier` dengan `random_state=42` dan simpan ke variabel `forest_clf`._x000a__x000a_```python_x000a_from sklearn.ensemble import RandomForestClassifier_x000a__x000a_forest_clf = RandomForestClassifier(random_state=42)_x000a_```_x000a__x000a_**EXPLANATION**  _x000a_`random_state=42` membuat proses acak pada Random Forest (mis. bootstrap dan pemilihan fitur) menjadi konsisten sehingga hasil dapat direproduksi."/>
    <s v="**SUMMARY**  _x000a_Inisialisasi `RandomForestClassifier` dengan `random_state=42` dan simpan ke variabel `forest_clf`._x000a__x000a_```python_x000a_from sklearn.ensemble import RandomForestClassifier_x000a__x000a_forest_clf = RandomForestClassifier(random_state=42)_x000a_```_x000a__x000a_**EXPLANATION**  _x000a_`random_state=42` membuat proses acak pada Random Forest (mis. bootstrap dan pemilihan fitur) menjadi konsisten sehingga hasil dapat direproduksi."/>
    <d v="2026-03-17T12:53:09"/>
    <x v="4"/>
    <n v="0"/>
    <n v="98"/>
    <n v="98"/>
    <n v="196"/>
    <n v="340"/>
    <n v="400"/>
    <n v="534"/>
    <n v="4"/>
    <n v="5"/>
    <n v="4"/>
    <s v="Clear instruction to use RandomForestClassifier with specific parameters."/>
    <s v="Could provide more context on the purpose of the classifier."/>
    <s v="Accurate code and clear explanation of the random_state parameter."/>
    <s v="None noted."/>
    <s v="Implement a RandomForestClassifier with random_state=42. Explain its purpose in the context of model training."/>
    <s v="Include a brief mention of when to use RandomForestClassifier."/>
    <s v="good"/>
    <b v="0"/>
    <s v="gpt-4o-mini"/>
    <s v="{&quot;prompt_score&quot;: 4, &quot;response_score&quot;: 5, &quot;overall_score&quot;: 4, &quot;prompt_strengths&quot;: &quot;Clear instruction to use RandomForestClassifier with specific parameters.&quot;, &quot;prompt_issues&quot;: &quot;Could provide more context on the purpose of the classifier.&quot;, &quot;response_strengths&quot;: &quot;Accurate code and clear explanation of the random_state parameter.&quot;, &quot;response_issues&quot;: &quot;None noted.&quot;, &quot;prompt_rewrite&quot;: &quot;Implement a RandomForestClassifier with random_state=42. Explain its purpose in the context of model training.&quot;, &quot;response_improvement_suggestions&quot;: &quot;Include a brief mention of when to use RandomForestClassifier.&quot;, &quot;verdict&quot;: &quot;good&quot;, &quot;needs_human_review&quot;: false}"/>
    <s v="ok"/>
    <n v="4"/>
  </r>
  <r>
    <x v="59"/>
    <s v="[MODE:summary]_x000a_tolong berikan jawaban dibawah ini secara terstruktur dan tersusun rapih hasil jawabannya dan jawaban tersebut benar dan akurat_x000a_Outcome_x000a_0    65.104167_x000a_1    34.895833_x000a_Name: proportion, dtype: float64_x000a_apakah persebaran datanya seimbang? mana yang lebih banyak"/>
    <s v="done"/>
    <s v="Persebaran data **tidak seimbang (imbalanced)**._x000a__x000a_1) **Proporsi tiap kelas (Outcome)**_x000a_- **Outcome = 0**: **65.104167%**_x000a_- **Outcome = 1**: **34.895833%**_x000a__x000a_2) **Kelas yang lebih banyak**_x000a_- Yang **lebih banyak** adalah **Outcome = 0** (sekitar 65%), dibanding **Outcome = 1** (sekitar 35%)."/>
    <s v="Persebaran data **tidak seimbang (imbalanced)**._x000a__x000a_1) **Proporsi tiap kelas (Outcome)**_x000a_- **Outcome = 0**: **65.104167%**_x000a_- **Outcome = 1**: **34.895833%**_x000a__x000a_2) **Kelas yang lebih banyak**_x000a_- Yang **lebih banyak** adalah **Outcome = 0** (sekitar 65%), dibanding **Outcome = 1** (sekitar 35%)."/>
    <d v="2026-03-10T12:57:06"/>
    <x v="2"/>
    <n v="0"/>
    <n v="81"/>
    <n v="102"/>
    <n v="183"/>
    <n v="272"/>
    <n v="289"/>
    <n v="802"/>
    <n v="4"/>
    <n v="5"/>
    <n v="4"/>
    <s v="Clear request for structured and accurate response."/>
    <s v="Could specify the type of data or context for better clarity."/>
    <s v="Accurate, clear, and well-structured response."/>
    <s v="None significant; could include a brief explanation of 'imbalanced'."/>
    <s v="[MODE:summary] Berikan jawaban terstruktur dan akurat mengenai persebaran data Outcome 0 dan 1. Apakah seimbang? Mana yang lebih banyak?"/>
    <s v="Add a brief explanation of what 'imbalanced' means."/>
    <s v="good"/>
    <b v="0"/>
    <s v="gpt-4o-mini"/>
    <s v="{&quot;prompt_score&quot;: 4, &quot;response_score&quot;: 5, &quot;overall_score&quot;: 4, &quot;prompt_strengths&quot;: &quot;Clear request for structured and accurate response.&quot;, &quot;prompt_issues&quot;: &quot;Could specify the type of data or context for better clarity.&quot;, &quot;response_strengths&quot;: &quot;Accurate, clear, and well-structured response.&quot;, &quot;response_issues&quot;: &quot;None significant; could include a brief explanation of 'imbalanced'.&quot;, &quot;prompt_rewrite&quot;: &quot;[MODE:summary] Berikan jawaban terstruktur dan akurat mengenai persebaran data Outcome 0 dan 1. Apakah seimbang? Mana yang lebih banyak?&quot;, &quot;response_improvement_suggestions&quot;: &quot;Add a brief explanation of what 'imbalanced' means.&quot;, &quot;verdict&quot;: &quot;good&quot;, &quot;needs_human_review&quot;: false}"/>
    <s v="ok"/>
    <n v="4"/>
  </r>
  <r>
    <x v="59"/>
    <s v="[MODE:summary_code_explanation]_x000a_[ASSESSMENT_ID:1771cf81-0a65-11f1-b762-3e0936ad7efb]_x000a_[FORCE_GPT:true]_x000a_[AUTO_FALLBACK:true]_x000a_knn_clf = KNeighborsClassifier()_x000a_Kita _train_ `knn_clf` pada `X_train` dan `y_train`._x000a_##### Your Code Here #####"/>
    <s v="done"/>
    <s v="**SUMMARY**  _x000a_Latih (fit) model KNN `knn_clf` menggunakan data latih `X_train` dan `y_train`._x000a__x000a_```python_x000a_knn_clf.fit(X_train, y_train)_x000a_```_x000a__x000a_**EXPLANATION**  _x000a_`fit(X_train, y_train)` membuat KNN “mempelajari” data latih (menyimpan data latih untuk perhitungan tetangga terdekat) sehingga siap digunakan untuk prediksi pada data baru."/>
    <s v="**SUMMARY**  _x000a_Latih (fit) model KNN `knn_clf` menggunakan data latih `X_train` dan `y_train`._x000a__x000a_```python_x000a_knn_clf.fit(X_train, y_train)_x000a_```_x000a__x000a_**EXPLANATION**  _x000a_`fit(X_train, y_train)` membuat KNN “mempelajari” data latih (menyimpan data latih untuk perhitungan tetangga terdekat) sehingga siap digunakan untuk prediksi pada data baru."/>
    <d v="2026-03-17T13:06:02"/>
    <x v="4"/>
    <n v="0"/>
    <n v="86"/>
    <n v="107"/>
    <n v="193"/>
    <n v="235"/>
    <n v="332"/>
    <n v="833"/>
    <n v="4"/>
    <n v="5"/>
    <n v="4"/>
    <s v="Clear instructions and context provided."/>
    <s v="Could specify the expected format for the code more clearly."/>
    <s v="Accurate, clear, and complete explanation of the code."/>
    <s v="None noted."/>
    <s v="[MODE:summary_code_explanation] [ASSESSMENT_ID:1771cf81-0a65-11f1-b762-3e0936ad7efb] [FORCE_GPT:true] [AUTO_FALLBACK:true] Implement the code to fit the KNeighborsClassifier `knn_clf` using the training data `X_train` and `y_train`. Please provide the code in Python format."/>
    <s v="None needed; response is already strong."/>
    <s v="excellent"/>
    <b v="0"/>
    <s v="gpt-4o-mini"/>
    <s v="{&quot;prompt_score&quot;: 4, &quot;response_score&quot;: 5, &quot;overall_score&quot;: 4, &quot;prompt_strengths&quot;: &quot;Clear instructions and context provided.&quot;, &quot;prompt_issues&quot;: &quot;Could specify the expected format for the code more clearly.&quot;, &quot;response_strengths&quot;: &quot;Accurate, clear, and complete explanation of the code.&quot;, &quot;response_issues&quot;: &quot;None noted.&quot;, &quot;prompt_rewrite&quot;: &quot;[MODE:summary_code_explanation] [ASSESSMENT_ID:1771cf81-0a65-11f1-b762-3e0936ad7efb] [FORCE_GPT:true] [AUTO_FALLBACK:true] Implement the code to fit the KNeighborsClassifier `knn_clf` using the training data `X_train` and `y_train`. Please provide the code in Python format.&quot;, &quot;response_improvement_suggestions&quot;: &quot;None needed; response is already strong.&quot;, &quot;verdict&quot;: &quot;excellent&quot;, &quot;needs_human_review&quot;: false}"/>
    <s v="ok"/>
    <n v="5"/>
  </r>
  <r>
    <x v="59"/>
    <s v="[MODE:summary_code_explanation]_x000a_[ASSESSMENT_ID:1771cf81-0a65-11f1-b762-3e0936ad7efb]_x000a_[FORCE_GPT:true]_x000a_[AUTO_FALLBACK:true]_x000a_tolong bantu saya Buatlah model yang merupakan model LogisticRegression dengan parameter solver adalah liblinear."/>
    <s v="done"/>
    <s v="**SUMMARY**  _x000a_Berikut pembuatan model `LogisticRegression` dengan solver `liblinear` dan disimpan ke variabel `model`._x000a__x000a_```python_x000a_from sklearn.linear_model import LogisticRegression_x000a__x000a_model = LogisticRegression(solver=&quot;liblinear&quot;)_x000a_```_x000a__x000a_**EXPLANATION**  _x000a_`solver=&quot;liblinear&quot;` adalah solver yang umum dipakai untuk dataset kecil/menengah dan mendukung klasifikasi biner seperti kolom `Outcome`."/>
    <s v="**SUMMARY**  _x000a_Berikut pembuatan model `LogisticRegression` dengan solver `liblinear` dan disimpan ke variabel `model`._x000a__x000a_```python_x000a_from sklearn.linear_model import LogisticRegression_x000a__x000a_model = LogisticRegression(solver=&quot;liblinear&quot;)_x000a_```_x000a__x000a_**EXPLANATION**  _x000a_`solver=&quot;liblinear&quot;` adalah solver yang umum dipakai untuk dataset kecil/menengah dan mendukung klasifikasi biner seperti kolom `Outcome`."/>
    <d v="2026-03-17T12:24:22"/>
    <x v="4"/>
    <n v="0"/>
    <n v="72"/>
    <n v="97"/>
    <n v="169"/>
    <n v="236"/>
    <n v="391"/>
    <n v="927"/>
    <n v="4"/>
    <n v="5"/>
    <n v="4"/>
    <s v="Clear request for a specific model creation."/>
    <s v="Could provide more context on the dataset or intended use."/>
    <s v="Correctly provides code and a clear explanation of the solver."/>
    <s v="Could include more details on when to use this solver."/>
    <s v="Bantu saya membuat model LogisticRegression dengan solver liblinear untuk dataset kecil/menengah."/>
    <s v="Add examples of when to use liblinear and its advantages."/>
    <s v="good"/>
    <b v="0"/>
    <s v="gpt-4o-mini"/>
    <s v="{&quot;prompt_score&quot;: 4, &quot;response_score&quot;: 5, &quot;overall_score&quot;: 4, &quot;prompt_strengths&quot;: &quot;Clear request for a specific model creation.&quot;, &quot;prompt_issues&quot;: &quot;Could provide more context on the dataset or intended use.&quot;, &quot;response_strengths&quot;: &quot;Correctly provides code and a clear explanation of the solver.&quot;, &quot;response_issues&quot;: &quot;Could include more details on when to use this solver.&quot;, &quot;prompt_rewrite&quot;: &quot;Bantu saya membuat model LogisticRegression dengan solver liblinear untuk dataset kecil/menengah.&quot;, &quot;response_improvement_suggestions&quot;: &quot;Add examples of when to use liblinear and its advantages.&quot;, &quot;verdict&quot;: &quot;good&quot;, &quot;needs_human_review&quot;: false}"/>
    <s v="ok"/>
    <n v="4"/>
  </r>
  <r>
    <x v="59"/>
    <s v="[MODE:summary_code_explanation]_x000a_2. Statistik deskriptif_x000a_clue : use describe()_x000a__x000a_## YOUR CODES HERE ##_x000a_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berikan code untuk soal diatas dengan jawaban yang benar dan akurat"/>
    <s v="done"/>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d v="2026-03-10T12:01:35"/>
    <x v="2"/>
    <n v="0"/>
    <n v="455"/>
    <n v="132"/>
    <n v="587"/>
    <n v="1010"/>
    <n v="462"/>
    <n v="993"/>
    <n v="4"/>
    <n v="5"/>
    <n v="4"/>
    <s v="Clear request for code and explanation."/>
    <s v="Could specify the programming language for clarity."/>
    <s v="Correct and complete explanation with relevant code."/>
    <s v="None."/>
    <s v="[MODE:summary_code_explanation] 2. Statistik deskriptif clue : use describe() in Python. ## YOUR CODES HERE ## ..."/>
    <s v="None needed; response is already clear and complete."/>
    <s v="good"/>
    <b v="0"/>
    <s v="gpt-4o-mini"/>
    <s v="{&quot;prompt_score&quot;: 4, &quot;response_score&quot;: 5, &quot;overall_score&quot;: 4, &quot;prompt_strengths&quot;: &quot;Clear request for code and explanation.&quot;, &quot;prompt_issues&quot;: &quot;Could specify the programming language for clarity.&quot;, &quot;response_strengths&quot;: &quot;Correct and complete explanation with relevant code.&quot;, &quot;response_issues&quot;: &quot;None.&quot;, &quot;prompt_rewrite&quot;: &quot;[MODE:summary_code_explanation] 2. Statistik deskriptif clue : use describe() in Python. ## YOUR CODES HERE ## ...&quot;, &quot;response_improvement_suggestions&quot;: &quot;None needed; response is already clear and complete.&quot;, &quot;verdict&quot;: &quot;good&quot;, &quot;needs_human_review&quot;: false}"/>
    <s v="ok"/>
    <n v="4"/>
  </r>
  <r>
    <x v="59"/>
    <s v="[MODE:summary]_x000a_tolong jawab pertanyaan dibawah ini dengan tersusun dan benar serta jelas dan hasil jawabannya tersusun rapih sesuai nomor soal_x000a_Pertanyaan Refleksi_x000a_1.Nilai eta mana yang paling cepat konvergen?_x000a_2.Apakah ada eta yang membuat optimasi tidak stabil?_x000a_3.Jika jumlah iterasi ditambah, apa yang terjadi pada kurva MSE?"/>
    <s v="done"/>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d v="2026-03-31T11:46:26"/>
    <x v="5"/>
    <n v="0"/>
    <n v="95"/>
    <n v="293"/>
    <n v="388"/>
    <n v="326"/>
    <n v="1044"/>
    <n v="1283"/>
    <n v="4"/>
    <n v="5"/>
    <n v="5"/>
    <s v="Clear structure and specific questions."/>
    <s v="Could provide more context on eta."/>
    <s v="Thorough, accurate, and well-structured answers."/>
    <s v="None significant."/>
    <s v="[MODE:summary] Please answer the following questions clearly and in an organized manner, with answers numbered. Reflection Questions: 1. Which eta value converges the fastest? 2. Is there an eta that causes instability in optimization? 3. What happens to the MSE curve if the number of iterations is increased?"/>
    <s v="None needed; response is comprehensive."/>
    <s v="excellent"/>
    <b v="0"/>
    <s v="gpt-4o-mini"/>
    <s v="{&quot;prompt_score&quot;: 4, &quot;response_score&quot;: 5, &quot;overall_score&quot;: 5, &quot;prompt_strengths&quot;: &quot;Clear structure and specific questions.&quot;, &quot;prompt_issues&quot;: &quot;Could provide more context on eta.&quot;, &quot;response_strengths&quot;: &quot;Thorough, accurate, and well-structured answers.&quot;, &quot;response_issues&quot;: &quot;None significant.&quot;, &quot;prompt_rewrite&quot;: &quot;[MODE:summary] Please answer the following questions clearly and in an organized manner, with answers numbered. Reflection Questions: 1. Which eta value converges the fastest? 2. Is there an eta that causes instability in optimization? 3. What happens to the MSE curve if the number of iterations is increased?&quot;, &quot;response_improvement_suggestions&quot;: &quot;None needed; response is comprehensive.&quot;, &quot;verdict&quot;: &quot;excellent&quot;, &quot;needs_human_review&quot;: false}"/>
    <s v="ok"/>
    <n v="5"/>
  </r>
  <r>
    <x v="59"/>
    <s v="[MODE:summary_code_explanation]_x000a_selanjutnya tolong bantu saya berikan code untuk cek jika ada nilai Null di dataset berdasarkan dataset"/>
    <s v="done"/>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d v="2026-03-17T12:13:13"/>
    <x v="4"/>
    <n v="0"/>
    <n v="33"/>
    <n v="188"/>
    <n v="221"/>
    <n v="135"/>
    <n v="691"/>
    <n v="1364"/>
    <n v="4"/>
    <n v="5"/>
    <n v="4"/>
    <s v="Clear request for code to check for null values."/>
    <s v="Could be more specific about the dataset type."/>
    <s v="Correct and complete code with clear explanations."/>
    <s v="None."/>
    <s v="Tolong berikan kode Python untuk mengecek nilai Null di dataset DataFrame."/>
    <s v="None needed; response is already clear and complete."/>
    <s v="excellent"/>
    <b v="0"/>
    <s v="gpt-4o-mini"/>
    <s v="{&quot;prompt_score&quot;: 4, &quot;response_score&quot;: 5, &quot;overall_score&quot;: 4, &quot;prompt_strengths&quot;: &quot;Clear request for code to check for null values.&quot;, &quot;prompt_issues&quot;: &quot;Could be more specific about the dataset type.&quot;, &quot;response_strengths&quot;: &quot;Correct and complete code with clear explanations.&quot;, &quot;response_issues&quot;: &quot;None.&quot;, &quot;prompt_rewrite&quot;: &quot;Tolong berikan kode Python untuk mengecek nilai Null di dataset DataFrame.&quot;, &quot;response_improvement_suggestions&quot;: &quot;None needed; response is already clear and complete.&quot;, &quot;verdict&quot;: &quot;excellent&quot;, &quot;needs_human_review&quot;: false}"/>
    <s v="ok"/>
    <n v="5"/>
  </r>
  <r>
    <x v="59"/>
    <s v="[MODE:summary_code_explanation]_x000a_[ASSESSMENT_ID:1771cf81-0a65-11f1-b762-3e0936ad7efb]_x000a_[FORCE_GPT:true]_x000a_[AUTO_FALLBACK:true]_x000a_tolong bantu saya menjawab pertnyaan dibawah ini dengan benar dan terstruktur_x000a_Pertanyaan Refleksi_x000a_Apakah nilai precision lebih besar daripada nilai recall? Ataukah sebaliknya?_x000a_Jika nilai precision lebih besar daripada nilai recall atau sebaliknya, apakah artinya?"/>
    <s v="done"/>
    <s v="**SUMMARY**  _x000a_Untuk menjawabnya, bandingkan nilai `precision` dan `recall`: yang lebih besar menunjukkan apakah model lebih “ketat” saat memberi label positif (precision tinggi) atau lebih “menangkap” sebanyak mungkin kasus positif (recall tinggi)._x000a__x000a_**CODE**_x000a_```python_x000a_print(&quot;precision:&quot;, precision)_x000a_print(&quot;recall   :&quot;, recall)_x000a_print(&quot;precision &gt; recall ?&quot;, precision &gt; recall)_x000a_```_x000a__x000a_**EXPLANATION**  _x000a_1) **Apakah precision lebih besar atau recall lebih besar?**  _x000a_- Lihat hasil cetak nilainya.  _x000a_- Jika `precision &gt; recall`, berarti precision lebih besar. Jika `recall &gt; precision`, berarti recall lebih besar._x000a__x000a_2) **Maknanya jika salah satu lebih besar**  _x000a_- **Precision &gt; Recall**  _x000a_  - Artinya: ketika model memprediksi **positif**, prediksi itu relatif **lebih akurat** (lebih sedikit *false positive*).  _x000a_  - Namun model cenderung **melewatkan** sebagian kasus positif (lebih banyak *false negative*), sehingga recall lebih rendah.  _x000a_  - Model lebih “hati-hati” memberi label positif._x000a__x000a_- **Recall &gt; Precision**  _x000a_  - Artinya: model berhasil **menangkap lebih banyak** kasus positif (lebih sedikit *false negative*).  _x000a_  - Tetapi konsekuensinya lebih banyak prediksi positif yang salah (lebih banyak *false positive*), sehingga precision lebih rendah.  _x000a_  - Model lebih “agresif” memberi label positif._x000a__x000a_Ringkas: **precision menekan false positive**, sedangkan **recall menekan false negative**."/>
    <s v="**SUMMARY**  _x000a_Untuk menjawabnya, bandingkan nilai `precision` dan `recall`: yang lebih besar menunjukkan apakah model lebih “ketat” saat memberi label positif (precision tinggi) atau lebih “menangkap” sebanyak mungkin kasus positif (recall tinggi)._x000a__x000a_**CODE**_x000a_```python_x000a_print(&quot;precision:&quot;, precision)_x000a_print(&quot;recall   :&quot;, recall)_x000a_print(&quot;precision &gt; recall ?&quot;, precision &gt; recall)_x000a_```_x000a__x000a_**EXPLANATION**  _x000a_1) **Apakah precision lebih besar atau recall lebih besar?**  _x000a_- Lihat hasil cetak nilainya.  _x000a_- Jika `precision &gt; recall`, berarti precision lebih besar. Jika `recall &gt; precision`, berarti recall lebih besar._x000a__x000a_2) **Maknanya jika salah satu lebih besar**  _x000a_- **Precision &gt; Recall**  _x000a_  - Artinya: ketika model memprediksi **positif**, prediksi itu relatif **lebih akurat** (lebih sedikit *false positive*).  _x000a_  - Namun model cenderung **melewatkan** sebagian kasus positif (lebih banyak *false negative*), sehingga recall lebih rendah.  _x000a_  - Model lebih “hati-hati” memberi label positif._x000a__x000a_- **Recall &gt; Precision**  _x000a_  - Artinya: model berhasil **menangkap lebih banyak** kasus positif (lebih sedikit *false negative*).  _x000a_  - Tetapi konsekuensinya lebih banyak prediksi positif yang salah (lebih banyak *false positive*), sehingga precision lebih rendah.  _x000a_  - Model lebih “agresif” memberi label positif._x000a__x000a_Ringkas: **precision menekan false positive**, sedangkan **recall menekan false negative**."/>
    <d v="2026-03-17T12:34:41"/>
    <x v="4"/>
    <n v="0"/>
    <n v="123"/>
    <n v="382"/>
    <n v="505"/>
    <n v="386"/>
    <n v="1399"/>
    <n v="1522"/>
    <n v="4"/>
    <n v="5"/>
    <n v="4"/>
    <s v="Clear and structured request for a specific analysis."/>
    <s v="Could provide more context on the audience's knowledge level."/>
    <s v="Thorough explanation with relevant code and clear distinctions between precision and recall."/>
    <s v="Could include examples or scenarios for better understanding."/>
    <s v="Bantu saya menjawab pertanyaan refleksi tentang perbandingan nilai precision dan recall dengan jelas dan terstruktur."/>
    <s v="Add examples or scenarios to illustrate the concepts of precision and recall."/>
    <s v="good"/>
    <b v="0"/>
    <s v="gpt-4o-mini"/>
    <s v="{&quot;prompt_score&quot;: 4, &quot;response_score&quot;: 5, &quot;overall_score&quot;: 4, &quot;prompt_strengths&quot;: &quot;Clear and structured request for a specific analysis.&quot;, &quot;prompt_issues&quot;: &quot;Could provide more context on the audience's knowledge level.&quot;, &quot;response_strengths&quot;: &quot;Thorough explanation with relevant code and clear distinctions between precision and recall.&quot;, &quot;response_issues&quot;: &quot;Could include examples or scenarios for better understanding.&quot;, &quot;prompt_rewrite&quot;: &quot;Bantu saya menjawab pertanyaan refleksi tentang perbandingan nilai precision dan recall dengan jelas dan terstruktur.&quot;, &quot;response_improvement_suggestions&quot;: &quot;Add examples or scenarios to illustrate the concepts of precision and recall.&quot;, &quot;verdict&quot;: &quot;good&quot;, &quot;needs_human_review&quot;: false}"/>
    <s v="ok"/>
    <n v="4"/>
  </r>
  <r>
    <x v="59"/>
    <s v="[MODE:summary_code_explanation]_x000a_bisa berikan saya penjelasan lebih terstruktur dan berbobot pada data yang ada dibawah: _x000a_df.plot(kind=&quot;scatter&quot;, x=&quot;bmi&quot;, y=&quot;charges&quot;, alpha=0.5)"/>
    <s v="done"/>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   Memvisualisasikan apakah perubahan **BMI** berkaitan dengan perubahan **charges** (biaya asuransi), serta seberapa kuat dan konsisten hubungan tersebut._x000a__x000a_2) **Cara membaca grafik**  _x000a_   - Sumbu X = `bmi`, sumbu Y = `charges`.  _x000a_   - Setiap titik = 1 individu.  _x000a_   - `alpha=0.5` membuat titik transparan agar area yang padat titiknya lebih mudah terlihat (mengurangi tumpang tindih)._x000a__x000a_3) **Insight utama yang dicari**  _x000a_   - **Arah hubungan (tren):** bila titik cenderung naik saat BMI meningkat, berarti ada indikasi **korelasi positif** (BMI lebih tinggi → biaya cenderung lebih tinggi).  _x000a_   - **Kekuatan hubungan:** jika titik membentuk pola yang cukup rapat mengikuti arah tertentu, hubungan lebih kuat; jika menyebar acak, BMI saja kurang menjelaskan charges._x000a__x000a_4) **Variasi dan faktor lain**  _x000a_   Jika pada BMI yang sama `charges` bisa sangat berbeda (titik menyebar vertikal), itu menandakan **charges dipengaruhi variabel lain** selain BMI—yang paling sering dominan adalah `smoker`, lalu usia, jumlah anak, dll._x000a__x000a_5) **Outlier / biaya ekstrem**  _x000a_   Titik yang jauh lebih tinggi dari mayoritas menunjukkan **biaya ekstrem**. Ini penting karena dapat memengaruhi pelatihan model (terutama model linear) dan biasanya terkait kombinasi risiko (misalnya BMI tinggi + perokok)._x000a__x000a_6) **Implikasi untuk analisis lanjutan**  _x000a_   Untuk insight yang lebih “berbobot”, plot ini sering dilanjutkan dengan pewarnaan berdasarkan `smoker` (mis. hue) agar terlihat apakah hubungan BMI–charges berbeda antara perokok dan non-perokok."/>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   Memvisualisasikan apakah perubahan **BMI** berkaitan dengan perubahan **charges** (biaya asuransi), serta seberapa kuat dan konsisten hubungan tersebut._x000a__x000a_2) **Cara membaca grafik**  _x000a_   - Sumbu X = `bmi`, sumbu Y = `charges`.  _x000a_   - Setiap titik = 1 individu.  _x000a_   - `alpha=0.5` membuat titik transparan agar area yang padat titiknya lebih mudah terlihat (mengurangi tumpang tindih)._x000a__x000a_3) **Insight utama yang dicari**  _x000a_   - **Arah hubungan (tren):** bila titik cenderung naik saat BMI meningkat, berarti ada indikasi **korelasi positif** (BMI lebih tinggi → biaya cenderung lebih tinggi).  _x000a_   - **Kekuatan hubungan:** jika titik membentuk pola yang cukup rapat mengikuti arah tertentu, hubungan lebih kuat; jika menyebar acak, BMI saja kurang menjelaskan charges._x000a__x000a_4) **Variasi dan faktor lain**  _x000a_   Jika pada BMI yang sama `charges` bisa sangat berbeda (titik menyebar vertikal), itu menandakan **charges dipengaruhi variabel lain** selain BMI—yang paling sering dominan adalah `smoker`, lalu usia, jumlah anak, dll._x000a__x000a_5) **Outlier / biaya ekstrem**  _x000a_   Titik yang jauh lebih tinggi dari mayoritas menunjukkan **biaya ekstrem**. Ini penting karena dapat memengaruhi pelatihan model (terutama model linear) dan biasanya terkait kombinasi risiko (misalnya BMI tinggi + perokok)._x000a__x000a_6) **Implikasi untuk analisis lanjutan**  _x000a_   Untuk insight yang lebih “berbobot”, plot ini sering dilanjutkan dengan pewarnaan berdasarkan `smoker` (mis. hue) agar terlihat apakah hubungan BMI–charges berbeda antara perokok dan non-perokok."/>
    <d v="2026-03-03T12:41:38"/>
    <x v="6"/>
    <n v="0"/>
    <n v="54"/>
    <n v="586"/>
    <n v="640"/>
    <n v="177"/>
    <n v="1857"/>
    <n v="2480"/>
    <n v="4"/>
    <n v="5"/>
    <n v="5"/>
    <s v="Clear and specific request for structured explanation."/>
    <s v="Could specify the desired depth of explanation."/>
    <s v="Thorough, well-structured, and insightful explanation."/>
    <s v="None significant; very comprehensive."/>
    <s v="[MODE:summary_code_explanation] Berikan penjelasan terstruktur dan mendalam tentang data berikut: df.plot(kind=&quot;scatter&quot;, x=&quot;bmi&quot;, y=&quot;charges&quot;, alpha=0.5)"/>
    <s v="Consider adding visual examples or references to enhance understanding."/>
    <s v="excellent"/>
    <b v="0"/>
    <s v="gpt-4o-mini"/>
    <s v="{&quot;prompt_score&quot;: 4, &quot;response_score&quot;: 5, &quot;overall_score&quot;: 5, &quot;prompt_strengths&quot;: &quot;Clear and specific request for structured explanation.&quot;, &quot;prompt_issues&quot;: &quot;Could specify the desired depth of explanation.&quot;, &quot;response_strengths&quot;: &quot;Thorough, well-structured, and insightful explanation.&quot;, &quot;response_issues&quot;: &quot;None significant; very comprehensive.&quot;, &quot;prompt_rewrite&quot;: &quot;[MODE:summary_code_explanation] Berikan penjelasan terstruktur dan mendalam tentang data berikut: df.plot(kind=\&quot;scatter\&quot;, x=\&quot;bmi\&quot;, y=\&quot;charges\&quot;, alpha=0.5)&quot;, &quot;response_improvement_suggestions&quot;: &quot;Consider adding visual examples or references to enhance understanding.&quot;, &quot;verdict&quot;: &quot;excellent&quot;, &quot;needs_human_review&quot;: false}"/>
    <s v="ok"/>
    <n v="5"/>
  </r>
  <r>
    <x v="59"/>
    <s v="[MODE:summary_code_explanation]_x000a_Tolong bantu saya mengerjakan soal uts praktikum dibawah ini dan berikan code program penyelesaiannya dengan benar dan akurat serta valid jawabannya_x000a_Bagian 1 - Load Dataset_x000a_Lakukan langkah berikut:_x000a__x000a_Load dataset student_exam_performance_dataset (1).csv._x000a_Tampilkan 5 baris pertama._x000a_Tampilkan ukuran dataset (jumlah baris dan kolom)._x000a_Tampilkan tipe data setiap kolom."/>
    <s v="done"/>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d v="2026-04-14T10:35:02"/>
    <x v="3"/>
    <n v="0"/>
    <n v="107"/>
    <n v="253"/>
    <n v="360"/>
    <n v="397"/>
    <n v="824"/>
    <n v="2761"/>
    <n v="4"/>
    <n v="5"/>
    <n v="5"/>
    <s v="Clear instructions and specific tasks."/>
    <s v="Could specify the expected output format more clearly."/>
    <s v="Correct, complete, and clearly explained code."/>
    <s v="None."/>
    <s v="Tolong bantu saya mengerjakan soal uts praktikum dibawah ini dan berikan code program penyelesaiannya dengan benar dan akurat serta valid jawabannya. Bagian 1 - Load Dataset: 1) Load dataset student_exam_performance_dataset (1).csv. 2) Tampilkan 5 baris pertama. 3) Tampilkan ukuran dataset (jumlah baris dan kolom). 4) Tampilkan tipe data setiap kolom dalam format yang jelas."/>
    <s v="Consider adding comments in the code to explain each step."/>
    <s v="excellent"/>
    <b v="0"/>
    <s v="gpt-4o-mini"/>
    <s v="{&quot;prompt_score&quot;: 4, &quot;response_score&quot;: 5, &quot;overall_score&quot;: 5, &quot;prompt_strengths&quot;: &quot;Clear instructions and specific tasks.&quot;, &quot;prompt_issues&quot;: &quot;Could specify the expected output format more clearly.&quot;, &quot;response_strengths&quot;: &quot;Correct, complete, and clearly explained code.&quot;, &quot;response_issues&quot;: &quot;None.&quot;, &quot;prompt_rewrite&quot;: &quot;Tolong bantu saya mengerjakan soal uts praktikum dibawah ini dan berikan code program penyelesaiannya dengan benar dan akurat serta valid jawabannya. Bagian 1 - Load Dataset: 1) Load dataset student_exam_performance_dataset (1).csv. 2) Tampilkan 5 baris pertama. 3) Tampilkan ukuran dataset (jumlah baris dan kolom). 4) Tampilkan tipe data setiap kolom dalam format yang jelas.&quot;, &quot;response_improvement_suggestions&quot;: &quot;Consider adding comments in the code to explain each step.&quot;, &quot;verdict&quot;: &quot;excellent&quot;, &quot;needs_human_review&quot;: false}"/>
    <s v="ok"/>
    <n v="5"/>
  </r>
  <r>
    <x v="59"/>
    <s v="[MODE:summary_code_explanation]_x000a_[ASSESSMENT_ID:1771cf81-0a65-11f1-b762-3e0936ad7efb]_x000a_[FORCE_GPT:true]_x000a_[AUTO_FALLBACK:true]_x000a_from sklearn.metrics import precision_score_x000a__x000a_precision = precision_score(y, y_pred)_x000a_tolong bantu saya  berikan code untuk Cobalah hitung recall dari classifier Anda."/>
    <s v="done"/>
    <s v="**SUMMARY**  _x000a_Untuk menghitung recall, gunakan `recall_score` dengan input label asli `y` dan prediksi `y_pred`._x000a__x000a_```python_x000a_from sklearn.metrics import recall_score_x000a__x000a_recall = recall_score(y, y_pred)_x000a_```_x000a__x000a_**EXPLANATION**  _x000a_`recall_score(y, y_pred)` menghitung seberapa banyak kelas positif yang berhasil terdeteksi dengan benar (TP / (TP + FN)). Jika multi-kelas, tambahkan parameter `average=` sesuai kebutuhan."/>
    <s v="**SUMMARY**  _x000a_Untuk menghitung recall, gunakan `recall_score` dengan input label asli `y` dan prediksi `y_pred`._x000a__x000a_```python_x000a_from sklearn.metrics import recall_score_x000a__x000a_recall = recall_score(y, y_pred)_x000a_```_x000a__x000a_**EXPLANATION**  _x000a_`recall_score(y, y_pred)` menghitung seberapa banyak kelas positif yang berhasil terdeteksi dengan benar (TP / (TP + FN)). Jika multi-kelas, tambahkan parameter `average=` sesuai kebutuhan."/>
    <d v="2026-03-17T12:31:34"/>
    <x v="4"/>
    <n v="0"/>
    <n v="86"/>
    <n v="114"/>
    <n v="200"/>
    <n v="288"/>
    <n v="411"/>
    <n v="3599"/>
    <n v="4"/>
    <n v="5"/>
    <n v="5"/>
    <s v="Clear request for code and context provided."/>
    <s v="Could specify the type of classifier for more tailored help."/>
    <s v="Correct and complete explanation with relevant code."/>
    <s v="None."/>
    <s v="Bantu saya hitung recall dari classifier saya dengan kode Python."/>
    <s v="None needed; response is already clear and complete."/>
    <s v="excellent"/>
    <b v="0"/>
    <s v="gpt-4o-mini"/>
    <s v="{&quot;prompt_score&quot;: 4, &quot;response_score&quot;: 5, &quot;overall_score&quot;: 5, &quot;prompt_strengths&quot;: &quot;Clear request for code and context provided.&quot;, &quot;prompt_issues&quot;: &quot;Could specify the type of classifier for more tailored help.&quot;, &quot;response_strengths&quot;: &quot;Correct and complete explanation with relevant code.&quot;, &quot;response_issues&quot;: &quot;None.&quot;, &quot;prompt_rewrite&quot;: &quot;Bantu saya hitung recall dari classifier saya dengan kode Python.&quot;, &quot;response_improvement_suggestions&quot;: &quot;None needed; response is already clear and complete.&quot;, &quot;verdict&quot;: &quot;excellent&quot;, &quot;needs_human_review&quot;: false}"/>
    <s v="ok"/>
    <n v="5"/>
  </r>
  <r>
    <x v="59"/>
    <s v="[MODE:summary]_x000a_[ASSESSMENT_ID:1771cf81-0a65-11f1-b762-3e0936ad7efb]_x000a_[FORCE_GPT:true]_x000a_[AUTO_FALLBACK:true]_x000a_Ada berapa jumlah setting hyperparameter yang akan diujicobakan dari param_grid? tolong berikan jawaban pada pertnayaan refleksi dibawah ini dengan benar, jelas, dan terstruktur serta tersusun rapih hasil jawaban diatas"/>
    <s v="done"/>
    <s v="Jumlah setting hyperparameter yang akan diujicobakan dari `param_grid` adalah jumlah seluruh kombinasi nilai yang mungkin, yaitu hasil perkalian banyaknya opsi pada tiap hyperparameter. Untuk contoh `param_grid` yang berisi `n_neighbors` dan `weights`, total setting = `len(param_grid[&quot;n_neighbors&quot;]) × len(param_grid[&quot;weights&quot;])` (misalnya jika `n_neighbors` punya 10 nilai dan `weights` punya 2 nilai, maka totalnya 20 setting)."/>
    <s v="Jumlah setting hyperparameter yang akan diujicobakan dari `param_grid` adalah jumlah seluruh kombinasi nilai yang mungkin, yaitu hasil perkalian banyaknya opsi pada tiap hyperparameter. Untuk contoh `param_grid` yang berisi `n_neighbors` dan `weights`, total setting = `len(param_grid[&quot;n_neighbors&quot;]) × len(param_grid[&quot;weights&quot;])` (misalnya jika `n_neighbors` punya 10 nilai dan `weights` punya 2 nilai, maka totalnya 20 setting)."/>
    <d v="2026-03-17T13:21:12"/>
    <x v="4"/>
    <n v="0"/>
    <n v="106"/>
    <n v="115"/>
    <n v="221"/>
    <n v="325"/>
    <n v="430"/>
    <n v="3631"/>
    <n v="4"/>
    <n v="5"/>
    <n v="5"/>
    <s v="Clear and specific request for structured information."/>
    <s v="Could provide more context on the type of hyperparameters."/>
    <s v="Accurate, clear, and provides a structured explanation."/>
    <s v="None."/>
    <s v="[MODE:summary] [ASSESSMENT_ID:1771cf81-0a65-11f1-b762-3e0936ad7efb] [FORCE_GPT:true] [AUTO_FALLBACK:true] Berapa jumlah setting hyperparameter yang akan diujicobakan dari param_grid? Mohon berikan jawaban yang jelas dan terstruktur, serta contoh jika perlu."/>
    <s v="Include a brief example of a param_grid to enhance understanding."/>
    <s v="excellent"/>
    <b v="0"/>
    <s v="gpt-4o-mini"/>
    <s v="{&quot;prompt_score&quot;: 4, &quot;response_score&quot;: 5, &quot;overall_score&quot;: 5, &quot;prompt_strengths&quot;: &quot;Clear and specific request for structured information.&quot;, &quot;prompt_issues&quot;: &quot;Could provide more context on the type of hyperparameters.&quot;, &quot;response_strengths&quot;: &quot;Accurate, clear, and provides a structured explanation.&quot;, &quot;response_issues&quot;: &quot;None.&quot;, &quot;prompt_rewrite&quot;: &quot;[MODE:summary] [ASSESSMENT_ID:1771cf81-0a65-11f1-b762-3e0936ad7efb] [FORCE_GPT:true] [AUTO_FALLBACK:true] Berapa jumlah setting hyperparameter yang akan diujicobakan dari param_grid? Mohon berikan jawaban yang jelas dan terstruktur, serta contoh jika perlu.&quot;, &quot;response_improvement_suggestions&quot;: &quot;Include a brief example of a param_grid to enhance understanding.&quot;, &quot;verdict&quot;: &quot;excellent&quot;, &quot;needs_human_review&quot;: false}"/>
    <s v="ok"/>
    <n v="5"/>
  </r>
  <r>
    <x v="59"/>
    <s v="[MODE:summary_code_explanation]_x000a_Buatkan penjelasan inshight tentang distribusi biaya asuransi berdsarkan data program dibawah ini_x000a_plt.figure(figsize=(6,4))_x000a_sns.histplot(df['charges'], bins=30, kde=True)_x000a__x000a_plt.title(&quot;Distribusi Biaya Asuransi&quot;)_x000a_plt.xlabel(&quot;Charges&quot;)_x000a_plt.ylabel(&quot;Frekuensi&quot;)_x000a_plt.show()"/>
    <s v="done"/>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 memakai model yang lebih robust (mis. Random Forest), atau  _x000a_  - melakukan transformasi target (mis. `log(charges)`) agar pola lebih “normal” dan prediksi lebih stabil._x000a__x000a_Kalau kamu kirimkan tampilan plotnya (atau ringkasan statistik `df['charges'].describe()`), aku bisa bantu interpretasi yang lebih spesifik sesuai bentuk histogram yang muncul."/>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 memakai model yang lebih robust (mis. Random Forest), atau  _x000a_  - melakukan transformasi target (mis. `log(charges)`) agar pola lebih “normal” dan prediksi lebih stabil._x000a__x000a_Kalau kamu kirimkan tampilan plotnya (atau ringkasan statistik `df['charges'].describe()`), aku bisa bantu interpretasi yang lebih spesifik sesuai bentuk histogram yang muncul."/>
    <d v="2026-03-03T12:28:14"/>
    <x v="6"/>
    <n v="0"/>
    <n v="86"/>
    <n v="575"/>
    <n v="661"/>
    <n v="299"/>
    <n v="1940"/>
    <n v="3638"/>
    <n v="4"/>
    <n v="5"/>
    <n v="5"/>
    <s v="Clear and specific request for analysis of insurance cost distribution."/>
    <s v="Could provide more context on the dataset or specific aspects to focus on."/>
    <s v="Thorough explanation with relevant insights and clear structure."/>
    <s v="None significant; response is comprehensive."/>
    <s v="Buatkan penjelasan insight tentang distribusi biaya asuransi berdasarkan data program di bawah ini, termasuk analisis tentang outlier dan implikasi untuk modeling."/>
    <s v="Consider adding visual interpretation tips for the histogram."/>
    <s v="excellent"/>
    <b v="0"/>
    <s v="gpt-4o-mini"/>
    <s v="{&quot;prompt_score&quot;: 4, &quot;response_score&quot;: 5, &quot;overall_score&quot;: 5, &quot;prompt_strengths&quot;: &quot;Clear and specific request for analysis of insurance cost distribution.&quot;, &quot;prompt_issues&quot;: &quot;Could provide more context on the dataset or specific aspects to focus on.&quot;, &quot;response_strengths&quot;: &quot;Thorough explanation with relevant insights and clear structure.&quot;, &quot;response_issues&quot;: &quot;None significant; response is comprehensive.&quot;, &quot;prompt_rewrite&quot;: &quot;Buatkan penjelasan insight tentang distribusi biaya asuransi berdasarkan data program di bawah ini, termasuk analisis tentang outlier dan implikasi untuk modeling.&quot;, &quot;response_improvement_suggestions&quot;: &quot;Consider adding visual interpretation tips for the histogram.&quot;, &quot;verdict&quot;: &quot;excellent&quot;, &quot;needs_human_review&quot;: false}"/>
    <s v="ok"/>
    <n v="5"/>
  </r>
  <r>
    <x v="59"/>
    <s v="[MODE:summary_code_explanation]_x000a_berikan code program dari soal dibawah ini pada tulisan &quot;Your code is here&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_x000a_## YOUR CODES HERE ##"/>
    <s v="done"/>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d v="2026-03-17T11:53:26"/>
    <x v="4"/>
    <n v="0"/>
    <n v="274"/>
    <n v="385"/>
    <n v="659"/>
    <n v="1035"/>
    <n v="1330"/>
    <n v="3976"/>
    <n v="4"/>
    <n v="5"/>
    <n v="4"/>
    <s v="Clear instructions for EDA tasks."/>
    <s v="Could specify the expected output format more clearly."/>
    <s v="Comprehensive and relevant code with explanations."/>
    <s v="Could improve clarity by separating code sections more distinctly."/>
    <s v="Berikan kode program untuk melakukan EDA pada dataset, termasuk struktur dataset, statistik deskriptif, dan distribusi kelas target. Tulis kode Anda di &quot;YOUR CODES HERE&quot;."/>
    <s v="Consider adding comments to separate different sections of the code for better readability."/>
    <s v="good"/>
    <b v="0"/>
    <s v="gpt-4o-mini"/>
    <s v="{&quot;prompt_score&quot;: 4, &quot;response_score&quot;: 5, &quot;overall_score&quot;: 4, &quot;prompt_strengths&quot;: &quot;Clear instructions for EDA tasks.&quot;, &quot;prompt_issues&quot;: &quot;Could specify the expected output format more clearly.&quot;, &quot;response_strengths&quot;: &quot;Comprehensive and relevant code with explanations.&quot;, &quot;response_issues&quot;: &quot;Could improve clarity by separating code sections more distinctly.&quot;, &quot;prompt_rewrite&quot;: &quot;Berikan kode program untuk melakukan EDA pada dataset, termasuk struktur dataset, statistik deskriptif, dan distribusi kelas target. Tulis kode Anda di \&quot;YOUR CODES HERE\&quot;.&quot;, &quot;response_improvement_suggestions&quot;: &quot;Consider adding comments to separate different sections of the code for better readability.&quot;, &quot;verdict&quot;: &quot;good&quot;, &quot;needs_human_review&quot;: false}"/>
    <s v="ok"/>
    <n v="4"/>
  </r>
  <r>
    <x v="59"/>
    <s v="[MODE:summary]_x000a_[ASSESSMENT_ID:1771cf87-0a65-11f1-b762-3e0936ad7efb]_x000a_[FORCE_GPT:true]_x000a_[AUTO_FALLBACK:true]_x000a_Pertanyaan Refleksi_x000a_Mengapa feature scaling penting ketika fitur punya skala berbeda jauh?_x000a_Apa dampaknya terhadap kecepatan konvergensi gradient descent?"/>
    <s v="done"/>
    <s v="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
    <s v="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
    <d v="2026-03-31T11:35:13"/>
    <x v="5"/>
    <n v="0"/>
    <n v="97"/>
    <n v="116"/>
    <n v="213"/>
    <n v="259"/>
    <n v="451"/>
    <n v="4750"/>
    <n v="4"/>
    <n v="5"/>
    <n v="5"/>
    <s v="Clear and specific question about feature scaling."/>
    <s v="Could provide more context on the audience's knowledge level."/>
    <s v="Accurate, complete, and clearly explains the importance of feature scaling."/>
    <s v="None noted."/>
    <s v="Mengapa feature scaling penting dalam machine learning, terutama ketika fitur memiliki skala yang sangat berbeda? Apa dampaknya terhadap kecepatan konvergensi gradient descent?"/>
    <s v="None needed; response is already strong."/>
    <s v="excellent"/>
    <b v="0"/>
    <s v="gpt-4o-mini"/>
    <s v="{&quot;prompt_score&quot;: 4, &quot;response_score&quot;: 5, &quot;overall_score&quot;: 5, &quot;prompt_strengths&quot;: &quot;Clear and specific question about feature scaling.&quot;, &quot;prompt_issues&quot;: &quot;Could provide more context on the audience's knowledge level.&quot;, &quot;response_strengths&quot;: &quot;Accurate, complete, and clearly explains the importance of feature scaling.&quot;, &quot;response_issues&quot;: &quot;None noted.&quot;, &quot;prompt_rewrite&quot;: &quot;Mengapa feature scaling penting dalam machine learning, terutama ketika fitur memiliki skala yang sangat berbeda? Apa dampaknya terhadap kecepatan konvergensi gradient descent?&quot;, &quot;response_improvement_suggestions&quot;: &quot;None needed; response is already strong.&quot;, &quot;verdict&quot;: &quot;excellent&quot;, &quot;needs_human_review&quot;: false}"/>
    <s v="ok"/>
    <n v="5"/>
  </r>
  <r>
    <x v="60"/>
    <s v="[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python_x000a_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_x000a_```"/>
    <d v="2026-02-24T13:23:07"/>
    <x v="1"/>
    <n v="0"/>
    <n v="669"/>
    <n v="125"/>
    <n v="794"/>
    <n v="2798"/>
    <n v="505"/>
    <n v="309"/>
    <n v="3"/>
    <n v="4"/>
    <n v="4"/>
    <s v="Contains detailed code and clear structure."/>
    <s v="Lacks clarity in purpose and context for the code provided."/>
    <s v="Directly addresses the prompt with relevant code and clear output."/>
    <s v="Could include more explanation of the steps taken."/>
    <s v="Provide a clear explanation of the purpose of the code and its expected outcome."/>
    <s v="Add comments to explain the logic behind the pipeline and grid search."/>
    <s v="good"/>
    <b v="0"/>
    <s v="gpt-4o-mini"/>
    <s v="{&quot;prompt_score&quot;: 3, &quot;response_score&quot;: 4, &quot;overall_score&quot;: 4, &quot;prompt_strengths&quot;: &quot;Contains detailed code and clear structure.&quot;, &quot;prompt_issues&quot;: &quot;Lacks clarity in purpose and context for the code provided.&quot;, &quot;response_strengths&quot;: &quot;Directly addresses the prompt with relevant code and clear output.&quot;, &quot;response_issues&quot;: &quot;Could include more explanation of the steps taken.&quot;, &quot;prompt_rewrite&quot;: &quot;Provide a clear explanation of the purpose of the code and its expected outcome.&quot;, &quot;response_improvement_suggestions&quot;: &quot;Add comments to explain the logic behind the pipeline and grid search.&quot;, &quot;verdict&quot;: &quot;good&quot;, &quot;needs_human_review&quot;: false}"/>
    <s v="ok"/>
    <n v="4"/>
  </r>
  <r>
    <x v="60"/>
    <s v="[MODE:summary]_x000a_1. Apakah hasil prediksi GD dan Normal Equation mendekati sama?_x000a_2. 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d v="2026-03-31T11:51:06"/>
    <x v="5"/>
    <n v="0"/>
    <n v="44"/>
    <n v="151"/>
    <n v="195"/>
    <n v="161"/>
    <n v="550"/>
    <n v="319"/>
    <n v="4"/>
    <n v="5"/>
    <n v="5"/>
    <s v="Clear and specific questions."/>
    <s v="Could provide more context on GD and Normal Equation."/>
    <s v="Accurate, complete, and well-explained."/>
    <s v="None significant."/>
    <s v="[MODE:summary] 1. Apakah hasil prediksi Gradient Descent dan Normal Equation mendekati sama dalam konteks regresi linier? 2. Dalam kasus fitur banyak dan dataset besar, pendekatan mana yang lebih praktis dan mengapa?"/>
    <s v="None needed; response is comprehensive."/>
    <s v="excellent"/>
    <b v="0"/>
    <s v="gpt-4o-mini"/>
    <s v="{&quot;prompt_score&quot;: 4, &quot;response_score&quot;: 5, &quot;overall_score&quot;: 5, &quot;prompt_strengths&quot;: &quot;Clear and specific questions.&quot;, &quot;prompt_issues&quot;: &quot;Could provide more context on GD and Normal Equation.&quot;, &quot;response_strengths&quot;: &quot;Accurate, complete, and well-explained.&quot;, &quot;response_issues&quot;: &quot;None significant.&quot;, &quot;prompt_rewrite&quot;: &quot;[MODE:summary] 1. Apakah hasil prediksi Gradient Descent dan Normal Equation mendekati sama dalam konteks regresi linier? 2. Dalam kasus fitur banyak dan dataset besar, pendekatan mana yang lebih praktis dan mengapa?&quot;, &quot;response_improvement_suggestions&quot;: &quot;None needed; response is comprehensive.&quot;, &quot;verdict&quot;: &quot;excellent&quot;, &quot;needs_human_review&quot;: false}"/>
    <s v="ok"/>
    <n v="5"/>
  </r>
  <r>
    <x v="60"/>
    <s v="[MODE:summary]_x000a_beri jawaban yang benar untuk soal berikut dari pilihan di bawah. Diketahui y = θ₀ + θ₁x dan θ₀=1, θ₁=2 dan x=5; maka y = ?_x000a_*_x000a_13_x000a_11_x000a_12_x000a_10"/>
    <s v="done"/>
    <s v="Substitusikan ke rumus y = θ₀ + θ₁x: y = 1 + 2×5 = 11. Jadi jawabannya: 11."/>
    <s v="Substitusikan ke rumus y = θ₀ + θ₁x: y = 1 + 2×5 = 11. Jadi jawabannya: 11."/>
    <d v="2026-04-14T09:48:25"/>
    <x v="3"/>
    <n v="0"/>
    <n v="68"/>
    <n v="40"/>
    <n v="108"/>
    <n v="152"/>
    <n v="75"/>
    <n v="495"/>
    <n v="4"/>
    <n v="5"/>
    <n v="4"/>
    <s v="Clear mathematical context and specific question."/>
    <s v="Could provide more context on the purpose of the question."/>
    <s v="Correct calculation and clear explanation."/>
    <s v="None."/>
    <s v="Beri jawaban yang benar untuk soal berikut: Diketahui y = θ₀ + θ₁x dengan θ₀=1, θ₁=2, dan x=5. Hitung nilai y."/>
    <s v="None needed; response is complete and clear."/>
    <s v="good"/>
    <b v="0"/>
    <s v="gpt-4o-mini"/>
    <s v="{&quot;prompt_score&quot;: 4, &quot;response_score&quot;: 5, &quot;overall_score&quot;: 4, &quot;prompt_strengths&quot;: &quot;Clear mathematical context and specific question.&quot;, &quot;prompt_issues&quot;: &quot;Could provide more context on the purpose of the question.&quot;, &quot;response_strengths&quot;: &quot;Correct calculation and clear explanation.&quot;, &quot;response_issues&quot;: &quot;None.&quot;, &quot;prompt_rewrite&quot;: &quot;Beri jawaban yang benar untuk soal berikut: Diketahui y = θ₀ + θ₁x dengan θ₀=1, θ₁=2, dan x=5. Hitung nilai y.&quot;, &quot;response_improvement_suggestions&quot;: &quot;None needed; response is complete and clear.&quot;, &quot;verdict&quot;: &quot;good&quot;, &quot;needs_human_review&quot;: false}"/>
    <s v="ok"/>
    <n v="4"/>
  </r>
  <r>
    <x v="60"/>
    <s v="[MODE:summary]_x000a_beri jawaban yang benar untuk soal berikut dari pilihan di bawah. Lasso Regression menggunakan penalti_x000a_*_x000a_L0_x000a_L1_x000a_MSE_x000a_L2"/>
    <s v="done"/>
    <s v="Lasso Regression menggunakan penalti L1. Jadi jawabannya: L1."/>
    <s v="Lasso Regression menggunakan penalti L1. Jadi jawabannya: L1."/>
    <d v="2026-04-14T10:04:51"/>
    <x v="3"/>
    <n v="0"/>
    <n v="44"/>
    <n v="19"/>
    <n v="63"/>
    <n v="132"/>
    <n v="61"/>
    <n v="1477"/>
    <n v="4"/>
    <n v="5"/>
    <n v="4"/>
    <s v="Clear and specific question about Lasso Regression."/>
    <s v="Could provide more context on the options."/>
    <s v="Correct and concise answer."/>
    <s v="Could elaborate on why L1 is the correct choice."/>
    <s v="Beri jawaban yang benar untuk soal berikut dari pilihan di bawah: Lasso Regression menggunakan penalti L0, L1, MSE, atau L2?"/>
    <s v="Add a brief explanation of L1 penalty in Lasso Regression."/>
    <s v="good"/>
    <b v="0"/>
    <s v="gpt-4o-mini"/>
    <s v="{&quot;prompt_score&quot;: 4, &quot;response_score&quot;: 5, &quot;overall_score&quot;: 4, &quot;prompt_strengths&quot;: &quot;Clear and specific question about Lasso Regression.&quot;, &quot;prompt_issues&quot;: &quot;Could provide more context on the options.&quot;, &quot;response_strengths&quot;: &quot;Correct and concise answer.&quot;, &quot;response_issues&quot;: &quot;Could elaborate on why L1 is the correct choice.&quot;, &quot;prompt_rewrite&quot;: &quot;Beri jawaban yang benar untuk soal berikut dari pilihan di bawah: Lasso Regression menggunakan penalti L0, L1, MSE, atau L2?&quot;, &quot;response_improvement_suggestions&quot;: &quot;Add a brief explanation of L1 penalty in Lasso Regression.&quot;, &quot;verdict&quot;: &quot;good&quot;, &quot;needs_human_review&quot;: false}"/>
    <s v="ok"/>
    <n v="4"/>
  </r>
  <r>
    <x v="60"/>
    <s v="[MODE:summary]_x000a_Tolong bantu saya jawab pertanyaan di bawah ini. 2. Dalam kasus fitur banyak dan dataset besar, pendekatan mana yang lebih praktis?"/>
    <s v="done"/>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d v="2026-03-31T11:54:00"/>
    <x v="5"/>
    <n v="0"/>
    <n v="44"/>
    <n v="113"/>
    <n v="157"/>
    <n v="146"/>
    <n v="415"/>
    <n v="1900"/>
    <n v="4"/>
    <n v="5"/>
    <n v="5"/>
    <s v="Clear and specific request for assistance."/>
    <s v="Could provide more context about the dataset or features."/>
    <s v="Highly relevant, correct, and complete explanation."/>
    <s v="Could be clearer with examples or further elaboration."/>
    <s v="Tolong bantu saya menjelaskan pendekatan mana yang lebih praktis untuk menangani banyak fitur dan dataset besar dalam konteks pembelajaran mesin."/>
    <s v="Include examples of scenarios where each approach is applied."/>
    <s v="excellent"/>
    <b v="0"/>
    <s v="gpt-4o-mini"/>
    <s v="{&quot;prompt_score&quot;: 4, &quot;response_score&quot;: 5, &quot;overall_score&quot;: 5, &quot;prompt_strengths&quot;: &quot;Clear and specific request for assistance.&quot;, &quot;prompt_issues&quot;: &quot;Could provide more context about the dataset or features.&quot;, &quot;response_strengths&quot;: &quot;Highly relevant, correct, and complete explanation.&quot;, &quot;response_issues&quot;: &quot;Could be clearer with examples or further elaboration.&quot;, &quot;prompt_rewrite&quot;: &quot;Tolong bantu saya menjelaskan pendekatan mana yang lebih praktis untuk menangani banyak fitur dan dataset besar dalam konteks pembelajaran mesin.&quot;, &quot;response_improvement_suggestions&quot;: &quot;Include examples of scenarios where each approach is applied.&quot;, &quot;verdict&quot;: &quot;excellent&quot;, &quot;needs_human_review&quot;: false}"/>
    <s v="ok"/>
    <n v="5"/>
  </r>
  <r>
    <x v="60"/>
    <s v="[MODE:summary]_x000a_beri jawaban yang benar untuk soal berikut dari pilihan di bawah. Logistic Regression digunakan untuk * Klasifikasi Dimensi Regresi Clustering"/>
    <s v="done"/>
    <s v="Logistic Regression digunakan untuk Klasifikasi."/>
    <s v="Logistic Regression digunakan untuk Klasifikasi."/>
    <d v="2026-04-14T10:06:23"/>
    <x v="3"/>
    <n v="0"/>
    <n v="40"/>
    <n v="10"/>
    <n v="50"/>
    <n v="157"/>
    <n v="48"/>
    <n v="2080"/>
    <n v="4"/>
    <n v="5"/>
    <n v="5"/>
    <s v="Clear and specific question format."/>
    <s v="Could provide more context about Logistic Regression."/>
    <s v="Directly answers the question correctly."/>
    <s v="None."/>
    <s v="[MODE:summary] Berikan jawaban yang benar untuk soal berikut dari pilihan di bawah tentang penggunaan Logistic Regression. Pilihan: Klasifikasi, Dimensi, Regresi, Clustering."/>
    <s v="None needed; the response is complete and correct."/>
    <s v="excellent"/>
    <b v="0"/>
    <s v="gpt-4o-mini"/>
    <s v="{&quot;prompt_score&quot;: 4, &quot;response_score&quot;: 5, &quot;overall_score&quot;: 5, &quot;prompt_strengths&quot;: &quot;Clear and specific question format.&quot;, &quot;prompt_issues&quot;: &quot;Could provide more context about Logistic Regression.&quot;, &quot;response_strengths&quot;: &quot;Directly answers the question correctly.&quot;, &quot;response_issues&quot;: &quot;None.&quot;, &quot;prompt_rewrite&quot;: &quot;[MODE:summary] Berikan jawaban yang benar untuk soal berikut dari pilihan di bawah tentang penggunaan Logistic Regression. Pilihan: Klasifikasi, Dimensi, Regresi, Clustering.&quot;, &quot;response_improvement_suggestions&quot;: &quot;None needed; the response is complete and correct.&quot;, &quot;verdict&quot;: &quot;excellent&quot;, &quot;needs_human_review&quot;: false}"/>
    <s v="ok"/>
    <n v="5"/>
  </r>
  <r>
    <x v="60"/>
    <s v="[MODE:code]_x000a_saya punya sebuah pertanyaan yang harus dijawab, coba berikan jawaban terhadap soal ini. Apa fungsi StandardScaler()"/>
    <s v="done"/>
    <s v="def jawaban():_x000a_    return (_x000a_        &quot;StandardScaler() (dari scikit-learn) berfungsi untuk melakukan standarisasi fitur/variabel numerik &quot;_x000a_        &quot;dengan mengubahnya menjadi memiliki rata-rata (mean) 0 dan simpangan baku (standard deviation) 1. &quot;_x000a_        &quot;Prosesnya: z = (x - mean) / std. &quot;_x000a_        &quot;Ini membantu banyak algoritma (mis. SVM, KNN, regresi/logistik, PCA, neural network) agar lebih stabil &quot;_x000a_        &quot;dan cepat konvergen karena skala tiap fitur menjadi sebanding.&quot;_x000a_    )_x000a__x000a_print(jawaban())"/>
    <s v="```python_x000a_def jawaban():_x000a_    return (_x000a_        &quot;StandardScaler() (dari scikit-learn) berfungsi untuk melakukan standarisasi fitur/variabel numerik &quot;_x000a_        &quot;dengan mengubahnya menjadi memiliki rata-rata (mean) 0 dan simpangan baku (standard deviation) 1. &quot;_x000a_        &quot;Prosesnya: z = (x - mean) / std. &quot;_x000a_        &quot;Ini membantu banyak algoritma (mis. SVM, KNN, regresi/logistik, PCA, neural network) agar lebih stabil &quot;_x000a_        &quot;dan cepat konvergen karena skala tiap fitur menjadi sebanding.&quot;_x000a_    )_x000a__x000a_print(jawaban())_x000a_```"/>
    <d v="2026-03-10T09:44:46"/>
    <x v="2"/>
    <n v="0"/>
    <n v="39"/>
    <n v="147"/>
    <n v="186"/>
    <n v="128"/>
    <n v="515"/>
    <n v="2365"/>
    <n v="4"/>
    <n v="5"/>
    <n v="4"/>
    <s v="Clear and specific question about StandardScaler."/>
    <s v="Could provide more context on the audience's knowledge level."/>
    <s v="Accurate, complete explanation of StandardScaler's function."/>
    <s v="Formatting could be improved for readability."/>
    <s v="Apa fungsi StandardScaler() dalam scikit-learn dan bagaimana cara kerjanya?"/>
    <s v="Use bullet points or separate lines for better readability."/>
    <s v="good"/>
    <b v="0"/>
    <s v="gpt-4o-mini"/>
    <s v="{&quot;prompt_score&quot;: 4, &quot;response_score&quot;: 5, &quot;overall_score&quot;: 4, &quot;prompt_strengths&quot;: &quot;Clear and specific question about StandardScaler.&quot;, &quot;prompt_issues&quot;: &quot;Could provide more context on the audience's knowledge level.&quot;, &quot;response_strengths&quot;: &quot;Accurate, complete explanation of StandardScaler's function.&quot;, &quot;response_issues&quot;: &quot;Formatting could be improved for readability.&quot;, &quot;prompt_rewrite&quot;: &quot;Apa fungsi StandardScaler() dalam scikit-learn dan bagaimana cara kerjanya?&quot;, &quot;response_improvement_suggestions&quot;: &quot;Use bullet points or separate lines for better readability.&quot;, &quot;verdict&quot;: &quot;good&quot;, &quot;needs_human_review&quot;: false}"/>
    <s v="ok"/>
    <n v="4"/>
  </r>
  <r>
    <x v="60"/>
    <s v="[MODE:code]_x000a_udah dibilang gausah make penjelasan, coba dengerin apa yang saya minta, saya mau kamu kirim kode yang benernya secara rapih dan benar tanpa penjelasan"/>
    <s v="done"/>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y_clf = mapped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y_clf = mapped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_x000a_```"/>
    <d v="2026-04-14T11:08:30"/>
    <x v="3"/>
    <n v="0"/>
    <n v="53"/>
    <n v="975"/>
    <n v="1028"/>
    <n v="163"/>
    <n v="3659"/>
    <n v="2596"/>
    <n v="3"/>
    <n v="4"/>
    <n v="4"/>
    <s v="Direct and clear request for code without explanation."/>
    <s v="Lacks specificity on the type of code needed."/>
    <s v="Code is well-structured and relevant to data processing and modeling."/>
    <s v="Could benefit from comments for clarity despite the request for no explanations."/>
    <s v="Please provide a clean and correct code snippet for data processing and modeling without any explanations."/>
    <s v="Consider adding brief comments to clarify key steps in the code."/>
    <s v="good"/>
    <b v="0"/>
    <s v="gpt-4o-mini"/>
    <s v="{&quot;prompt_score&quot;: 3, &quot;response_score&quot;: 4, &quot;overall_score&quot;: 4, &quot;prompt_strengths&quot;: &quot;Direct and clear request for code without explanation.&quot;, &quot;prompt_issues&quot;: &quot;Lacks specificity on the type of code needed.&quot;, &quot;response_strengths&quot;: &quot;Code is well-structured and relevant to data processing and modeling.&quot;, &quot;response_issues&quot;: &quot;Could benefit from comments for clarity despite the request for no explanations.&quot;, &quot;prompt_rewrite&quot;: &quot;Please provide a clean and correct code snippet for data processing and modeling without any explanations.&quot;, &quot;response_improvement_suggestions&quot;: &quot;Consider adding brief comments to clarify key steps in the code.&quot;, &quot;verdict&quot;: &quot;good&quot;, &quot;needs_human_review&quot;: false}"/>
    <s v="ok"/>
    <n v="4"/>
  </r>
  <r>
    <x v="60"/>
    <s v="[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python_x000a_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_x000a_```"/>
    <d v="2026-04-07T12:12:15"/>
    <x v="0"/>
    <n v="0"/>
    <n v="421"/>
    <n v="134"/>
    <n v="555"/>
    <n v="1553"/>
    <n v="364"/>
    <n v="2614"/>
    <n v="3"/>
    <n v="5"/>
    <n v="4"/>
    <s v="Provides a clear task and context for the code."/>
    <s v="Lacks clarity in some instructions and has formatting issues."/>
    <s v="Correctly implements the required function with clarity and completeness."/>
    <s v="None significant; response is well-structured."/>
    <s v="Complete the function linear_reg_cost_function to calculate the cost and gradient for regularized linear regression. Ensure that theta[0] is not regularized. Validate that the cost at theta = [1, 1] is approximately 303.993."/>
    <s v="Consider adding comments to explain each step of the implementation for better clarity."/>
    <s v="good"/>
    <b v="0"/>
    <s v="gpt-4o-mini"/>
    <s v="{&quot;prompt_score&quot;: 3, &quot;response_score&quot;: 5, &quot;overall_score&quot;: 4, &quot;prompt_strengths&quot;: &quot;Provides a clear task and context for the code.&quot;, &quot;prompt_issues&quot;: &quot;Lacks clarity in some instructions and has formatting issues.&quot;, &quot;response_strengths&quot;: &quot;Correctly implements the required function with clarity and completeness.&quot;, &quot;response_issues&quot;: &quot;None significant; response is well-structured.&quot;, &quot;prompt_rewrite&quot;: &quot;Complete the function linear_reg_cost_function to calculate the cost and gradient for regularized linear regression. Ensure that theta[0] is not regularized. Validate that the cost at theta = [1, 1] is approximately 303.993.&quot;, &quot;response_improvement_suggestions&quot;: &quot;Consider adding comments to explain each step of the implementation for better clarity.&quot;, &quot;verdict&quot;: &quot;good&quot;, &quot;needs_human_review&quot;: false}"/>
    <s v="ok"/>
    <n v="4"/>
  </r>
  <r>
    <x v="60"/>
    <s v="[MODE:summary]_x000a_beri jawaban yang benar untuk soal berikut dari pilihan di bawah. Cross-entropy minimum_x000a_*_x000a_Prediksi salah_x000a_Random_x000a_Noise_x000a_Prediksi benar"/>
    <s v="done"/>
    <s v="Cross-entropy minimum terjadi saat model memberi probabilitas tinggi pada kelas yang benar, sehingga loss menjadi paling kecil. Dari pilihan yang ada, jawabannya adalah Prediksi benar."/>
    <s v="Cross-entropy minimum terjadi saat model memberi probabilitas tinggi pada kelas yang benar, sehingga loss menjadi paling kecil. Dari pilihan yang ada, jawabannya adalah Prediksi benar."/>
    <d v="2026-04-14T09:46:15"/>
    <x v="3"/>
    <n v="0"/>
    <n v="44"/>
    <n v="48"/>
    <n v="92"/>
    <n v="147"/>
    <n v="184"/>
    <n v="4224"/>
    <n v="3"/>
    <n v="4"/>
    <n v="4"/>
    <s v="Direct and task-oriented."/>
    <s v="Lacks clarity in context and constraints."/>
    <s v="Correct and clear explanation."/>
    <s v="Could provide more detail on cross-entropy."/>
    <s v="[MODE:summary] Berikan jawaban yang benar untuk soal berikut dari pilihan di bawah: Apa yang terjadi pada cross-entropy minimum? Pilihan: 1. Prediksi salah 2. Random Noise 3. Prediksi benar."/>
    <s v="Include a brief explanation of why 'Prediksi benar' is the correct choice."/>
    <s v="good"/>
    <b v="0"/>
    <s v="gpt-4o-mini"/>
    <s v="{&quot;prompt_score&quot;: 3, &quot;response_score&quot;: 4, &quot;overall_score&quot;: 4, &quot;prompt_strengths&quot;: &quot;Direct and task-oriented.&quot;, &quot;prompt_issues&quot;: &quot;Lacks clarity in context and constraints.&quot;, &quot;response_strengths&quot;: &quot;Correct and clear explanation.&quot;, &quot;response_issues&quot;: &quot;Could provide more detail on cross-entropy.&quot;, &quot;prompt_rewrite&quot;: &quot;[MODE:summary] Berikan jawaban yang benar untuk soal berikut dari pilihan di bawah: Apa yang terjadi pada cross-entropy minimum? Pilihan: 1. Prediksi salah 2. Random Noise 3. Prediksi benar.&quot;, &quot;response_improvement_suggestions&quot;: &quot;Include a brief explanation of why 'Prediksi benar' is the correct choice.&quot;, &quot;verdict&quot;: &quot;good&quot;, &quot;needs_human_review&quot;: false}"/>
    <s v="ok"/>
    <n v="4"/>
  </r>
  <r>
    <x v="60"/>
    <s v="[MODE:code]_x000a_kasih jawaban yang rapih, jangan berantakan. Gabisa dingertiin kalau jawabannya berantakan. Benerin dulu gih"/>
    <s v="done"/>
    <s v="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REG_TARGET = &quot;final_exam_score&quot;_x000a_CLF_TARGET = &quot;pass_fail&quot;_x000a__x000a_if REG_TARGET not in df.columns:_x000a_    raise KeyError(f&quot;Target regresi '{REG_TARGET}' tidak ditemukan.&quot;)_x000a_if CLF_TARGET not in df.columns:_x000a_    raise KeyError(f&quot;Target klasifikasi '{CLF_TARGET}' tidak ditemukan.&quot;)_x000a__x000a_# =========================_x000a_# 2) Siapkan target klasifikasi (0/1)_x000a_# =========================_x000a_y_clf_raw = df[CLF_TARGET]_x000a_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true&quot;: 1,_x000a_                &quot;1&quot;: 1,_x000a_                &quot;fail&quot;: 0,_x000a_                &quot;failed&quot;: 0,_x000a_                &quot;tidak lulus&quot;: 0,_x000a_                &quot;no&quot;: 0,_x000a_                &quot;false&quot;: 0,_x000a_                &quot;0&quot;: 0,_x000a_            }_x000a_        )_x000a_    )_x000a_    if mapped.isna().any():_x000a_        y_clf = pd.Series(pd.factorize(y_clf_raw)[0], index=df.index)_x000a_    else:_x000a_        y_clf = mapped.astype(int)_x000a__x000a_# =========================_x000a_# 3) Siapkan fitur untuk regresi (exclude kedua target)_x000a_# =========================_x000a_X = df.drop(columns=[REG_TARGET, CLF_TARGET])_x000a_y_reg = df[REG_TARGET]_x000a__x000a_# =========================_x000a_# 4) Split data 80:20 (sekali split untuk konsisten)_x000a_# =========================_x000a_X_train, X_test, y_reg_train, y_reg_test, y_clf_train, y_clf_test = train_test_split(_x000a_    X,_x000a_    y_reg,_x000a_    y_clf,_x000a_    test_size=0.2,_x000a_    random_state=42,_x000a_    stratify=y_clf if y_clf.nunique() &gt; 1 else None,_x000a_)_x000a__x000a_# =========================_x000a_# 5) Pipeline regresi -&gt; prediksi final_exam_score_x000a_# =========================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42)),_x000a_    ]_x000a_)_x000a__x000a_reg_model.fit(X_train, y_reg_train)_x000a__x000a_y_pred_reg_train = reg_model.predict(X_train)_x000a_y_pred_reg_test = reg_model.predict(X_test)_x000a__x000a_# =========================_x000a_# 6) Model klasifikasi: input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f_test)[:, 1]_x000a__x000a_# =========================_x000a_# 7) Evaluasi_x000a_# =========================_x000a_cm = confusion_matrix(y_clf_test, y_pred_class)_x000a_acc = accuracy_score(y_clf_test, y_pred_class)_x000a_prec = precision_score(y_clf_test, y_pred_class, zero_division=0)_x000a_rec = recall_score(y_clf_test, y_pred_class, zero_division=0)_x000a__x000a_auc = roc_auc_score(y_clf_test, y_pred_proba) if y_clf_test.nunique() &gt; 1 else np.nan_x000a_fpr, tpr, _ = roc_curve(y_clf_test, y"/>
    <d v="2026-04-14T10:53:16"/>
    <x v="3"/>
    <n v="0"/>
    <n v="41"/>
    <n v="1019"/>
    <n v="1060"/>
    <n v="120"/>
    <n v="4067"/>
    <n v="4799"/>
    <n v="3"/>
    <n v="2"/>
    <n v="2"/>
    <s v="Direct request for clarity in response."/>
    <s v="Lacks specificity on the type of answer needed."/>
    <s v="Includes relevant code imports."/>
    <s v="Code is not formatted clearly and lacks context or explanation."/>
    <s v="[MODE:code] Berikan jawaban yang terstruktur dan jelas. Sertakan penjelasan jika perlu."/>
    <s v="Format the code properly and provide comments or explanations for clarity."/>
    <s v="fair"/>
    <b v="0"/>
    <s v="gpt-4o-mini"/>
    <s v="{&quot;prompt_score&quot;: 3, &quot;response_score&quot;: 2, &quot;overall_score&quot;: 2, &quot;prompt_strengths&quot;: &quot;Direct request for clarity in response.&quot;, &quot;prompt_issues&quot;: &quot;Lacks specificity on the type of answer needed.&quot;, &quot;response_strengths&quot;: &quot;Includes relevant code imports.&quot;, &quot;response_issues&quot;: &quot;Code is not formatted clearly and lacks context or explanation.&quot;, &quot;prompt_rewrite&quot;: &quot;[MODE:code] Berikan jawaban yang terstruktur dan jelas. Sertakan penjelasan jika perlu.&quot;, &quot;response_improvement_suggestions&quot;: &quot;Format the code properly and provide comments or explanations for clarity.&quot;, &quot;verdict&quot;: &quot;fair&quot;, &quot;needs_human_review&quot;: false}"/>
    <s v="ok"/>
    <n v="3"/>
  </r>
  <r>
    <x v="61"/>
    <s v="[LANG:Python]_x000a_[MODE:summary_code_explanation]_x000a_KeyError                                  Traceback (most recent call last)_x000a_Cell In[27],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52, in Index._raise_if_missing(self, key, indexer, axis_name)_x000a_   6249     raise KeyError(f&quot;None of [{key}] are in the [{axis_name}]&quot;)_x000a_   6251 not_found = list(ensure_index(key)[missing_mask.nonzero()[0]].unique())_x000a_-&gt; 6252 raise KeyError(f&quot;{not_found} not in index&quot;)_x000a__x000a_KeyError: &quot;['Pregnancies', 'Glucose', 'BloodPressure', 'Insulin', 'DiabetesPedigreeFunction', 'Age'] not in index&quot;_x000a__x000a_ini kenapa"/>
    <s v="done"/>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d v="2026-03-11T15:25:25"/>
    <x v="2"/>
    <n v="0"/>
    <n v="459"/>
    <n v="221"/>
    <n v="680"/>
    <n v="1570"/>
    <n v="727"/>
    <n v="356"/>
    <n v="4"/>
    <n v="4"/>
    <n v="4"/>
    <s v="Clear error message and context provided."/>
    <s v="Could specify the expected format of the dataframe more clearly."/>
    <s v="Correctly identifies the issue and provides a solution."/>
    <s v="Could improve clarity by explaining how to check column names more explicitly."/>
    <s v="[LANG:Python] [MODE:summary_code_explanation] Explain the KeyError related to missing columns in the dataframe and how to resolve it."/>
    <s v="Add a step-by-step guide on checking and correcting column names."/>
    <s v="good"/>
    <b v="0"/>
    <s v="gpt-4o-mini"/>
    <s v="{&quot;prompt_score&quot;: 4, &quot;response_score&quot;: 4, &quot;overall_score&quot;: 4, &quot;prompt_strengths&quot;: &quot;Clear error message and context provided.&quot;, &quot;prompt_issues&quot;: &quot;Could specify the expected format of the dataframe more clearly.&quot;, &quot;response_strengths&quot;: &quot;Correctly identifies the issue and provides a solution.&quot;, &quot;response_issues&quot;: &quot;Could improve clarity by explaining how to check column names more explicitly.&quot;, &quot;prompt_rewrite&quot;: &quot;[LANG:Python] [MODE:summary_code_explanation] Explain the KeyError related to missing columns in the dataframe and how to resolve it.&quot;, &quot;response_improvement_suggestions&quot;: &quot;Add a step-by-step guide on checking and correcting column names.&quot;, &quot;verdict&quot;: &quot;good&quot;, &quot;needs_human_review&quot;: false}"/>
    <s v="ok"/>
    <n v="4"/>
  </r>
  <r>
    <x v="61"/>
    <s v="[LANG:Python]_x000a_[MODE:summary_code_explanation]_x000a_print(&quot;\nRata-rata charges berdasarkan smoker dan children:&quot;)_x000a_print(df.groupby([&quot;smoker&quot;,&quot;children&quot;])[&quot;charges&quot;].mean().unstack(0))_x000a__x000a_bagaimana dari data insight agar rapih di tampilan agar tampilannya dapat dibaca dengan mudah"/>
    <s v="done"/>
    <s v="**SUMMARY:** Supaya output `groupby` lebih rapi dan mudah dibaca, ubah jadi tabel pivot yang dibulatkan, beri nama kolom/index, urutkan `children`, dan (opsional) tampilkan dengan styling (di Jupyter)._x000a__x000a_```python_x000a_# Tabel rapi: smoker (kolom) vs children (baris)_x000a_table = (_x000a_    df.pivot_table(_x000a_        index=&quot;children&quot;,_x000a_        columns=&quot;smoker&quot;,_x000a_        values=&quot;charges&quot;,_x000a_        aggfunc=&quot;mean&quot;_x000a_    )_x000a_    .sort_index()_x000a_    .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    display(table.style.format(&quot;{:,.2f}&quot;).background_gradient(cmap=&quot;Blues&quot;))_x000a_except NameError:_x000a_    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s v="**SUMMARY:** Supaya output `groupby` lebih rapi dan mudah dibaca, ubah jadi tabel pivot yang dibulatkan, beri nama kolom/index, urutkan `children`, dan (opsional) tampilkan dengan styling (di Jupyter)._x000a__x000a_```python_x000a_# Tabel rapi: smoker (kolom) vs children (baris)_x000a_table = (_x000a_    df.pivot_table(_x000a_        index=&quot;children&quot;,_x000a_        columns=&quot;smoker&quot;,_x000a_        values=&quot;charges&quot;,_x000a_        aggfunc=&quot;mean&quot;_x000a_    )_x000a_    .sort_index()_x000a_    .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    display(table.style.format(&quot;{:,.2f}&quot;).background_gradient(cmap=&quot;Blues&quot;))_x000a_except NameError:_x000a_    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d v="2026-03-04T15:39:02"/>
    <x v="6"/>
    <n v="0"/>
    <n v="71"/>
    <n v="324"/>
    <n v="395"/>
    <n v="272"/>
    <n v="1130"/>
    <n v="413"/>
    <n v="4"/>
    <n v="5"/>
    <n v="4"/>
    <s v="Clear request for data presentation improvement."/>
    <s v="Could be more specific about the desired format."/>
    <s v="Provides a clear, correct, and complete solution with explanations."/>
    <s v="None significant; could include more context on data."/>
    <s v="[LANG:Python] [MODE:summary_code_explanation] Print the average charges based on smoker and children. How can I format the output to be more readable and visually appealing?"/>
    <s v="Consider adding a brief explanation of the data structure for better context."/>
    <s v="good"/>
    <b v="0"/>
    <s v="gpt-4o-mini"/>
    <s v="{&quot;prompt_score&quot;: 4, &quot;response_score&quot;: 5, &quot;overall_score&quot;: 4, &quot;prompt_strengths&quot;: &quot;Clear request for data presentation improvement.&quot;, &quot;prompt_issues&quot;: &quot;Could be more specific about the desired format.&quot;, &quot;response_strengths&quot;: &quot;Provides a clear, correct, and complete solution with explanations.&quot;, &quot;response_issues&quot;: &quot;None significant; could include more context on data.&quot;, &quot;prompt_rewrite&quot;: &quot;[LANG:Python] [MODE:summary_code_explanation] Print the average charges based on smoker and children. How can I format the output to be more readable and visually appealing?&quot;, &quot;response_improvement_suggestions&quot;: &quot;Consider adding a brief explanation of the data structure for better context.&quot;, &quot;verdict&quot;: &quot;good&quot;, &quot;needs_human_review&quot;: false}"/>
    <s v="ok"/>
    <n v="4"/>
  </r>
  <r>
    <x v="61"/>
    <s v="[LANG:Python]_x000a_[MODE:summary_code_explanation]_x000a_[ASSESSMENT_ID:1771cf7d-0a65-11f1-b762-3e0936ad7efb]_x000a_[FORCE_GPT:true]_x000a_[AUTO_FALLBACK:true]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Pemeriksaan Nilai Minimum_x000a_Apakah terdapat fitur yang memiliki nilai minimum = 0 yang kemungkinan tidak realistis secara medis (misalnya tekanan darah atau BMI)?_x000a_Sebutkan fitur tersebut dan jelaskan kemungkinan penyebab munculnya nilai tersebut dalam dataset."/>
    <s v="done"/>
    <s v="**SUMMARY**  _x000a_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_x000a__x000a_```python_x000a_# kolom yang min-nya 0_x000a_min0_cols = dataframe.columns[dataframe.min(numeric_only=True) == 0].tolist()_x000a_min0_cols_x000a_```_x000a__x000a_**EXPLANATION**  _x000a_- Dari tabel `describe()`, fitur yang **min = 0**: `Pregnancies, Glucose, BloodPressure, SkinThickness, Insulin, BMI, Outcome`.  _x000a_- Yang **kemungkinan tidak realistis secara medis**:_x000a_  - **Glucose = 0** → kadar gula darah 0 tidak mungkin (untuk pasien hidup)._x000a_  - **BloodPressure = 0** → tekanan darah 0 mmHg tidak mungkin._x000a_  - **SkinThickness = 0** → umumnya berarti tidak ada pengukuran._x000a_  - **Insulin = 0** → umumnya berarti tidak ada pengukuran (dan variasinya sangat besar)._x000a_  - **BMI = 0** → tidak mungkin secara fisiologis._x000a_- Yang **masih wajar**:_x000a_  - **Pregnancies = 0** wajar (tidak pernah hamil)._x000a_  - **Outcome = 0** wajar karena label kelas (0 = tidak diabetes)._x000a_- **Kemungkinan penyebab munculnya 0**: pada dataset ini, nilai yang seharusnya “kosong/tidak diukur” sering **diisi 0** (placeholder) agar dataset tidak punya NaN. Biasanya langkah preprocessing: ubah 0 pada kolom medis tersebut menjadi `NaN`, lalu lakukan imputasi (mis. median)."/>
    <s v="**SUMMARY**  _x000a_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_x000a__x000a_```python_x000a_# kolom yang min-nya 0_x000a_min0_cols = dataframe.columns[dataframe.min(numeric_only=True) == 0].tolist()_x000a_min0_cols_x000a_```_x000a__x000a_**EXPLANATION**  _x000a_- Dari tabel `describe()`, fitur yang **min = 0**: `Pregnancies, Glucose, BloodPressure, SkinThickness, Insulin, BMI, Outcome`.  _x000a_- Yang **kemungkinan tidak realistis secara medis**:_x000a_  - **Glucose = 0** → kadar gula darah 0 tidak mungkin (untuk pasien hidup)._x000a_  - **BloodPressure = 0** → tekanan darah 0 mmHg tidak mungkin._x000a_  - **SkinThickness = 0** → umumnya berarti tidak ada pengukuran._x000a_  - **Insulin = 0** → umumnya berarti tidak ada pengukuran (dan variasinya sangat besar)._x000a_  - **BMI = 0** → tidak mungkin secara fisiologis._x000a_- Yang **masih wajar**:_x000a_  - **Pregnancies = 0** wajar (tidak pernah hamil)._x000a_  - **Outcome = 0** wajar karena label kelas (0 = tidak diabetes)._x000a_- **Kemungkinan penyebab munculnya 0**: pada dataset ini, nilai yang seharusnya “kosong/tidak diukur” sering **diisi 0** (placeholder) agar dataset tidak punya NaN. Biasanya langkah preprocessing: ubah 0 pada kolom medis tersebut menjadi `NaN`, lalu lakukan imputasi (mis. median)."/>
    <d v="2026-03-11T16:21:16"/>
    <x v="2"/>
    <n v="0"/>
    <n v="535"/>
    <n v="469"/>
    <n v="1004"/>
    <n v="1236"/>
    <n v="1488"/>
    <n v="761"/>
    <n v="4"/>
    <n v="5"/>
    <n v="4"/>
    <s v="Clear and specific request for analysis of dataset features."/>
    <s v="Could provide more context on the dataset's purpose."/>
    <s v="Thorough explanation of features with minimum values and their implications."/>
    <s v="Could include more on how to handle the identified issues."/>
    <s v="Analyze the dataset features with minimum values of 0 and discuss their medical realism and potential causes."/>
    <s v="Add suggestions for handling missing values in the dataset."/>
    <s v="good"/>
    <b v="0"/>
    <s v="gpt-4o-mini"/>
    <s v="{&quot;prompt_score&quot;: 4, &quot;response_score&quot;: 5, &quot;overall_score&quot;: 4, &quot;prompt_strengths&quot;: &quot;Clear and specific request for analysis of dataset features.&quot;, &quot;prompt_issues&quot;: &quot;Could provide more context on the dataset's purpose.&quot;, &quot;response_strengths&quot;: &quot;Thorough explanation of features with minimum values and their implications.&quot;, &quot;response_issues&quot;: &quot;Could include more on how to handle the identified issues.&quot;, &quot;prompt_rewrite&quot;: &quot;Analyze the dataset features with minimum values of 0 and discuss their medical realism and potential causes.&quot;, &quot;response_improvement_suggestions&quot;: &quot;Add suggestions for handling missing values in the dataset.&quot;, &quot;verdict&quot;: &quot;good&quot;, &quot;needs_human_review&quot;: false}"/>
    <s v="ok"/>
    <n v="4"/>
  </r>
  <r>
    <x v="61"/>
    <s v="[LANG:Python]_x000a_[MODE:summary_code_explanation]_x000a_nah dari intruksi tersebu coba kerjakn soal soal berikut dengan benar 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    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    corr_to_target = corr[target_col].drop(labels=[target_col]).sort_values(key=lambda s: s.abs(), ascending=False)_x000a_    strongest_feat = corr_to_target.index[0]_x000a_    strongest_val  = corr_to_target.iloc[0]_x000a__x000a_    print(&quot;KORELASI TERHADAP TARGET&quot;)_x000a_    print(&quot;Fitur korelasi terkuat ke target:&quot;, strongest_feat)_x000a_    print(&quot;Nilai korelasi:&quot;, strongest_val, &quot;(positif)&quot; if strongest_val &gt; 0 else &quot;(negatif)&quot;)_x000a_    print()_x000a_else:_x000a_    print(&quot;Target column tidak ditemukan di correlation matrix. Cek nama target_col.&quot;)_x000a_    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    upper.stack()_x000a_    .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    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    corr_to_target = corr[target_col].drop(labels=[target_col]).sort_values(key=lambda s: s.abs(), ascending=False)_x000a_    strongest_feat = corr_to_target.index[0]_x000a_    strongest_val  = corr_to_target.iloc[0]_x000a__x000a_    print(&quot;KORELASI TERHADAP TARGET&quot;)_x000a_    print(&quot;Fitur korelasi terkuat ke target:&quot;, strongest_feat)_x000a_    print(&quot;Nilai korelasi:&quot;, strongest_val, &quot;(positif)&quot; if strongest_val &gt; 0 else &quot;(negatif)&quot;)_x000a_    print()_x000a_else:_x000a_    print(&quot;Target column tidak ditemukan di correlation matrix. Cek nama target_col.&quot;)_x000a_    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    upper.stack()_x000a_    .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d v="2026-03-11T16:00:42"/>
    <x v="2"/>
    <n v="0"/>
    <n v="385"/>
    <n v="1026"/>
    <n v="1411"/>
    <n v="1424"/>
    <n v="3574"/>
    <n v="2842"/>
    <n v="4"/>
    <n v="5"/>
    <n v="5"/>
    <s v="Clear and detailed instructions for EDA tasks."/>
    <s v="Could be more concise."/>
    <s v="Thorough explanation with relevant code snippets."/>
    <s v="None identified."/>
    <s v="Berdasarkan EDA yang dilakukan, jawab pertanyaan berikut: 1. Berapa jumlah observasi dan fitur pada dataset? 2. Sebutkan fitur target. 3. Fitur dengan mean tertinggi dan std terbesar? 4. Fitur dengan nilai minimum = 0? 5. Fitur dengan korelasi terkuat ke variabel class? 6. Pasangan fitur dengan korelasi tinggi?"/>
    <s v="None needed; response is comprehensive."/>
    <s v="excellent"/>
    <b v="0"/>
    <s v="gpt-4o-mini"/>
    <s v="{&quot;prompt_score&quot;: 4, &quot;response_score&quot;: 5, &quot;overall_score&quot;: 5, &quot;prompt_strengths&quot;: &quot;Clear and detailed instructions for EDA tasks.&quot;, &quot;prompt_issues&quot;: &quot;Could be more concise.&quot;, &quot;response_strengths&quot;: &quot;Thorough explanation with relevant code snippets.&quot;, &quot;response_issues&quot;: &quot;None identified.&quot;, &quot;prompt_rewrite&quot;: &quot;Berdasarkan EDA yang dilakukan, jawab pertanyaan berikut: 1. Berapa jumlah observasi dan fitur pada dataset? 2. Sebutkan fitur target. 3. Fitur dengan mean tertinggi dan std terbesar? 4. Fitur dengan nilai minimum = 0? 5. Fitur dengan korelasi terkuat ke variabel class? 6. Pasangan fitur dengan korelasi tinggi?&quot;, &quot;response_improvement_suggestions&quot;: &quot;None needed; response is comprehensive.&quot;, &quot;verdict&quot;: &quot;excellent&quot;, &quot;needs_human_review&quot;: false}"/>
    <s v="ok"/>
    <n v="5"/>
  </r>
  <r>
    <x v="61"/>
    <s v="[LANG:Python]_x000a_[MODE:summary_code_explanation]_x000a_Buatlah model yang merupakan model LogisticRegression dengan parameter solver adalah liblinear._x000a__x000a__x000a_coba kerjakan"/>
    <s v="done"/>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d v="2026-03-11T15:49:17"/>
    <x v="2"/>
    <n v="0"/>
    <n v="34"/>
    <n v="86"/>
    <n v="120"/>
    <n v="157"/>
    <n v="350"/>
    <n v="4287"/>
    <n v="4"/>
    <n v="5"/>
    <n v="5"/>
    <s v="Clear and specific about the task."/>
    <s v="Could provide more context on the dataset or use case."/>
    <s v="Accurate, complete, and clearly explains the code."/>
    <s v="None."/>
    <s v="Buatlah model LogisticRegression dengan parameter solver adalah 'liblinear' untuk dataset kecil/menengah."/>
    <s v="Consider adding an example of fitting the model to data."/>
    <s v="excellent"/>
    <b v="0"/>
    <s v="gpt-4o-mini"/>
    <s v="{&quot;prompt_score&quot;: 4, &quot;response_score&quot;: 5, &quot;overall_score&quot;: 5, &quot;prompt_strengths&quot;: &quot;Clear and specific about the task.&quot;, &quot;prompt_issues&quot;: &quot;Could provide more context on the dataset or use case.&quot;, &quot;response_strengths&quot;: &quot;Accurate, complete, and clearly explains the code.&quot;, &quot;response_issues&quot;: &quot;None.&quot;, &quot;prompt_rewrite&quot;: &quot;Buatlah model LogisticRegression dengan parameter solver adalah 'liblinear' untuk dataset kecil/menengah.&quot;, &quot;response_improvement_suggestions&quot;: &quot;Consider adding an example of fitting the model to data.&quot;, &quot;verdict&quot;: &quot;excellent&quot;, &quot;needs_human_review&quot;: false}"/>
    <s v="ok"/>
    <n v="5"/>
  </r>
  <r>
    <x v="61"/>
    <s v="[LANG:Python]_x000a_[MODE:summary_code_explanation]_x000a_Simpan semua baris dari kolom ke-7 ke dalam variabel y._x000a_nah sekarang variabel y nya coba kerjakan solusinya"/>
    <s v="done"/>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d v="2026-03-11T15:36:04"/>
    <x v="2"/>
    <n v="0"/>
    <n v="46"/>
    <n v="140"/>
    <n v="186"/>
    <n v="153"/>
    <n v="398"/>
    <n v="4756"/>
    <n v="3"/>
    <n v="4"/>
    <n v="3"/>
    <s v="Direct and task-oriented."/>
    <s v="Lacks clarity on the dataset context and specific instructions."/>
    <s v="Correctly explains the code and provides context."/>
    <s v="Could clarify the distinction between column indices more explicitly."/>
    <s v="[LANG:Python] [MODE:summary_code_explanation] Simpan semua baris dari kolom ke-7 (atau ke-8 jika menggunakan dataset Pima) ke dalam variabel y. Berikan solusi dan penjelasan."/>
    <s v="Clarify the index distinction and provide a more detailed explanation of the code's purpose."/>
    <s v="good"/>
    <b v="0"/>
    <s v="gpt-4o-mini"/>
    <s v="{&quot;prompt_score&quot;: 3, &quot;response_score&quot;: 4, &quot;overall_score&quot;: 3, &quot;prompt_strengths&quot;: &quot;Direct and task-oriented.&quot;, &quot;prompt_issues&quot;: &quot;Lacks clarity on the dataset context and specific instructions.&quot;, &quot;response_strengths&quot;: &quot;Correctly explains the code and provides context.&quot;, &quot;response_issues&quot;: &quot;Could clarify the distinction between column indices more explicitly.&quot;, &quot;prompt_rewrite&quot;: &quot;[LANG:Python] [MODE:summary_code_explanation] Simpan semua baris dari kolom ke-7 (atau ke-8 jika menggunakan dataset Pima) ke dalam variabel y. Berikan solusi dan penjelasan.&quot;, &quot;response_improvement_suggestions&quot;: &quot;Clarify the index distinction and provide a more detailed explanation of the code's purpose.&quot;, &quot;verdict&quot;: &quot;good&quot;, &quot;needs_human_review&quot;: false}"/>
    <s v="ok"/>
    <n v="4"/>
  </r>
  <r>
    <x v="62"/>
    <s v="[MODE:code]_x000a_Cannot have number of splits n_splits=10 greater than the number of samples: n_samples=7._x000a__x000a_402 n_samples = _num_samples(X)_x000a_    403 if self.n_splits &gt; n_samples:_x000a_--&gt; 404     raise ValueError(_x000a_    405         (_x000a_    406             &quot;Cannot have number of splits n_splits={0} greater&quot;_x000a_    407             &quot; than the number of samples: n_samples={1}.&quot;_x000a_    408         ).format(self.n_splits, n_samples)_x000a_    409     )_x000a_    411 for train, test in super().split(X, y, groups):_x000a_    412     yield train, test_x000a__x000a_ValueError: Cannot have number of splits n_splits=10 greater than the number of samples: n_samples=7."/>
    <s v="done"/>
    <s v="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
    <s v="```python_x000a_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_x000a_```"/>
    <d v="2026-03-11T16:27:39"/>
    <x v="2"/>
    <n v="0"/>
    <n v="160"/>
    <n v="102"/>
    <n v="262"/>
    <n v="612"/>
    <n v="380"/>
    <n v="1064"/>
    <n v="3"/>
    <n v="4"/>
    <n v="4"/>
    <s v="Identifies a specific error related to data splitting."/>
    <s v="Lacks clarity on the context and what the user should do next."/>
    <s v="Provides a relevant code solution that addresses the error."/>
    <s v="Could include more explanation of the changes made."/>
    <s v="Explain the error encountered when using KFold with insufficient samples and ask for a solution."/>
    <s v="Add comments to the code to explain each step and why it resolves the issue."/>
    <s v="good"/>
    <b v="0"/>
    <s v="gpt-4o-mini"/>
    <s v="{&quot;prompt_score&quot;: 3, &quot;response_score&quot;: 4, &quot;overall_score&quot;: 4, &quot;prompt_strengths&quot;: &quot;Identifies a specific error related to data splitting.&quot;, &quot;prompt_issues&quot;: &quot;Lacks clarity on the context and what the user should do next.&quot;, &quot;response_strengths&quot;: &quot;Provides a relevant code solution that addresses the error.&quot;, &quot;response_issues&quot;: &quot;Could include more explanation of the changes made.&quot;, &quot;prompt_rewrite&quot;: &quot;Explain the error encountered when using KFold with insufficient samples and ask for a solution.&quot;, &quot;response_improvement_suggestions&quot;: &quot;Add comments to the code to explain each step and why it resolves the issue.&quot;, &quot;verdict&quot;: &quot;good&quot;, &quot;needs_human_review&quot;: false}"/>
    <s v="ok"/>
    <n v="4"/>
  </r>
  <r>
    <x v="62"/>
    <s v="[LANG:Python]_x000a_[MODE:code]_x000a_Kita latih grid_search tersebut pada 6000 data pertama._x000a__x000a_setelah itu dimanta code tentang ini apa codenya"/>
    <s v="done"/>
    <s v="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
    <s v="```python_x000a_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
    <d v="2026-02-25T16:37:58"/>
    <x v="1"/>
    <n v="0"/>
    <n v="37"/>
    <n v="137"/>
    <n v="174"/>
    <n v="131"/>
    <n v="495"/>
    <n v="1228"/>
    <n v="3"/>
    <n v="4"/>
    <n v="3"/>
    <s v="The prompt specifies the task and context clearly."/>
    <s v="Lacks specificity in terms of what 'code' refers to and the exact nature of the task."/>
    <s v="The response provides a relevant and correct code snippet for the task."/>
    <s v="Could include more explanation or comments for clarity."/>
    <s v="[LANG:Python] [MODE:code] Latih grid_search pada 6000 data pertama dan jelaskan setiap langkah dalam kode."/>
    <s v="Add comments to explain each part of the code for better understanding."/>
    <s v="good"/>
    <b v="0"/>
    <s v="gpt-4o-mini"/>
    <s v="{&quot;prompt_score&quot;: 3, &quot;response_score&quot;: 4, &quot;overall_score&quot;: 3, &quot;prompt_strengths&quot;: &quot;The prompt specifies the task and context clearly.&quot;, &quot;prompt_issues&quot;: &quot;Lacks specificity in terms of what 'code' refers to and the exact nature of the task.&quot;, &quot;response_strengths&quot;: &quot;The response provides a relevant and correct code snippet for the task.&quot;, &quot;response_issues&quot;: &quot;Could include more explanation or comments for clarity.&quot;, &quot;prompt_rewrite&quot;: &quot;[LANG:Python] [MODE:code] Latih grid_search pada 6000 data pertama dan jelaskan setiap langkah dalam kode.&quot;, &quot;response_improvement_suggestions&quot;: &quot;Add comments to explain each part of the code for better understanding.&quot;, &quot;verdict&quot;: &quot;good&quot;, &quot;needs_human_review&quot;: false}"/>
    <s v="ok"/>
    <n v="4"/>
  </r>
  <r>
    <x v="62"/>
    <s v="[MODE:code]_x000a_grid_search belum di-fit() atau bukan objek GridSearchCV. gimana agar_x000a__x000a_si grid_search bisa di progres"/>
    <s v="done"/>
    <s v="#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
    <s v="```python_x000a_#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_x000a_```"/>
    <d v="2026-03-04T15:32:52"/>
    <x v="6"/>
    <n v="0"/>
    <n v="31"/>
    <n v="73"/>
    <n v="104"/>
    <n v="113"/>
    <n v="285"/>
    <n v="1764"/>
    <n v="3"/>
    <n v="4"/>
    <n v="3"/>
    <s v="The prompt is specific about the issue with grid_search."/>
    <s v="Lacks clarity and context for users unfamiliar with the code."/>
    <s v="The response provides a clear solution and relevant code."/>
    <s v="Could include more context or explanation for clarity."/>
    <s v="Bagaimana cara memproses objek grid_search yang belum di-fit() dalam GridSearchCV?"/>
    <s v="Add a brief explanation of what the code does for better understanding."/>
    <s v="good"/>
    <b v="0"/>
    <s v="gpt-4o-mini"/>
    <s v="{&quot;prompt_score&quot;: 3, &quot;response_score&quot;: 4, &quot;overall_score&quot;: 3, &quot;prompt_strengths&quot;: &quot;The prompt is specific about the issue with grid_search.&quot;, &quot;prompt_issues&quot;: &quot;Lacks clarity and context for users unfamiliar with the code.&quot;, &quot;response_strengths&quot;: &quot;The response provides a clear solution and relevant code.&quot;, &quot;response_issues&quot;: &quot;Could include more context or explanation for clarity.&quot;, &quot;prompt_rewrite&quot;: &quot;Bagaimana cara memproses objek grid_search yang belum di-fit() dalam GridSearchCV?&quot;, &quot;response_improvement_suggestions&quot;: &quot;Add a brief explanation of what the code does for better understanding.&quot;, &quot;verdict&quot;: &quot;good&quot;, &quot;needs_human_review&quot;: false}"/>
    <s v="ok"/>
    <n v="4"/>
  </r>
  <r>
    <x v="62"/>
    <s v="[MODE:code]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_x000a__x000a__x000a_dari data 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_x000a__x000a_# =========================_x000a_# Load data_x000a_# =========================_x000a_df = pd.read_csv(&quot;student_exam_performance_dataset (1).csv&quot;)_x000a__x000a_# =========================_x000a_# Target &amp; features (hindari leakage)_x000a_# - Jangan pakai pass_fail / grade_category (turunan dari nilai)_x000a_# - Jangan pakai final_exam_score sebagai fitur (target)_x000a_# =========================_x000a_target_col = &quot;final_exam_score&quot;_x000a_leak_cols = [&quot;pass_fail&quot;, &quot;grade_category&quot;]_x000a_drop_cols = [&quot;student_id&quot;]  # ID tidak informatif untuk regresi_x000a__x000a_X = df.drop(columns=[target_col] + [c for c in leak_cols if c in df.columns] + [c for c in drop_cols if c in df.columns])_x000a_y = df[target_col].astype(float)_x000a__x000a_# =========================_x000a_# Train-test split 80:20_x000a_# =========================_x000a_X_train, X_test, y_train, y_test = train_test_split(_x000a_    X, y, test_size=0.2, random_state=42_x000a_)_x000a__x000a_# =========================_x000a_# Preprocessing pipeline_x000a_# =========================_x000a_num_features = X_train.select_dtypes(include=[&quot;number&quot;]).columns.tolist()_x000a_cat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 =========================_x000a_# Models_x000a_# =========================_x000a_models = {_x000a_    &quot;LinearRegression&quot;: LinearRegression(),_x000a_    &quot;Ridge(alpha=1.0)&quot;: Ridge(alpha=1.0, random_state=42),_x000a_}_x000a__x000a_# =========================_x000a_# Train, evaluate, pick best_x000a_# =========================_x000a_results = {}_x000a_pipelines = {}_x000a__x000a_for name, model in models.items():_x000a_    pipe = Pipeline(steps=[_x000a_        (&quot;preprocess&quot;, preprocess),_x000a_        (&quot;model&quot;, model),_x000a_    ])_x000a_    pipe.fit(X_train, y_train)_x000a__x000a_    y_pred_train = pipe.predict(X_train)_x000a_    y_pred_test = pipe.predict(X_test)_x000a__x000a_    rmse_train = np.sqrt(mean_squared_error(y_train, y_pred_train))_x000a_    mae_train = mean_absolute_error(y_train, y_pred_train)_x000a_    r2_train = r2_score(y_train, y_pred_train)_x000a__x000a_    rmse_test = np.sqrt(mean_squared_error(y_test, y_pred_test))_x000a_    mae_test = mean_absolute_error(y_test, y_pred_test)_x000a_    r2_test = r2_score(y_test, y_pred_test)_x000a__x000a_    results[name] = {_x000a_        &quot;rmse_train&quot;: rmse_train, &quot;mae_train&quot;: mae_train, &quot;r2_train&quot;: r2_train,_x000a_        &quot;rmse_test&quot;: rmse_test, &quot;mae_test&quot;: mae_test, &quot;r2_test&quot;: r2_test,_x000a_    }_x000a_    pipelines[name] = pipe_x000a__x000a_# Print evaluation_x000a_print(&quot;=== Regression Evaluation ===&quot;)_x000a_for name, m in results.items():_x000a_    print(_x000a_        f&quot;{name:18s} | &quot;_x000a_        f&quot;RMSE(train)={m['rmse_train']:.4f} MAE(train)={m['mae_train']:.4f} R2(train)={m['r2_train']:.4f} || &quot;_x000a_        f&quot;RMSE(test)={m['rmse_test']:.4f} MAE(test)={m['mae_test']:.4f} R2(test)={m['r2_test']:.4f}&quot;_x000a_    )_x000a__x000a_# Choose best model by lowest RMSE on test (tie-breaker: higher R2)_x000a_best_name = sorted(_x000a_    results.keys(),_x000a_    key=lambda k: (results[k][&quot;rmse_test&quot;], -results[k][&quot;r2_test&quot;])_x000a_)[0]_x000a_best_model = pipelines[best_name]_x000a__x000a_print(&quot;\nBest regression model:&quot;, best_name)_x000a__x000a_# =========================_x000a_# Save predictions for later classification stage_x000a_# =========================_x000a_y_pred_train_best = best_model.predict(X_train)_x000a_y_pred_test_best = best_model.predict(X_test)_x000a__x000a_# Optional: store into DataFrames aligned with indices_x000a_train_pred_df = pd.DataFrame(_x000a_    {&quot;y_true&quot;: y_train, &quot;y_pred&quot;: y_pred_train_best},_x000a_    index=y_train.index_x000a_)_x000a_test_pred_df = pd.DataFrame(_x000a_    {&quot;y_true"/>
    <d v="2026-04-15T14:25:27"/>
    <x v="3"/>
    <n v="0"/>
    <n v="294"/>
    <n v="1009"/>
    <n v="1303"/>
    <n v="874"/>
    <n v="4065"/>
    <n v="2820"/>
    <n v="4"/>
    <n v="3"/>
    <n v="3"/>
    <s v="Clear instructions and specific requirements."/>
    <s v="Could provide more context on the dataset and expected output format."/>
    <s v="Includes necessary imports for model building."/>
    <s v="Lacks implementation details for model training and evaluation metrics."/>
    <s v="Bangun model regresi untuk memprediksi `final_exam_score` menggunakan `LinearRegression` dan `Ridge` dengan `alpha=1.0`. Gunakan pipeline untuk fitur numerik dan kategorikal. Evaluasi model dengan RMSE, MAE, dan R2. Sertakan konteks dataset dan format output yang diharapkan."/>
    <s v="Add code for data preprocessing, model fitting, evaluation, and saving predictions."/>
    <s v="fair"/>
    <b v="0"/>
    <s v="gpt-4o-mini"/>
    <s v="{&quot;prompt_score&quot;: 4, &quot;response_score&quot;: 3, &quot;overall_score&quot;: 3, &quot;prompt_strengths&quot;: &quot;Clear instructions and specific requirements.&quot;, &quot;prompt_issues&quot;: &quot;Could provide more context on the dataset and expected output format.&quot;, &quot;response_strengths&quot;: &quot;Includes necessary imports for model building.&quot;, &quot;response_issues&quot;: &quot;Lacks implementation details for model training and evaluation metrics.&quot;, &quot;prompt_rewrite&quot;: &quot;Bangun model regresi untuk memprediksi `final_exam_score` menggunakan `LinearRegression` dan `Ridge` dengan `alpha=1.0`. Gunakan pipeline untuk fitur numerik dan kategorikal. Evaluasi model dengan RMSE, MAE, dan R2. Sertakan konteks dataset dan format output yang diharapkan.&quot;, &quot;response_improvement_suggestions&quot;: &quot;Add code for data preprocessing, model fitting, evaluation, and saving predictions.&quot;, &quot;verdict&quot;: &quot;fair&quot;, &quot;needs_human_review&quot;: false}"/>
    <s v="ok"/>
    <n v="3"/>
  </r>
  <r>
    <x v="62"/>
    <s v="[LANG:Python]_x000a_[MODE:code]_x000a_Dataset ini tidak punya kolom 'median_house_value'._x000a_Kolom yang ada: ['longitude', 'latitude', 'housing_median_age', 'total_rooms', 'total_bedrooms', 'population', 'households', 'median_income', 'ocean_proximity']_x000a_Mari kita buat pipeline untuk memproses kolom yang bertipe categorical._x000a__x000a_# DO NOT CHANGE THE CODE_x000a_cat_pipeline = make_pipeline(_x000a_    SimpleImputer(strategy=&quot;most_frequent&quot;),_x000a_    OneHotEncoder(handle_unknown=&quot;ignore&quot;))_x000a_---------------------------------------------------------------------------_x000a_NameError                                 Traceback (most recent call last)_x000a_Cell In[22], line 2_x000a_      1 # DO NOT CHANGE THE CODE_x000a_----&gt; 2 cat_pipeline = make_pipeline(_x000a_      3     SimpleImputer(strategy=&quot;most_frequent&quot;),_x000a_      4     OneHotEncoder(handle_unknown=&quot;ignore&quot;))_x000a__x000a_NameError: name 'make_pipeline' is not defined"/>
    <s v="done"/>
    <s v="from sklearn.pipeline import make_pipeline_x000a_from sklearn.impute import SimpleImputer_x000a_from sklearn.preprocessing import OneHotEncoder_x000a__x000a_# DO NOT CHANGE THE CODE_x000a_cat_pipeline = make_pipeline(_x000a_    SimpleImputer(strategy=&quot;most_frequent&quot;),_x000a_    OneHotEncoder(handle_unknown=&quot;ignore&quot;)_x000a_)"/>
    <s v="```python_x000a_from sklearn.pipeline import make_pipeline_x000a_from sklearn.impute import SimpleImputer_x000a_from sklearn.preprocessing import OneHotEncoder_x000a__x000a_# DO NOT CHANGE THE CODE_x000a_cat_pipeline = make_pipeline(_x000a_    SimpleImputer(strategy=&quot;most_frequent&quot;),_x000a_    OneHotEncoder(handle_unknown=&quot;ignore&quot;)_x000a_)_x000a_```"/>
    <d v="2026-02-25T16:17:52"/>
    <x v="1"/>
    <n v="0"/>
    <n v="191"/>
    <n v="61"/>
    <n v="252"/>
    <n v="851"/>
    <n v="291"/>
    <n v="3005"/>
    <n v="4"/>
    <n v="5"/>
    <n v="4"/>
    <s v="Clear and specific about the task and context."/>
    <s v="Could provide more context on the dataset's purpose."/>
    <s v="Correctly imports necessary libraries and implements the pipeline as requested."/>
    <s v="None; the response is complete and clear."/>
    <s v="Buat pipeline untuk memproses kolom bertipe categorical dalam dataset yang tidak memiliki kolom 'median_house_value'. Kolom yang ada: ['longitude', 'latitude', 'housing_median_age', 'total_rooms', 'total_bedrooms', 'population', 'households', 'median_income', 'ocean_proximity']. Pastikan untuk tidak mengubah kode yang diberikan."/>
    <s v="None; the response is already optimal."/>
    <s v="excellent"/>
    <b v="0"/>
    <s v="gpt-4o-mini"/>
    <s v="{&quot;prompt_score&quot;: 4, &quot;response_score&quot;: 5, &quot;overall_score&quot;: 4, &quot;prompt_strengths&quot;: &quot;Clear and specific about the task and context.&quot;, &quot;prompt_issues&quot;: &quot;Could provide more context on the dataset's purpose.&quot;, &quot;response_strengths&quot;: &quot;Correctly imports necessary libraries and implements the pipeline as requested.&quot;, &quot;response_issues&quot;: &quot;None; the response is complete and clear.&quot;, &quot;prompt_rewrite&quot;: &quot;Buat pipeline untuk memproses kolom bertipe categorical dalam dataset yang tidak memiliki kolom 'median_house_value'. Kolom yang ada: ['longitude', 'latitude', 'housing_median_age', 'total_rooms', 'total_bedrooms', 'population', 'households', 'median_income', 'ocean_proximity']. Pastikan untuk tidak mengubah kode yang diberikan.&quot;, &quot;response_improvement_suggestions&quot;: &quot;None; the response is already optimal.&quot;, &quot;verdict&quot;: &quot;excellent&quot;, &quot;needs_human_review&quot;: false}"/>
    <s v="ok"/>
    <n v="5"/>
  </r>
  <r>
    <x v="62"/>
    <s v="[LANG:Python]_x000a_[MODE:code]_x000a_Kita buat juga 2 pipeline untuk `log` transformation dan memproses kolom numerik by default dan `cluster_simil` untuk memproses _latitude_ dan _longitude_._x000a__x000a_---------------------------------------------------------------------------_x000a_NameError                                 Traceback (most recent call last)_x000a_Cell In[29], line 4_x000a_      1 # DO NOT CHANGE THE CODE_x000a_      2 log_pipeline = make_pipeline(_x000a_      3     SimpleImputer(strategy=&quot;median&quot;),_x000a_----&gt; 4     FunctionTransformer(np.log, feature_names_out=&quot;one-to-one&quot;),_x000a_      5     StandardScaler())_x000a_      7 cluster_simil = ClusterSimilarity(n_clusters=10, gamma=1., random_state=42)_x000a_      9 default_num_pipeline = make_pipeline(SimpleImputer(strategy=&quot;median&quot;),_x000a_     10                                      StandardScaler())_x000a__x000a_NameError: name 'FunctionTransformer' is not defined_x000a_Terakhir, kita gabung semua pipeline dalam satu kelas ColumnTransformer yang dinamakan preprocessing."/>
    <s v="done"/>
    <s v="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 --- END DO NOT CHANGE ---_x000a__x000a_def ratio_pipeline():_x000a_    return make_pipeline(_x000a_        SimpleImputer(strategy=&quot;median&quot;),_x000a_        FunctionTransformer(lambda X: X[:, [0]] / np.maximum(X[:, [1]], 1e-9),_x000a_                            feature_names_out=&quot;one-to-one&quot;),_x000a_        StandardScaler()_x000a_    )_x000a__x000a_# DO NOT CHANGE THE CODE_x000a_log_pipeline = make_pipeline(_x000a_    SimpleImputer(strategy=&quot;median&quot;),_x000a_    FunctionTransformer(np.log, feature_names_out=&quot;one-to-one&quot;),_x000a_    StandardScaler())_x000a__x000a_# DO NOT CHANGE THE CODE_x000a_cluster_simil = ClusterSimilarity(n_clusters=10, gamma=1., random_state=42)_x000a__x000a_# DO NOT CHANGE THE CODE_x000a_default_num_pipeline = make_pipeline(SimpleImputer(strategy=&quot;median&quot;),_x000a_                                     StandardScaler())_x000a__x000a_# DO NOT CHANGE THE CODE_x000a_cat_pipeline = make_pipeline(_x000a_    SimpleImputer(strategy=&quot;most_frequent&quot;),_x000a_    OneHotEncoder(handle_unknown=&quot;ignore&quot;))_x000a__x000a_# Gabungkan semua pipeline dalam ColumnTransformer bernama `preprocessing`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Opsional) pipeline model_x000a_svr_pipeline = Pipeline([_x000a_    (&quot;preprocessing&quot;, preprocessing),_x000a_    (&quot;svr&quot;, SVR())_x000a_])"/>
    <s v="```python_x000a_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 --- END DO NOT CHANGE ---_x000a__x000a_def ratio_pipeline():_x000a_    return make_pipeline(_x000a_        SimpleImputer(strategy=&quot;median&quot;),_x000a_        FunctionTransformer(lambda X: X[:, [0]] / np.maximum(X[:, [1]], 1e-9),_x000a_                            feature_names_out=&quot;one-to-one&quot;),_x000a_        StandardScaler()_x000a_    )_x000a__x000a_# DO NOT CHANGE THE CODE_x000a_log_pipeline = make_pipeline(_x000a_    SimpleImputer(strategy=&quot;median&quot;),_x000a_    FunctionTransformer(np.log, feature_names_out=&quot;one-to-one&quot;),_x000a_    StandardScaler())_x000a__x000a_# DO NOT CHANGE THE CODE_x000a_cluster_simil = ClusterSimilarity(n_clusters=10, gamma=1., random_state=42)_x000a__x000a_# DO NOT CHANGE THE CODE_x000a_default_num_pipeline = make_pipeline(SimpleImputer(strategy=&quot;median&quot;),_x000a_                                     StandardScaler())_x000a__x000a_# DO NOT CHANGE THE CODE_x000a_cat_pipeline = make_pipeline(_x000a_    SimpleImputer(strategy=&quot;most_frequent&quot;),_x000a_    OneHotEncoder(handle_unknown=&quot;ignore&quot;))_x000a__x000a_# Gabungkan semua pipeline dalam ColumnTransformer bernama `preprocessing`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Opsional) pipeline model_x000a_svr_pipeline = Pipeline([_x000a_    (&quot;preprocessing&quot;, preprocessing),_x000a_    (&quot;svr&quot;, SVR())_x000a_])_x000a_```"/>
    <d v="2026-02-25T16:28:01"/>
    <x v="1"/>
    <n v="0"/>
    <n v="208"/>
    <n v="633"/>
    <n v="841"/>
    <n v="956"/>
    <n v="2894"/>
    <n v="3439"/>
    <n v="3"/>
    <n v="4"/>
    <n v="3"/>
    <s v="The prompt specifies the need for multiple pipelines and mentions specific transformations."/>
    <s v="Lacks clarity in structure and could be more concise."/>
    <s v="The response provides a comprehensive implementation of the requested pipelines and includes necessary imports."/>
    <s v="Could improve clarity by adding comments or explanations for complex parts."/>
    <s v="Buat dua pipeline: satu untuk `log` transformation dan satu untuk memproses kolom numerik. Juga, buat `cluster_simil` untuk kolom _latitude_ dan _longitude_. Gabungkan semua pipeline dalam kelas ColumnTransformer bernama `preprocessing`."/>
    <s v="Add comments to explain the purpose of each pipeline and transformation for better clarity."/>
    <s v="good"/>
    <b v="0"/>
    <s v="gpt-4o-mini"/>
    <s v="{&quot;prompt_score&quot;: 3, &quot;response_score&quot;: 4, &quot;overall_score&quot;: 3, &quot;prompt_strengths&quot;: &quot;The prompt specifies the need for multiple pipelines and mentions specific transformations.&quot;, &quot;prompt_issues&quot;: &quot;Lacks clarity in structure and could be more concise.&quot;, &quot;response_strengths&quot;: &quot;The response provides a comprehensive implementation of the requested pipelines and includes necessary imports.&quot;, &quot;response_issues&quot;: &quot;Could improve clarity by adding comments or explanations for complex parts.&quot;, &quot;prompt_rewrite&quot;: &quot;Buat dua pipeline: satu untuk `log` transformation dan satu untuk memproses kolom numerik. Juga, buat `cluster_simil` untuk kolom _latitude_ dan _longitude_. Gabungkan semua pipeline dalam kelas ColumnTransformer bernama `preprocessing`.&quot;, &quot;response_improvement_suggestions&quot;: &quot;Add comments to explain the purpose of each pipeline and transformation for better clarity.&quot;, &quot;verdict&quot;: &quot;good&quot;, &quot;needs_human_review&quot;: false}"/>
    <s v="ok"/>
    <n v="4"/>
  </r>
  <r>
    <x v="62"/>
    <s v="[MODE:summary_code_explanation]_x000a_sudah menyertakan csv dataframe namun model_student pada 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ga ditemukan dan eror"/>
    <s v="done"/>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    (&quot;imputer&quot;, SimpleImputer(strategy=&quot;median&quot;)),_x000a_    (&quot;scaler&quot;, StandardScaler()),_x000a_    (&quot;clf&quot;, LogisticRegression(max_iter=2000, class_weight=&quot;balanced&quot;, random_state=SEED))_x000a_])_x000a_model_A.fit(X_train_A, y_train_cls)_x000a__x000a_model_B = Pipeline(steps=[_x000a_    (&quot;imputer&quot;, SimpleImputer(strategy=&quot;median&quot;)),_x000a_    (&quot;scaler&quot;, StandardScaler()),_x000a_    (&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    model_best = model_B_x000a_    X_test_best = X_test_B_x000a_    print(f&quot;Model terbaik: Skenario B (F1={f1_B:.4f})&quot;)_x000a_else:_x000a_    model_best = model_A_x000a_    X_test_best = X_test_A_x000a_    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    ranking[ID_COL] = df.loc[ranking.index, ID_COL].values_x000a_else:_x000a_    ranking[ID_COL] = ranking.index_x000a__x000a_top10_risk = (ranking[[ID_COL, &quot;risk_proba&quot;]]_x000a_              .sort_values(&quot;risk_proba&quot;, ascending=False)_x000a_              .head(10)_x000a_              .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 Jika `model_best` = skenario A, maka inputnya harus `X_test_A` (hanya 1 kolom predicted score).  _x000a_  -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    (&quot;imputer&quot;, SimpleImputer(strategy=&quot;median&quot;)),_x000a_    (&quot;scaler&quot;, StandardScaler()),_x000a_    (&quot;clf&quot;, LogisticRegression(max_iter=2000, class_weight=&quot;balanced&quot;, random_state=SEED))_x000a_])_x000a_model_A.fit(X_train_A, y_train_cls)_x000a__x000a_model_B = Pipeline(steps=[_x000a_    (&quot;imputer&quot;, SimpleImputer(strategy=&quot;median&quot;)),_x000a_    (&quot;scaler&quot;, StandardScaler()),_x000a_    (&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    model_best = model_B_x000a_    X_test_best = X_test_B_x000a_    print(f&quot;Model terbaik: Skenario B (F1={f1_B:.4f})&quot;)_x000a_else:_x000a_    model_best = model_A_x000a_    X_test_best = X_test_A_x000a_    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    ranking[ID_COL] = df.loc[ranking.index, ID_COL].values_x000a_else:_x000a_    ranking[ID_COL] = ranking.index_x000a__x000a_top10_risk = (ranking[[ID_COL, &quot;risk_proba&quot;]]_x000a_              .sort_values(&quot;risk_proba&quot;, ascending=False)_x000a_              .head(10)_x000a_              .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 Jika `model_best` = skenario A, maka inputnya harus `X_test_A` (hanya 1 kolom predicted score).  _x000a_  -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d v="2026-04-15T15:01:08"/>
    <x v="3"/>
    <n v="0"/>
    <n v="353"/>
    <n v="947"/>
    <n v="1300"/>
    <n v="1240"/>
    <n v="3309"/>
    <n v="4817"/>
    <n v="4"/>
    <n v="5"/>
    <n v="5"/>
    <s v="Clear and detailed instructions for a coding task."/>
    <s v="Could benefit from more explicit context about the expected output."/>
    <s v="Thorough explanation with relevant code examples and clear error resolution."/>
    <s v="None significant; all aspects addressed well."/>
    <s v="Provide a detailed coding task for predicting student risk using a trained model, ensuring clarity on input data requirements."/>
    <s v="Consider summarizing key points for quicker understanding."/>
    <s v="excellent"/>
    <b v="0"/>
    <s v="gpt-4o-mini"/>
    <s v="{&quot;prompt_score&quot;: 4, &quot;response_score&quot;: 5, &quot;overall_score&quot;: 5, &quot;prompt_strengths&quot;: &quot;Clear and detailed instructions for a coding task.&quot;, &quot;prompt_issues&quot;: &quot;Could benefit from more explicit context about the expected output.&quot;, &quot;response_strengths&quot;: &quot;Thorough explanation with relevant code examples and clear error resolution.&quot;, &quot;response_issues&quot;: &quot;None significant; all aspects addressed well.&quot;, &quot;prompt_rewrite&quot;: &quot;Provide a detailed coding task for predicting student risk using a trained model, ensuring clarity on input data requirements.&quot;, &quot;response_improvement_suggestions&quot;: &quot;Consider summarizing key points for quicker understanding.&quot;, &quot;verdict&quot;: &quot;excellent&quot;, &quot;needs_human_review&quot;: false}"/>
    <s v="ok"/>
    <n v="5"/>
  </r>
  <r>
    <x v="62"/>
    <s v="[MODE:summary_code_explanation]_x000a_Gunakan method `read_csv` dengan parameter: `filename` dan `names` adalah `names`. Simpan hasil `read_csv` dalam variabel `dataframe`."/>
    <s v="don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d v="2026-03-11T15:16:45"/>
    <x v="2"/>
    <n v="0"/>
    <n v="43"/>
    <n v="144"/>
    <n v="187"/>
    <n v="166"/>
    <n v="537"/>
    <n v="4883"/>
    <n v="4"/>
    <n v="5"/>
    <n v="5"/>
    <s v="Clear and specific instructions."/>
    <s v="Could provide more context on the use case."/>
    <s v="Accurate, complete, and well-explained code example."/>
    <s v="None."/>
    <s v="Jelaskan cara menggunakan method `read_csv` dari pandas dengan parameter `filename` dan `names`, serta berikan contoh penggunaannya."/>
    <s v="Consider adding a brief example of the input CSV file structure."/>
    <s v="excellent"/>
    <b v="0"/>
    <s v="gpt-4o-mini"/>
    <s v="{&quot;prompt_score&quot;: 4, &quot;response_score&quot;: 5, &quot;overall_score&quot;: 5, &quot;prompt_strengths&quot;: &quot;Clear and specific instructions.&quot;, &quot;prompt_issues&quot;: &quot;Could provide more context on the use case.&quot;, &quot;response_strengths&quot;: &quot;Accurate, complete, and well-explained code example.&quot;, &quot;response_issues&quot;: &quot;None.&quot;, &quot;prompt_rewrite&quot;: &quot;Jelaskan cara menggunakan method `read_csv` dari pandas dengan parameter `filename` dan `names`, serta berikan contoh penggunaannya.&quot;, &quot;response_improvement_suggestions&quot;: &quot;Consider adding a brief example of the input CSV file structure.&quot;, &quot;verdict&quot;: &quot;excellent&quot;, &quot;needs_human_review&quot;: false}"/>
    <s v="ok"/>
    <n v="5"/>
  </r>
  <r>
    <x v="63"/>
    <s v="[MODE:summary_code_explanation]_x000a_terdapat intruksi seperti ini. Latihlah model dengan cara memanggil method fit dan diberi parameter X_train dan y_train._x000a_apakah codenya &quot;model.fit(X_train, y_train)&quot;. jika ya mengapa terdapat error dengan keterangan ValueError: Unknown label type: continuous. Maybe you are trying to fit a classifier, which expects discrete classes on a regression target with continuous values. _x000a_jika salah berikan penjelasannya dan berikan kode yang benar"/>
    <s v="done"/>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    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  1) kamu salah mengambil kolom target (misalnya bukan kolom `Outcome`), atau  _x000a_  2) `y` terbaca sebagai float/bernilai non-integer, atau  _x000a_  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    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  1) kamu salah mengambil kolom target (misalnya bukan kolom `Outcome`), atau  _x000a_  2) `y` terbaca sebagai float/bernilai non-integer, atau  _x000a_  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d v="2026-03-11T16:11:55"/>
    <x v="2"/>
    <n v="0"/>
    <n v="110"/>
    <n v="506"/>
    <n v="616"/>
    <n v="473"/>
    <n v="1689"/>
    <n v="48"/>
    <n v="4"/>
    <n v="4"/>
    <n v="4"/>
    <s v="Clear instructions and context provided."/>
    <s v="Could specify the expected output format more clearly."/>
    <s v="Accurate explanation and relevant code example."/>
    <s v="Could be more concise in the explanation."/>
    <s v="Jelaskan cara melatih model dengan `model.fit(X_train, y_train)` dan mengapa error ValueError: Unknown label type: continuous muncul. Berikan penjelasan dan kode yang benar."/>
    <s v="Summarize the explanation to focus on key points and reduce redundancy."/>
    <s v="good"/>
    <b v="0"/>
    <s v="gpt-4o-mini"/>
    <s v="{&quot;prompt_score&quot;: 4, &quot;response_score&quot;: 4, &quot;overall_score&quot;: 4, &quot;prompt_strengths&quot;: &quot;Clear instructions and context provided.&quot;, &quot;prompt_issues&quot;: &quot;Could specify the expected output format more clearly.&quot;, &quot;response_strengths&quot;: &quot;Accurate explanation and relevant code example.&quot;, &quot;response_issues&quot;: &quot;Could be more concise in the explanation.&quot;, &quot;prompt_rewrite&quot;: &quot;Jelaskan cara melatih model dengan `model.fit(X_train, y_train)` dan mengapa error ValueError: Unknown label type: continuous muncul. Berikan penjelasan dan kode yang benar.&quot;, &quot;response_improvement_suggestions&quot;: &quot;Summarize the explanation to focus on key points and reduce redundancy.&quot;, &quot;verdict&quot;: &quot;good&quot;, &quot;needs_human_review&quot;: false}"/>
    <s v="ok"/>
    <n v="4"/>
  </r>
  <r>
    <x v="63"/>
    <s v="[MODE:summary_code_explanation]_x000a_Kita buat classifier dari kelas KNeighborsClassifier._x000a_knn_clf = KNeighborsClassifier()_x000a_Kita train knn_clf pada X_train dan y_train_x000a_apakah sudah benar untuk perintah pertama, jika sudah apa langkah selanjutnya"/>
    <s v="done"/>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d v="2026-03-18T16:08:41"/>
    <x v="4"/>
    <n v="0"/>
    <n v="64"/>
    <n v="261"/>
    <n v="325"/>
    <n v="240"/>
    <n v="958"/>
    <n v="964"/>
    <n v="4"/>
    <n v="5"/>
    <n v="4"/>
    <s v="Clear and specific about the task."/>
    <s v="Could provide more context on the dataset."/>
    <s v="Accurate, complete, and well-structured explanation."/>
    <s v="Could include more details on model evaluation metrics."/>
    <s v="Jelaskan langkah-langkah untuk membuat dan melatih KNeighborsClassifier, termasuk konteks dataset yang digunakan."/>
    <s v="Add more details on model evaluation metrics and their significance."/>
    <s v="good"/>
    <b v="0"/>
    <s v="gpt-4o-mini"/>
    <s v="{&quot;prompt_score&quot;: 4, &quot;response_score&quot;: 5, &quot;overall_score&quot;: 4, &quot;prompt_strengths&quot;: &quot;Clear and specific about the task.&quot;, &quot;prompt_issues&quot;: &quot;Could provide more context on the dataset.&quot;, &quot;response_strengths&quot;: &quot;Accurate, complete, and well-structured explanation.&quot;, &quot;response_issues&quot;: &quot;Could include more details on model evaluation metrics.&quot;, &quot;prompt_rewrite&quot;: &quot;Jelaskan langkah-langkah untuk membuat dan melatih KNeighborsClassifier, termasuk konteks dataset yang digunakan.&quot;, &quot;response_improvement_suggestions&quot;: &quot;Add more details on model evaluation metrics and their significance.&quot;, &quot;verdict&quot;: &quot;good&quot;, &quot;needs_human_review&quot;: false}"/>
    <s v="ok"/>
    <n v="4"/>
  </r>
  <r>
    <x v="63"/>
    <s v="[MODE:summary]_x000a_jika kolomnya seperti ini bagaimana_x000a_names = [&quot;Pregnancies&quot;,&quot;Glukose&quot;,&quot;BloodPressure&quot;,&quot;SkinThickness&quot;,&quot;Insulin&quot;,&quot;BMI&quot;,&quot;DiabetesPedigreeFuntion&quot;,&quot;Age&quot;,&quot;Outcome&quot;]"/>
    <s v="done"/>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d v="2026-03-11T15:32:21"/>
    <x v="2"/>
    <n v="0"/>
    <n v="51"/>
    <n v="149"/>
    <n v="200"/>
    <n v="174"/>
    <n v="535"/>
    <n v="1486"/>
    <n v="4"/>
    <n v="5"/>
    <n v="5"/>
    <s v="Clear and specific about the column names."/>
    <s v="Could provide more context on the intended use of the data."/>
    <s v="Accurate, complete, and clearly explains the process."/>
    <s v="None significant."/>
    <s v="Bagaimana cara menggunakan daftar kolom names = [&quot;Pregnancies&quot;,&quot;Glukose&quot;,&quot;BloodPressure&quot;,&quot;SkinThickness&quot;,&quot;Insulin&quot;,&quot;BMI&quot;,&quot;DiabetesPedigreeFuntion&quot;,&quot;Age&quot;,&quot;Outcome&quot;] saat membaca file CSV?"/>
    <s v="Consider adding an example of the CSV file structure for clarity."/>
    <s v="excellent"/>
    <b v="0"/>
    <s v="gpt-4o-mini"/>
    <s v="{&quot;prompt_score&quot;: 4, &quot;response_score&quot;: 5, &quot;overall_score&quot;: 5, &quot;prompt_strengths&quot;: &quot;Clear and specific about the column names.&quot;, &quot;prompt_issues&quot;: &quot;Could provide more context on the intended use of the data.&quot;, &quot;response_strengths&quot;: &quot;Accurate, complete, and clearly explains the process.&quot;, &quot;response_issues&quot;: &quot;None significant.&quot;, &quot;prompt_rewrite&quot;: &quot;Bagaimana cara menggunakan daftar kolom names = [\&quot;Pregnancies\&quot;,\&quot;Glukose\&quot;,\&quot;BloodPressure\&quot;,\&quot;SkinThickness\&quot;,\&quot;Insulin\&quot;,\&quot;BMI\&quot;,\&quot;DiabetesPedigreeFuntion\&quot;,\&quot;Age\&quot;,\&quot;Outcome\&quot;] saat membaca file CSV?&quot;, &quot;response_improvement_suggestions&quot;: &quot;Consider adding an example of the CSV file structure for clarity.&quot;, &quot;verdict&quot;: &quot;excellent&quot;, &quot;needs_human_review&quot;: false}"/>
    <s v="ok"/>
    <n v="5"/>
  </r>
  <r>
    <x v="63"/>
    <s v="[MODE:summary_code_explanation]_x000a_[ASSESSMENT_ID:1771cf8e-0a65-11f1-b762-3e0936ad7efb]_x000a_[FORCE_GPT:true]_x000a_[AUTO_FALLBACK:true]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pada kode tersebut bagian mana yang mengevaluasi menggunakn R2"/>
    <s v="done"/>
    <s v="**SUMMARY**  _x000a_Di kode Anda belum ada evaluasi **R²**. Tambahkan perhitungan `r2_score(y_reg_test, y_pred)` (atau `pipe.score(X_test, y_reg_test)`) di dalam loop evaluasi._x000a__x000a_```python_x000a_from sklearn.metrics import mean_squared_error, mean_absolute_error, r2_score_x000a__x000a_# 4) Train + evaluasi (RMSE, MAE, R2)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          # &lt;-- evaluasi R2 (cara 1)_x000a_    # r2 = pipe.score(X_test, y_reg_test)        # &lt;-- evaluasi R2 (cara 2, setara untuk regresi)_x000a__x000a_    results.append((name, rmse, mae, r2))_x000a__x000a_# 5) Tampilkan hasil_x000a_for name, rmse, mae, r2 in results:_x000a_    print(f&quot;{name:18s} | RMSE: {rmse:.4f} | MAE: {mae:.4f} | R2: {r2:.4f}&quot;)_x000a_```_x000a__x000a_**EXPLANATION**  _x000a_- Bagian evaluasi ada di dalam loop setelah `y_pred = pipe.predict(X_test)`.  _x000a_- `r2_score(y_true, y_pred)` menghitung **koefisien determinasi (R²)**: semakin mendekati 1 semakin baik; bisa negatif jika model lebih buruk daripada baseline rata-rata.  _x000a_- Alternatif `pipe.score(X_test, y_reg_test)` untuk model regresi di scikit-learn juga mengembalikan **R²**, tetapi `r2_score` lebih eksplisit dan jelas."/>
    <s v="**SUMMARY**  _x000a_Di kode Anda belum ada evaluasi **R²**. Tambahkan perhitungan `r2_score(y_reg_test, y_pred)` (atau `pipe.score(X_test, y_reg_test)`) di dalam loop evaluasi._x000a__x000a_```python_x000a_from sklearn.metrics import mean_squared_error, mean_absolute_error, r2_score_x000a__x000a_# 4) Train + evaluasi (RMSE, MAE, R2)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          # &lt;-- evaluasi R2 (cara 1)_x000a_    # r2 = pipe.score(X_test, y_reg_test)        # &lt;-- evaluasi R2 (cara 2, setara untuk regresi)_x000a__x000a_    results.append((name, rmse, mae, r2))_x000a__x000a_# 5) Tampilkan hasil_x000a_for name, rmse, mae, r2 in results:_x000a_    print(f&quot;{name:18s} | RMSE: {rmse:.4f} | MAE: {mae:.4f} | R2: {r2:.4f}&quot;)_x000a_```_x000a__x000a_**EXPLANATION**  _x000a_- Bagian evaluasi ada di dalam loop setelah `y_pred = pipe.predict(X_test)`.  _x000a_- `r2_score(y_true, y_pred)` menghitung **koefisien determinasi (R²)**: semakin mendekati 1 semakin baik; bisa negatif jika model lebih buruk daripada baseline rata-rata.  _x000a_- Alternatif `pipe.score(X_test, y_reg_test)` untuk model regresi di scikit-learn juga mengembalikan **R²**, tetapi `r2_score` lebih eksplisit dan jelas."/>
    <d v="2026-04-15T15:10:30"/>
    <x v="3"/>
    <n v="0"/>
    <n v="483"/>
    <n v="446"/>
    <n v="929"/>
    <n v="1637"/>
    <n v="1400"/>
    <n v="1994"/>
    <n v="4"/>
    <n v="5"/>
    <n v="5"/>
    <s v="Clear and specific about the code context and requirements."/>
    <s v="Could provide more context on the purpose of the evaluation."/>
    <s v="Thoroughly addresses the prompt with correct and complete information."/>
    <s v="None noted."/>
    <s v="Explain which part of the code evaluates using R², considering the context of regression model evaluation."/>
    <s v="None needed; response is comprehensive."/>
    <s v="excellent"/>
    <b v="0"/>
    <s v="gpt-4o-mini"/>
    <s v="{&quot;prompt_score&quot;: 4, &quot;response_score&quot;: 5, &quot;overall_score&quot;: 5, &quot;prompt_strengths&quot;: &quot;Clear and specific about the code context and requirements.&quot;, &quot;prompt_issues&quot;: &quot;Could provide more context on the purpose of the evaluation.&quot;, &quot;response_strengths&quot;: &quot;Thoroughly addresses the prompt with correct and complete information.&quot;, &quot;response_issues&quot;: &quot;None noted.&quot;, &quot;prompt_rewrite&quot;: &quot;Explain which part of the code evaluates using R², considering the context of regression model evaluation.&quot;, &quot;response_improvement_suggestions&quot;: &quot;None needed; response is comprehensive.&quot;, &quot;verdict&quot;: &quot;excellent&quot;, &quot;needs_human_review&quot;: false}"/>
    <s v="ok"/>
    <n v="5"/>
  </r>
  <r>
    <x v="63"/>
    <s v="[MODE:summary_code_explanation]_x000a_[ASSESSMENT_ID:1771cf8e-0a65-11f1-b762-3e0936ad7efb]_x000a_[FORCE_GPT:true]_x000a_[AUTO_FALLBACK:true]_x000a_bagaimana cara menyelesaikan persoalan berikut ini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SUMMARY**  _x000a_Berikut cara membuat 3 fitur turunan (engagement, distraction, support), membuat target klasifikasi `at_risk`, memilih fitur yang aman dari leakage, lalu membagi data train-test 80:20 dengan `random_state=42`._x000a__x000a_```python_x000a_import numpy as np_x000a_import pandas as pd_x000a_from sklearn.model_selection import train_test_split_x000a__x000a_# df = pd.read_csv(&quot;student_exam_performance_dataset (1).csv&quot;)_x000a__x000a_# ===== 1) Buat fitur turunan =====_x000a__x000a_# (a) engagement_index: gabungan attendance_rate, assignment_completion_rate, participation_score_x000a_# Asumsi ketiganya skala 0-100 (atau skala sebanding). Jika tidak, normalisasi dulu._x000a_df[&quot;engagement_index&quot;] = (_x000a_    df[&quot;attendance_rate&quot;] * 0.4 +_x000a_    df[&quot;assignment_completion_rate&quot;] * 0.4 +_x000a_    df[&quot;participation_score&quot;] * 0.2_x000a_)_x000a__x000a_# (b) digital_distraction_ratio: social_media_hours / study_hours_per_day_x000a_# Tambahkan epsilon agar tidak membagi dengan nol_x000a_eps = 1e-6_x000a_df[&quot;digital_distraction_ratio&quot;] = df[&quot;social_media_hours&quot;] / (df[&quot;study_hours_per_day&quot;] + eps)_x000a__x000a_# (c) support_score: online_courses_completed + informasi tutoring_x000a_# tutoring bisa berupa Yes/No, True/False, atau 0/1. Kita ubah ke 0/1 dulu._x000a_# Ganti &quot;tutoring&quot; sesuai nama kolom Anda._x000a_df[&quot;tutoring_flag&quot;] = (_x000a_    df[&quot;tutoring&quot;]_x000a_      .astype(str).str.lower()_x000a_      .map({&quot;yes&quot;: 1, &quot;no&quot;: 0, &quot;true&quot;: 1, &quot;false&quot;: 0, &quot;1&quot;: 1, &quot;0&quot;: 0})_x000a_)_x000a__x000a_# Jika ada nilai yang tidak terpetakan, isi 0 (anggap tidak tutoring) atau sesuaikan kebijakan Anda_x000a_df[&quot;tutoring_flag&quot;] = df[&quot;tutoring_flag&quot;].fillna(0).astype(int)_x000a__x000a_df[&quot;support_score&quot;] = df[&quot;online_courses_completed&quot;] + df[&quot;tutoring_flag&quot;]_x000a__x000a_# ===== 2) Buat target klasifikasi at_risk =====_x000a_# Contoh definisi: at_risk = 1 jika hasil akhir Fail, else 0._x000a_# Ganti &quot;Result&quot; sesuai kolom label Anda (mis. Pass/Fail)._x000a_df[&quot;at_risk&quot;] = df[&quot;Result&quot;].astype(str).str.lower().map({&quot;fail&quot;: 1, &quot;pass&quot;: 0})_x000a__x000a_# Jika target Anda bukan Pass/Fail, alternatif umum:_x000a_# - at_risk = 1 jika final_grade &lt; threshold_x000a_# - at_risk = 1 jika dropout == 1_x000a_# (sesuaikan dengan kolom yang tersedia)_x000a__x000a_# ===== 3) Tentukan fitur untuk model (hindari leakage) =====_x000a_# Leakage = fitur yang &quot;mengandung jawaban&quot; atau berasal dari masa depan/hasil akhir,_x000a_# misalnya: Result, final_grade, exam_score akhir, status kelulusan, dsb._x000a_leakage_cols = [&quot;Result&quot;, &quot;at_risk&quot;]  # tambahkan kolom lain yang jelas-jelas outcome_x000a__x000a_# Pilih fitur numerik + fitur turunan yang sudah dibuat_x000a_candidate_features = [_x000a_    &quot;attendance_rate&quot;,_x000a_    &quot;assignment_completion_rate&quot;,_x000a_    &quot;participation_score&quot;,_x000a_    &quot;social_media_hours&quot;,_x000a_    &quot;study_hours_per_day&quot;,_x000a_    &quot;online_courses_completed&quot;,_x000a_    &quot;tutoring_flag&quot;,_x000a_    &quot;engagement_index&quot;,_x000a_    &quot;digital_distraction_ratio&quot;,_x000a_    &quot;support_score&quot;,_x000a_]_x000a__x000a_# Ambil yang benar-benar ada di df dan bukan leakage_x000a_X_cols = [c for c in candidate_features if c in df.columns and c not in leakage_cols]_x000a__x000a_X = df[X_cols].copy()_x000a_y = df[&quot;at_risk&quot;].copy()_x000a__x000a_# (Opsional tapi disarankan) buang baris yang targetnya NaN (mis. label tidak Pass/Fail)_x000a_mask = y.notna()_x000a_X, y = X.loc[mask], y.loc[mask].astype(int)_x000a__x000a_# ===== 4) Split train-test 80:20 =====_x000a_X_train, X_test, y_train, y_test = train_test_split(_x000a_    X, y,_x000a_    test_size=0.2,_x000a_    random_state=42,_x000a_    stratify=y  # menjaga proporsi kelas jika dataset imbalanced_x000a_)_x000a__x000a_print(&quot;Fitur yang dipakai:&quot;, X_cols)_x000a_print(&quot;Train shape:&quot;, X_train.shape, &quot;Test shape:&quot;, X_test.shape)_x000a_print(&quot;Proporsi at_risk (train):&quot;, y_train.mean(), &quot;Proporsi at_risk (test):&quot;, y_test.mean())_x000a_```_x000a__x000a_**EXPLANATION**  _x000a_1) **Fitur turunan**_x000a_- `engagement_index`: kombinasi berbobot dari `attendance_rate`, `assignment_completion_rate`, `participation_score`. Bobot (0."/>
    <s v="**SUMMARY**  _x000a_Berikut cara membuat 3 fitur turunan (engagement, distraction, support), membuat target klasifikasi `at_risk`, memilih fitur yang aman dari leakage, lalu membagi data train-test 80:20 dengan `random_state=42`._x000a__x000a_```python_x000a_import numpy as np_x000a_import pandas as pd_x000a_from sklearn.model_selection import train_test_split_x000a__x000a_# df = pd.read_csv(&quot;student_exam_performance_dataset (1).csv&quot;)_x000a__x000a_# ===== 1) Buat fitur turunan =====_x000a__x000a_# (a) engagement_index: gabungan attendance_rate, assignment_completion_rate, participation_score_x000a_# Asumsi ketiganya skala 0-100 (atau skala sebanding). Jika tidak, normalisasi dulu._x000a_df[&quot;engagement_index&quot;] = (_x000a_    df[&quot;attendance_rate&quot;] * 0.4 +_x000a_    df[&quot;assignment_completion_rate&quot;] * 0.4 +_x000a_    df[&quot;participation_score&quot;] * 0.2_x000a_)_x000a__x000a_# (b) digital_distraction_ratio: social_media_hours / study_hours_per_day_x000a_# Tambahkan epsilon agar tidak membagi dengan nol_x000a_eps = 1e-6_x000a_df[&quot;digital_distraction_ratio&quot;] = df[&quot;social_media_hours&quot;] / (df[&quot;study_hours_per_day&quot;] + eps)_x000a__x000a_# (c) support_score: online_courses_completed + informasi tutoring_x000a_# tutoring bisa berupa Yes/No, True/False, atau 0/1. Kita ubah ke 0/1 dulu._x000a_# Ganti &quot;tutoring&quot; sesuai nama kolom Anda._x000a_df[&quot;tutoring_flag&quot;] = (_x000a_    df[&quot;tutoring&quot;]_x000a_      .astype(str).str.lower()_x000a_      .map({&quot;yes&quot;: 1, &quot;no&quot;: 0, &quot;true&quot;: 1, &quot;false&quot;: 0, &quot;1&quot;: 1, &quot;0&quot;: 0})_x000a_)_x000a__x000a_# Jika ada nilai yang tidak terpetakan, isi 0 (anggap tidak tutoring) atau sesuaikan kebijakan Anda_x000a_df[&quot;tutoring_flag&quot;] = df[&quot;tutoring_flag&quot;].fillna(0).astype(int)_x000a__x000a_df[&quot;support_score&quot;] = df[&quot;online_courses_completed&quot;] + df[&quot;tutoring_flag&quot;]_x000a__x000a_# ===== 2) Buat target klasifikasi at_risk =====_x000a_# Contoh definisi: at_risk = 1 jika hasil akhir Fail, else 0._x000a_# Ganti &quot;Result&quot; sesuai kolom label Anda (mis. Pass/Fail)._x000a_df[&quot;at_risk&quot;] = df[&quot;Result&quot;].astype(str).str.lower().map({&quot;fail&quot;: 1, &quot;pass&quot;: 0})_x000a__x000a_# Jika target Anda bukan Pass/Fail, alternatif umum:_x000a_# - at_risk = 1 jika final_grade &lt; threshold_x000a_# - at_risk = 1 jika dropout == 1_x000a_# (sesuaikan dengan kolom yang tersedia)_x000a__x000a_# ===== 3) Tentukan fitur untuk model (hindari leakage) =====_x000a_# Leakage = fitur yang &quot;mengandung jawaban&quot; atau berasal dari masa depan/hasil akhir,_x000a_# misalnya: Result, final_grade, exam_score akhir, status kelulusan, dsb._x000a_leakage_cols = [&quot;Result&quot;, &quot;at_risk&quot;]  # tambahkan kolom lain yang jelas-jelas outcome_x000a__x000a_# Pilih fitur numerik + fitur turunan yang sudah dibuat_x000a_candidate_features = [_x000a_    &quot;attendance_rate&quot;,_x000a_    &quot;assignment_completion_rate&quot;,_x000a_    &quot;participation_score&quot;,_x000a_    &quot;social_media_hours&quot;,_x000a_    &quot;study_hours_per_day&quot;,_x000a_    &quot;online_courses_completed&quot;,_x000a_    &quot;tutoring_flag&quot;,_x000a_    &quot;engagement_index&quot;,_x000a_    &quot;digital_distraction_ratio&quot;,_x000a_    &quot;support_score&quot;,_x000a_]_x000a__x000a_# Ambil yang benar-benar ada di df dan bukan leakage_x000a_X_cols = [c for c in candidate_features if c in df.columns and c not in leakage_cols]_x000a__x000a_X = df[X_cols].copy()_x000a_y = df[&quot;at_risk&quot;].copy()_x000a__x000a_# (Opsional tapi disarankan) buang baris yang targetnya NaN (mis. label tidak Pass/Fail)_x000a_mask = y.notna()_x000a_X, y = X.loc[mask], y.loc[mask].astype(int)_x000a__x000a_# ===== 4) Split train-test 80:20 =====_x000a_X_train, X_test, y_train, y_test = train_test_split(_x000a_    X, y,_x000a_    test_size=0.2,_x000a_    random_state=42,_x000a_    stratify=y  # menjaga proporsi kelas jika dataset imbalanced_x000a_)_x000a__x000a_print(&quot;Fitur yang dipakai:&quot;, X_cols)_x000a_print(&quot;Train shape:&quot;, X_train.shape, &quot;Test shape:&quot;, X_test.shape)_x000a_print(&quot;Proporsi at_risk (train):&quot;, y_train.mean(), &quot;Proporsi at_risk (test):&quot;, y_test.mean())_x000a_```_x000a__x000a_**EXPLANATION**  _x000a_1) **Fitur turunan**_x000a_- `engagement_index`: kombinasi berbobot dari `attendance_rate`, `assignment_completion_rate`, `participation_score`. Bobot (0."/>
    <d v="2026-04-15T14:52:58"/>
    <x v="3"/>
    <n v="0"/>
    <n v="185"/>
    <n v="1071"/>
    <n v="1256"/>
    <n v="679"/>
    <n v="3566"/>
    <n v="2718"/>
    <n v="4"/>
    <n v="5"/>
    <n v="4"/>
    <s v="Clear and specific instructions for feature creation."/>
    <s v="Could provide more context on the dataset."/>
    <s v="Comprehensive and well-structured code with explanations."/>
    <s v="Minor clarity issues in the explanation section."/>
    <s v="Jelaskan cara menyelesaikan persoalan berikut: Buat minimal tiga fitur turunan: engagement_index dari kombinasi attendance_rate, assignment_completion_rate, dan participation_score; digital_distraction_ratio dari social_media_hours dan study_hours_per_day; support_score dari online_courses_completed dan informasi tutoring. Kemudian, buat target klasifikasi at_risk, tentukan fitur untuk regresi tanpa leakage, dan bagi data menjadi train-test dengan rasio 80:20 dan random_state=42."/>
    <s v="Clarify the explanation section for better understanding."/>
    <s v="good"/>
    <b v="0"/>
    <s v="gpt-4o-mini"/>
    <s v="{&quot;prompt_score&quot;: 4, &quot;response_score&quot;: 5, &quot;overall_score&quot;: 4, &quot;prompt_strengths&quot;: &quot;Clear and specific instructions for feature creation.&quot;, &quot;prompt_issues&quot;: &quot;Could provide more context on the dataset.&quot;, &quot;response_strengths&quot;: &quot;Comprehensive and well-structured code with explanations.&quot;, &quot;response_issues&quot;: &quot;Minor clarity issues in the explanation section.&quot;, &quot;prompt_rewrite&quot;: &quot;Jelaskan cara menyelesaikan persoalan berikut: Buat minimal tiga fitur turunan: engagement_index dari kombinasi attendance_rate, assignment_completion_rate, dan participation_score; digital_distraction_ratio dari social_media_hours dan study_hours_per_day; support_score dari online_courses_completed dan informasi tutoring. Kemudian, buat target klasifikasi at_risk, tentukan fitur untuk regresi tanpa leakage, dan bagi data menjadi train-test dengan rasio 80:20 dan random_state=42.&quot;, &quot;response_improvement_suggestions&quot;: &quot;Clarify the explanation section for better understanding.&quot;, &quot;verdict&quot;: &quot;good&quot;, &quot;needs_human_review&quot;: false}"/>
    <s v="ok"/>
    <n v="4"/>
  </r>
  <r>
    <x v="64"/>
    <s v="[MODE:summary]_x000a_sekarang untuk kalimat ini &quot;- Ada Kecenderungan BMI makin tinggi --&gt; charges makin naik - penyebaran sangat kebar&quot;"/>
    <s v="done"/>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d v="2026-03-03T12:26:38"/>
    <x v="6"/>
    <n v="0"/>
    <n v="38"/>
    <n v="113"/>
    <n v="151"/>
    <n v="129"/>
    <n v="399"/>
    <n v="1749"/>
    <n v="3"/>
    <n v="4"/>
    <n v="4"/>
    <s v="Addresses a specific topic with a clear directive."/>
    <s v="Lacks clarity in the context and constraints."/>
    <s v="Relevant and provides a comprehensive explanation."/>
    <s v="Could be clearer in summarizing the key points."/>
    <s v="[MODE:summary] Ringkasan tentang hubungan antara BMI dan biaya asuransi."/>
    <s v="Summarize the key points more succinctly."/>
    <s v="good"/>
    <b v="0"/>
    <s v="gpt-4o-mini"/>
    <s v="{&quot;prompt_score&quot;: 3, &quot;response_score&quot;: 4, &quot;overall_score&quot;: 4, &quot;prompt_strengths&quot;: &quot;Addresses a specific topic with a clear directive.&quot;, &quot;prompt_issues&quot;: &quot;Lacks clarity in the context and constraints.&quot;, &quot;response_strengths&quot;: &quot;Relevant and provides a comprehensive explanation.&quot;, &quot;response_issues&quot;: &quot;Could be clearer in summarizing the key points.&quot;, &quot;prompt_rewrite&quot;: &quot;[MODE:summary] Ringkasan tentang hubungan antara BMI dan biaya asuransi.&quot;, &quot;response_improvement_suggestions&quot;: &quot;Summarize the key points more succinctly.&quot;, &quot;verdict&quot;: &quot;good&quot;, &quot;needs_human_review&quot;: false}"/>
    <s v="ok"/>
    <n v="4"/>
  </r>
  <r>
    <x v="64"/>
    <s v="[MODE:summary]_x000a_jawaban dari pertanyaan ini apa?_x000a_Learning rate terlalu besar menyebabkan_x000a_*_x000a_Optimal_x000a_Stabil_x000a_Divergen_x000a_Lambat"/>
    <s v="done"/>
    <s v="Learning rate yang terlalu besar menyebabkan proses training menjadi divergen (loss bisa naik/tidak konvergen) karena langkah update parameter terlalu jauh dan “melewati” titik minimum."/>
    <s v="Learning rate yang terlalu besar menyebabkan proses training menjadi divergen (loss bisa naik/tidak konvergen) karena langkah update parameter terlalu jauh dan “melewati” titik minimum."/>
    <d v="2026-04-14T09:35:26"/>
    <x v="3"/>
    <n v="0"/>
    <n v="39"/>
    <n v="49"/>
    <n v="88"/>
    <n v="120"/>
    <n v="185"/>
    <n v="3358"/>
    <n v="3"/>
    <n v="4"/>
    <n v="3"/>
    <s v="Identifies a specific topic (learning rate) and asks for an answer."/>
    <s v="Lacks clarity and context; the phrasing is confusing."/>
    <s v="Accurate explanation of the effects of a large learning rate."/>
    <s v="Could be more concise and structured for better clarity."/>
    <s v="What are the effects of a learning rate that is too large in training models?"/>
    <s v="Provide a more structured response with examples or implications."/>
    <s v="good"/>
    <b v="0"/>
    <s v="gpt-4o-mini"/>
    <s v="{&quot;prompt_score&quot;: 3, &quot;response_score&quot;: 4, &quot;overall_score&quot;: 3, &quot;prompt_strengths&quot;: &quot;Identifies a specific topic (learning rate) and asks for an answer.&quot;, &quot;prompt_issues&quot;: &quot;Lacks clarity and context; the phrasing is confusing.&quot;, &quot;response_strengths&quot;: &quot;Accurate explanation of the effects of a large learning rate.&quot;, &quot;response_issues&quot;: &quot;Could be more concise and structured for better clarity.&quot;, &quot;prompt_rewrite&quot;: &quot;What are the effects of a learning rate that is too large in training models?&quot;, &quot;response_improvement_suggestions&quot;: &quot;Provide a more structured response with examples or implications.&quot;, &quot;verdict&quot;: &quot;good&quot;, &quot;needs_human_review&quot;: false}"/>
    <s v="ok"/>
    <n v="4"/>
  </r>
  <r>
    <x v="64"/>
    <s v="[MODE:summary]_x000a_berikan jawaban dari pertanyaan berikut_x000a_Learning rate kecil_x000a_*_x000a_Divergen_x000a_Stabil_x000a_Cepat_x000a_Lambat_x000a_berikan jawaban singkat"/>
    <s v="done"/>
    <s v="Learning rate kecil: Lambat."/>
    <s v="Learning rate kecil: Lambat."/>
    <d v="2026-04-14T09:49:38"/>
    <x v="3"/>
    <n v="0"/>
    <n v="43"/>
    <n v="8"/>
    <n v="51"/>
    <n v="129"/>
    <n v="28"/>
    <n v="3597"/>
    <n v="3"/>
    <n v="3"/>
    <n v="3"/>
    <s v="Direct and focused on a specific question."/>
    <s v="Lacks clarity in terms of expected format and context."/>
    <s v="Directly answers the question."/>
    <s v="Too brief and lacks explanation or context."/>
    <s v="[MODE:summary] Berikan jawaban singkat dan jelas untuk pertanyaan berikut: Apa dampak dari learning rate kecil dalam konteks stabilitas dan kecepatan konvergensi?"/>
    <s v="Provide a more detailed explanation of why a small learning rate is considered slow."/>
    <s v="fair"/>
    <b v="0"/>
    <s v="gpt-4o-mini"/>
    <s v="{&quot;prompt_score&quot;: 3, &quot;response_score&quot;: 3, &quot;overall_score&quot;: 3, &quot;prompt_strengths&quot;: &quot;Direct and focused on a specific question.&quot;, &quot;prompt_issues&quot;: &quot;Lacks clarity in terms of expected format and context.&quot;, &quot;response_strengths&quot;: &quot;Directly answers the question.&quot;, &quot;response_issues&quot;: &quot;Too brief and lacks explanation or context.&quot;, &quot;prompt_rewrite&quot;: &quot;[MODE:summary] Berikan jawaban singkat dan jelas untuk pertanyaan berikut: Apa dampak dari learning rate kecil dalam konteks stabilitas dan kecepatan konvergensi?&quot;, &quot;response_improvement_suggestions&quot;: &quot;Provide a more detailed explanation of why a small learning rate is considered slow.&quot;, &quot;verdict&quot;: &quot;fair&quot;, &quot;needs_human_review&quot;: false}"/>
    <s v="ok"/>
    <n v="3"/>
  </r>
  <r>
    <x v="64"/>
    <s v="[MODE:summary]_x000a_berikan jawaban dari 2 pertanyaan ini -Regularization bertujuan * Menambah error Mengurangi overfitting Menambah fitur Menghapus data -Output 0.8 pada regresi logistik‚ maka keputusannya kelas … * 1 Tidak diketahui 0 -1"/>
    <s v="done"/>
    <s v="Regularization bertujuan mengurangi overfitting. Output 0.8 pada regresi logistik biasanya diputuskan sebagai kelas 1 (dengan threshold 0.5)."/>
    <s v="Regularization bertujuan mengurangi overfitting. Output 0.8 pada regresi logistik biasanya diputuskan sebagai kelas 1 (dengan threshold 0.5)."/>
    <d v="2026-04-14T09:55:13"/>
    <x v="3"/>
    <n v="0"/>
    <n v="73"/>
    <n v="43"/>
    <n v="116"/>
    <n v="234"/>
    <n v="141"/>
    <n v="3999"/>
    <n v="4"/>
    <n v="5"/>
    <n v="4"/>
    <s v="Clear and specific questions."/>
    <s v="Could provide more context for better understanding."/>
    <s v="Accurate and complete answers to both questions."/>
    <s v="Could elaborate on the reasoning behind the output classification."/>
    <s v="[MODE:summary] Berikan jawaban dari 2 pertanyaan ini dengan penjelasan singkat: - Apa tujuan regularization? - Jika output 0.8 pada regresi logistik, apa keputusan kelasnya?"/>
    <s v="Add a brief explanation of why 0.8 corresponds to class 1."/>
    <s v="good"/>
    <b v="0"/>
    <s v="gpt-4o-mini"/>
    <s v="{&quot;prompt_score&quot;: 4, &quot;response_score&quot;: 5, &quot;overall_score&quot;: 4, &quot;prompt_strengths&quot;: &quot;Clear and specific questions.&quot;, &quot;prompt_issues&quot;: &quot;Could provide more context for better understanding.&quot;, &quot;response_strengths&quot;: &quot;Accurate and complete answers to both questions.&quot;, &quot;response_issues&quot;: &quot;Could elaborate on the reasoning behind the output classification.&quot;, &quot;prompt_rewrite&quot;: &quot;[MODE:summary] Berikan jawaban dari 2 pertanyaan ini dengan penjelasan singkat: - Apa tujuan regularization? - Jika output 0.8 pada regresi logistik, apa keputusan kelasnya?&quot;, &quot;response_improvement_suggestions&quot;: &quot;Add a brief explanation of why 0.8 corresponds to class 1.&quot;, &quot;verdict&quot;: &quot;good&quot;, &quot;needs_human_review&quot;: false}"/>
    <s v="ok"/>
    <n v="4"/>
  </r>
  <r>
    <x v="64"/>
    <s v="[MODE:summary]_x000a_berikan jawaban dari 2 pertanyaan ini _x000a_Fungsi hipotesis terhadap linear regression_x000a_*_x000a_sigmoid_x000a_θ·x + bias_x000a_softmax_x000a_exponential_x000a_λ besar pada Lasso * Random Beberapa nol Tidak berubah Fitur besar berikan jawaban singkat dan padat"/>
    <s v="done"/>
    <s v="- Fungsi hipotesis linear regression: θ·x + bias  _x000a_- λ besar pada Lasso: Beberapa nol"/>
    <s v="- Fungsi hipotesis linear regression: θ·x + bias  _x000a_- λ besar pada Lasso: Beberapa nol"/>
    <d v="2026-04-14T09:59:16"/>
    <x v="3"/>
    <n v="0"/>
    <n v="70"/>
    <n v="28"/>
    <n v="98"/>
    <n v="239"/>
    <n v="85"/>
    <n v="4759"/>
    <n v="3"/>
    <n v="4"/>
    <n v="3"/>
    <s v="Addresses specific topics in regression."/>
    <s v="Lacks clarity and structure; confusing phrasing."/>
    <s v="Concise and relevant answers."/>
    <s v="Lacks detail and explanation."/>
    <s v="Berikan jawaban singkat untuk dua pertanyaan: Apa fungsi hipotesis dalam regresi linear? Apa dampak dari λ besar pada Lasso?"/>
    <s v="Expand on the explanations for better understanding."/>
    <s v="fair"/>
    <b v="0"/>
    <s v="gpt-4o-mini"/>
    <s v="{&quot;prompt_score&quot;: 3, &quot;response_score&quot;: 4, &quot;overall_score&quot;: 3, &quot;prompt_strengths&quot;: &quot;Addresses specific topics in regression.&quot;, &quot;prompt_issues&quot;: &quot;Lacks clarity and structure; confusing phrasing.&quot;, &quot;response_strengths&quot;: &quot;Concise and relevant answers.&quot;, &quot;response_issues&quot;: &quot;Lacks detail and explanation.&quot;, &quot;prompt_rewrite&quot;: &quot;Berikan jawaban singkat untuk dua pertanyaan: Apa fungsi hipotesis dalam regresi linear? Apa dampak dari λ besar pada Lasso?&quot;, &quot;response_improvement_suggestions&quot;: &quot;Expand on the explanations for better understanding.&quot;, &quot;verdict&quot;: &quot;fair&quot;, &quot;needs_human_review&quot;: false}"/>
    <s v="ok"/>
    <n v="3"/>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r>
    <x v="65"/>
    <m/>
    <m/>
    <m/>
    <m/>
    <m/>
    <x v="7"/>
    <m/>
    <m/>
    <m/>
    <m/>
    <m/>
    <m/>
    <m/>
    <m/>
    <m/>
    <m/>
    <m/>
    <m/>
    <m/>
    <m/>
    <m/>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17D71-62F9-48EA-BCB9-D4186B885287}"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9" firstHeaderRow="0" firstDataRow="1" firstDataCol="1"/>
  <pivotFields count="29">
    <pivotField showAll="0"/>
    <pivotField showAll="0"/>
    <pivotField showAll="0"/>
    <pivotField showAll="0"/>
    <pivotField showAll="0"/>
    <pivotField showAll="0"/>
    <pivotField axis="axisRow" showAll="0">
      <items count="9">
        <item x="1"/>
        <item x="6"/>
        <item x="2"/>
        <item x="4"/>
        <item x="5"/>
        <item x="0"/>
        <item x="3"/>
        <item h="1" x="7"/>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8">
    <i>
      <x/>
    </i>
    <i>
      <x v="1"/>
    </i>
    <i>
      <x v="2"/>
    </i>
    <i>
      <x v="3"/>
    </i>
    <i>
      <x v="4"/>
    </i>
    <i>
      <x v="5"/>
    </i>
    <i>
      <x v="6"/>
    </i>
    <i t="grand">
      <x/>
    </i>
  </rowItems>
  <colFields count="1">
    <field x="-2"/>
  </colFields>
  <colItems count="3">
    <i>
      <x/>
    </i>
    <i i="1">
      <x v="1"/>
    </i>
    <i i="2">
      <x v="2"/>
    </i>
  </colItems>
  <dataFields count="3">
    <dataField name="Average of prompt_score" fld="14" subtotal="average" baseField="6" baseItem="0"/>
    <dataField name="Average of response_score" fld="15" subtotal="average" baseField="6" baseItem="0"/>
    <dataField name="Average of verdict_num" fld="28" subtotal="average" baseField="6" baseItem="0"/>
  </dataField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3A883-1761-4A08-9D70-660DCF744127}" name="PivotTable8" cacheId="29"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E69" firstHeaderRow="0" firstDataRow="1" firstDataCol="1"/>
  <pivotFields count="29">
    <pivotField axis="axisRow"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h="1" x="6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Fields count="1">
    <field x="-2"/>
  </colFields>
  <colItems count="4">
    <i>
      <x/>
    </i>
    <i i="1">
      <x v="1"/>
    </i>
    <i i="2">
      <x v="2"/>
    </i>
    <i i="3">
      <x v="3"/>
    </i>
  </colItems>
  <dataFields count="4">
    <dataField name="Average of verdict_num" fld="28" subtotal="average" baseField="0" baseItem="0"/>
    <dataField name="Average of total_tokens" fld="10" subtotal="average" baseField="0" baseItem="0"/>
    <dataField name="Average of prompt_score" fld="14" subtotal="average" baseField="0" baseItem="62"/>
    <dataField name="Average of response_score" fld="15" subtotal="average" baseField="0" baseItem="6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536"/>
  <sheetViews>
    <sheetView tabSelected="1" workbookViewId="0">
      <selection activeCell="L23" sqref="L23"/>
    </sheetView>
  </sheetViews>
  <sheetFormatPr defaultRowHeight="14.4" x14ac:dyDescent="0.3"/>
  <cols>
    <col min="11" max="11" width="13.5546875" bestFit="1" customWidth="1"/>
    <col min="12" max="12" width="20" bestFit="1" customWidth="1"/>
    <col min="13" max="13" width="21.33203125" bestFit="1" customWidth="1"/>
    <col min="15" max="15" width="14.6640625" bestFit="1" customWidth="1"/>
    <col min="16" max="16" width="14.33203125" customWidth="1"/>
    <col min="18" max="18" width="20.88671875" customWidth="1"/>
    <col min="19" max="19" width="21.88671875" customWidth="1"/>
    <col min="20" max="20" width="16.77734375" customWidth="1"/>
    <col min="21" max="21" width="15.77734375" customWidth="1"/>
    <col min="22" max="22" width="16.77734375" customWidth="1"/>
    <col min="23" max="23" width="15.21875"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4242</v>
      </c>
    </row>
    <row r="2" spans="1:30" x14ac:dyDescent="0.3">
      <c r="A2">
        <v>2172013</v>
      </c>
      <c r="B2" t="s">
        <v>258</v>
      </c>
      <c r="C2" t="s">
        <v>29</v>
      </c>
      <c r="D2" t="s">
        <v>259</v>
      </c>
      <c r="E2" t="s">
        <v>259</v>
      </c>
      <c r="F2" s="1">
        <v>46119.519328703696</v>
      </c>
      <c r="G2" t="s">
        <v>56</v>
      </c>
      <c r="H2">
        <v>0</v>
      </c>
      <c r="I2">
        <v>50</v>
      </c>
      <c r="J2">
        <v>22</v>
      </c>
      <c r="K2">
        <v>72</v>
      </c>
      <c r="L2">
        <v>225</v>
      </c>
      <c r="M2">
        <v>93</v>
      </c>
      <c r="N2">
        <v>286</v>
      </c>
      <c r="O2">
        <v>4</v>
      </c>
      <c r="P2">
        <v>4</v>
      </c>
      <c r="Q2">
        <v>4</v>
      </c>
      <c r="R2" t="s">
        <v>32</v>
      </c>
      <c r="S2" t="s">
        <v>260</v>
      </c>
      <c r="T2" t="s">
        <v>261</v>
      </c>
      <c r="U2" t="s">
        <v>262</v>
      </c>
      <c r="V2" t="s">
        <v>263</v>
      </c>
      <c r="W2" t="s">
        <v>264</v>
      </c>
      <c r="X2" t="s">
        <v>38</v>
      </c>
      <c r="Y2" t="b">
        <v>0</v>
      </c>
      <c r="Z2" t="s">
        <v>39</v>
      </c>
      <c r="AA2" t="s">
        <v>265</v>
      </c>
      <c r="AB2" t="s">
        <v>41</v>
      </c>
      <c r="AC2">
        <f>IF(LOWER(TRIM(X2))="excellent",5,
 IF(LOWER(TRIM(X2))="good",4,
 IF(LOWER(TRIM(X2))="fair",3,
 IF(LOWER(TRIM(X2))="poor",2,
 IF(LOWER(TRIM(X2))="weak",1,0)))))</f>
        <v>4</v>
      </c>
      <c r="AD2">
        <f>CORREL($O$2:$O$517,$P$2:$P$517)</f>
        <v>0.62823543384301694</v>
      </c>
    </row>
    <row r="3" spans="1:30" x14ac:dyDescent="0.3">
      <c r="A3">
        <v>2172013</v>
      </c>
      <c r="B3" t="s">
        <v>1882</v>
      </c>
      <c r="C3" t="s">
        <v>29</v>
      </c>
      <c r="D3" t="s">
        <v>1883</v>
      </c>
      <c r="E3" t="s">
        <v>1884</v>
      </c>
      <c r="F3" s="1">
        <v>46119.511446759258</v>
      </c>
      <c r="G3" t="s">
        <v>56</v>
      </c>
      <c r="H3">
        <v>0</v>
      </c>
      <c r="I3">
        <v>152</v>
      </c>
      <c r="J3">
        <v>72</v>
      </c>
      <c r="K3">
        <v>224</v>
      </c>
      <c r="L3">
        <v>496</v>
      </c>
      <c r="M3">
        <v>213</v>
      </c>
      <c r="N3">
        <v>2126</v>
      </c>
      <c r="O3">
        <v>4</v>
      </c>
      <c r="P3">
        <v>4</v>
      </c>
      <c r="Q3">
        <v>4</v>
      </c>
      <c r="R3" t="s">
        <v>1130</v>
      </c>
      <c r="S3" t="s">
        <v>1885</v>
      </c>
      <c r="T3" t="s">
        <v>1886</v>
      </c>
      <c r="U3" t="s">
        <v>1887</v>
      </c>
      <c r="V3" t="s">
        <v>1888</v>
      </c>
      <c r="W3" t="s">
        <v>1354</v>
      </c>
      <c r="X3" t="s">
        <v>38</v>
      </c>
      <c r="Y3" t="b">
        <v>0</v>
      </c>
      <c r="Z3" t="s">
        <v>39</v>
      </c>
      <c r="AA3" t="s">
        <v>1889</v>
      </c>
      <c r="AB3" t="s">
        <v>41</v>
      </c>
      <c r="AC3">
        <f t="shared" ref="AC3:AC66" si="0">IF(LOWER(TRIM(X3))="excellent",5,
 IF(LOWER(TRIM(X3))="good",4,
 IF(LOWER(TRIM(X3))="fair",3,
 IF(LOWER(TRIM(X3))="poor",2,
 IF(LOWER(TRIM(X3))="weak",1,0)))))</f>
        <v>4</v>
      </c>
    </row>
    <row r="4" spans="1:30" x14ac:dyDescent="0.3">
      <c r="A4">
        <v>2172013</v>
      </c>
      <c r="B4" t="s">
        <v>3618</v>
      </c>
      <c r="C4" t="s">
        <v>29</v>
      </c>
      <c r="D4" t="s">
        <v>3619</v>
      </c>
      <c r="E4" t="s">
        <v>3620</v>
      </c>
      <c r="F4" s="1">
        <v>46077.560578703713</v>
      </c>
      <c r="G4" t="s">
        <v>67</v>
      </c>
      <c r="H4">
        <v>0</v>
      </c>
      <c r="I4">
        <v>35</v>
      </c>
      <c r="J4">
        <v>350</v>
      </c>
      <c r="K4">
        <v>385</v>
      </c>
      <c r="L4">
        <v>148</v>
      </c>
      <c r="M4">
        <v>1263</v>
      </c>
      <c r="N4">
        <v>4151</v>
      </c>
      <c r="O4">
        <v>4</v>
      </c>
      <c r="P4">
        <v>5</v>
      </c>
      <c r="Q4">
        <v>5</v>
      </c>
      <c r="R4" t="s">
        <v>139</v>
      </c>
      <c r="S4" t="s">
        <v>387</v>
      </c>
      <c r="T4" t="s">
        <v>3621</v>
      </c>
      <c r="U4" t="s">
        <v>170</v>
      </c>
      <c r="V4" t="s">
        <v>3622</v>
      </c>
      <c r="W4" t="s">
        <v>3623</v>
      </c>
      <c r="X4" t="s">
        <v>154</v>
      </c>
      <c r="Y4" t="b">
        <v>0</v>
      </c>
      <c r="Z4" t="s">
        <v>39</v>
      </c>
      <c r="AA4" t="s">
        <v>3624</v>
      </c>
      <c r="AB4" t="s">
        <v>41</v>
      </c>
      <c r="AC4">
        <f t="shared" si="0"/>
        <v>5</v>
      </c>
    </row>
    <row r="5" spans="1:30" x14ac:dyDescent="0.3">
      <c r="A5">
        <v>2172013</v>
      </c>
      <c r="B5" t="s">
        <v>3965</v>
      </c>
      <c r="C5" t="s">
        <v>29</v>
      </c>
      <c r="D5" t="s">
        <v>3966</v>
      </c>
      <c r="E5" t="s">
        <v>3966</v>
      </c>
      <c r="F5" s="1">
        <v>46091.401817129627</v>
      </c>
      <c r="G5" t="s">
        <v>31</v>
      </c>
      <c r="H5">
        <v>0</v>
      </c>
      <c r="I5">
        <v>47</v>
      </c>
      <c r="J5">
        <v>72</v>
      </c>
      <c r="K5">
        <v>119</v>
      </c>
      <c r="L5">
        <v>159</v>
      </c>
      <c r="M5">
        <v>253</v>
      </c>
      <c r="N5">
        <v>4639</v>
      </c>
      <c r="O5">
        <v>4</v>
      </c>
      <c r="P5">
        <v>5</v>
      </c>
      <c r="Q5">
        <v>5</v>
      </c>
      <c r="R5" t="s">
        <v>1039</v>
      </c>
      <c r="S5" t="s">
        <v>3967</v>
      </c>
      <c r="T5" t="s">
        <v>3968</v>
      </c>
      <c r="U5" t="s">
        <v>125</v>
      </c>
      <c r="V5" t="s">
        <v>3969</v>
      </c>
      <c r="W5" t="s">
        <v>143</v>
      </c>
      <c r="X5" t="s">
        <v>154</v>
      </c>
      <c r="Y5" t="b">
        <v>0</v>
      </c>
      <c r="Z5" t="s">
        <v>39</v>
      </c>
      <c r="AA5" t="s">
        <v>3970</v>
      </c>
      <c r="AB5" t="s">
        <v>41</v>
      </c>
      <c r="AC5">
        <f t="shared" si="0"/>
        <v>5</v>
      </c>
    </row>
    <row r="6" spans="1:30" x14ac:dyDescent="0.3">
      <c r="A6">
        <v>2172022</v>
      </c>
      <c r="B6" t="s">
        <v>114</v>
      </c>
      <c r="C6" t="s">
        <v>29</v>
      </c>
      <c r="D6" t="s">
        <v>115</v>
      </c>
      <c r="E6" t="s">
        <v>116</v>
      </c>
      <c r="F6" s="1">
        <v>46077.543668981481</v>
      </c>
      <c r="G6" t="s">
        <v>67</v>
      </c>
      <c r="H6">
        <v>0</v>
      </c>
      <c r="I6">
        <v>43</v>
      </c>
      <c r="J6">
        <v>70</v>
      </c>
      <c r="K6">
        <v>113</v>
      </c>
      <c r="L6">
        <v>167</v>
      </c>
      <c r="M6">
        <v>247</v>
      </c>
      <c r="N6">
        <v>118</v>
      </c>
      <c r="O6">
        <v>4</v>
      </c>
      <c r="P6">
        <v>5</v>
      </c>
      <c r="Q6">
        <v>4</v>
      </c>
      <c r="R6" t="s">
        <v>117</v>
      </c>
      <c r="S6" t="s">
        <v>118</v>
      </c>
      <c r="T6" t="s">
        <v>119</v>
      </c>
      <c r="U6" t="s">
        <v>120</v>
      </c>
      <c r="V6" t="s">
        <v>121</v>
      </c>
      <c r="W6" t="s">
        <v>122</v>
      </c>
      <c r="X6" t="s">
        <v>38</v>
      </c>
      <c r="Y6" t="b">
        <v>0</v>
      </c>
      <c r="Z6" t="s">
        <v>39</v>
      </c>
      <c r="AA6" t="s">
        <v>123</v>
      </c>
      <c r="AB6" t="s">
        <v>41</v>
      </c>
      <c r="AC6">
        <f t="shared" si="0"/>
        <v>4</v>
      </c>
    </row>
    <row r="7" spans="1:30" x14ac:dyDescent="0.3">
      <c r="A7">
        <v>2172022</v>
      </c>
      <c r="B7" t="s">
        <v>820</v>
      </c>
      <c r="C7" t="s">
        <v>29</v>
      </c>
      <c r="D7" t="s">
        <v>821</v>
      </c>
      <c r="E7" t="s">
        <v>822</v>
      </c>
      <c r="F7" s="1">
        <v>46077.50271990741</v>
      </c>
      <c r="G7" t="s">
        <v>67</v>
      </c>
      <c r="H7">
        <v>0</v>
      </c>
      <c r="I7">
        <v>26</v>
      </c>
      <c r="J7">
        <v>25</v>
      </c>
      <c r="K7">
        <v>51</v>
      </c>
      <c r="L7">
        <v>116</v>
      </c>
      <c r="M7">
        <v>107</v>
      </c>
      <c r="N7">
        <v>815</v>
      </c>
      <c r="O7">
        <v>4</v>
      </c>
      <c r="P7">
        <v>5</v>
      </c>
      <c r="Q7">
        <v>4</v>
      </c>
      <c r="R7" t="s">
        <v>139</v>
      </c>
      <c r="S7" t="s">
        <v>823</v>
      </c>
      <c r="T7" t="s">
        <v>190</v>
      </c>
      <c r="U7" t="s">
        <v>120</v>
      </c>
      <c r="V7" t="s">
        <v>824</v>
      </c>
      <c r="W7" t="s">
        <v>825</v>
      </c>
      <c r="X7" t="s">
        <v>38</v>
      </c>
      <c r="Y7" t="b">
        <v>0</v>
      </c>
      <c r="Z7" t="s">
        <v>39</v>
      </c>
      <c r="AA7" t="s">
        <v>826</v>
      </c>
      <c r="AB7" t="s">
        <v>41</v>
      </c>
      <c r="AC7">
        <f t="shared" si="0"/>
        <v>4</v>
      </c>
    </row>
    <row r="8" spans="1:30" x14ac:dyDescent="0.3">
      <c r="A8">
        <v>2172022</v>
      </c>
      <c r="B8" t="s">
        <v>2081</v>
      </c>
      <c r="C8" t="s">
        <v>29</v>
      </c>
      <c r="D8" t="s">
        <v>2082</v>
      </c>
      <c r="E8" t="s">
        <v>2083</v>
      </c>
      <c r="F8" s="1">
        <v>46126.463402777779</v>
      </c>
      <c r="G8" t="s">
        <v>45</v>
      </c>
      <c r="H8">
        <v>0</v>
      </c>
      <c r="I8">
        <v>140</v>
      </c>
      <c r="J8">
        <v>569</v>
      </c>
      <c r="K8">
        <v>709</v>
      </c>
      <c r="L8">
        <v>487</v>
      </c>
      <c r="M8">
        <v>2164</v>
      </c>
      <c r="N8">
        <v>2376</v>
      </c>
      <c r="O8">
        <v>4</v>
      </c>
      <c r="P8">
        <v>5</v>
      </c>
      <c r="Q8">
        <v>4</v>
      </c>
      <c r="R8" t="s">
        <v>2084</v>
      </c>
      <c r="S8" t="s">
        <v>2085</v>
      </c>
      <c r="T8" t="s">
        <v>2086</v>
      </c>
      <c r="U8" t="s">
        <v>2087</v>
      </c>
      <c r="V8" t="s">
        <v>2088</v>
      </c>
      <c r="W8" t="s">
        <v>2089</v>
      </c>
      <c r="X8" t="s">
        <v>38</v>
      </c>
      <c r="Y8" t="b">
        <v>0</v>
      </c>
      <c r="Z8" t="s">
        <v>39</v>
      </c>
      <c r="AA8" t="s">
        <v>2090</v>
      </c>
      <c r="AB8" t="s">
        <v>41</v>
      </c>
      <c r="AC8">
        <f t="shared" si="0"/>
        <v>4</v>
      </c>
    </row>
    <row r="9" spans="1:30" x14ac:dyDescent="0.3">
      <c r="A9">
        <v>2172022</v>
      </c>
      <c r="B9" t="s">
        <v>2199</v>
      </c>
      <c r="C9" t="s">
        <v>29</v>
      </c>
      <c r="D9" t="s">
        <v>2200</v>
      </c>
      <c r="E9" t="s">
        <v>2201</v>
      </c>
      <c r="F9" s="1">
        <v>46126.480243055557</v>
      </c>
      <c r="G9" t="s">
        <v>45</v>
      </c>
      <c r="H9">
        <v>0</v>
      </c>
      <c r="I9">
        <v>133</v>
      </c>
      <c r="J9">
        <v>12</v>
      </c>
      <c r="K9">
        <v>145</v>
      </c>
      <c r="L9">
        <v>397</v>
      </c>
      <c r="M9">
        <v>44</v>
      </c>
      <c r="N9">
        <v>2535</v>
      </c>
      <c r="O9">
        <v>3</v>
      </c>
      <c r="P9">
        <v>4</v>
      </c>
      <c r="Q9">
        <v>3</v>
      </c>
      <c r="R9" t="s">
        <v>2202</v>
      </c>
      <c r="S9" t="s">
        <v>2203</v>
      </c>
      <c r="T9" t="s">
        <v>2204</v>
      </c>
      <c r="U9" t="s">
        <v>2205</v>
      </c>
      <c r="V9" t="s">
        <v>2206</v>
      </c>
      <c r="W9" t="s">
        <v>2207</v>
      </c>
      <c r="X9" t="s">
        <v>84</v>
      </c>
      <c r="Y9" t="b">
        <v>0</v>
      </c>
      <c r="Z9" t="s">
        <v>39</v>
      </c>
      <c r="AA9" t="s">
        <v>2208</v>
      </c>
      <c r="AB9" t="s">
        <v>41</v>
      </c>
      <c r="AC9">
        <f t="shared" si="0"/>
        <v>3</v>
      </c>
    </row>
    <row r="10" spans="1:30" x14ac:dyDescent="0.3">
      <c r="A10">
        <v>2172022</v>
      </c>
      <c r="B10" t="s">
        <v>2863</v>
      </c>
      <c r="C10" t="s">
        <v>29</v>
      </c>
      <c r="D10" t="s">
        <v>2864</v>
      </c>
      <c r="E10" t="s">
        <v>2865</v>
      </c>
      <c r="F10" s="1">
        <v>46077.54215277778</v>
      </c>
      <c r="G10" t="s">
        <v>67</v>
      </c>
      <c r="H10">
        <v>0</v>
      </c>
      <c r="I10">
        <v>32</v>
      </c>
      <c r="J10">
        <v>143</v>
      </c>
      <c r="K10">
        <v>175</v>
      </c>
      <c r="L10">
        <v>115</v>
      </c>
      <c r="M10">
        <v>494</v>
      </c>
      <c r="N10">
        <v>3291</v>
      </c>
      <c r="O10">
        <v>4</v>
      </c>
      <c r="P10">
        <v>5</v>
      </c>
      <c r="Q10">
        <v>4</v>
      </c>
      <c r="R10" t="s">
        <v>2866</v>
      </c>
      <c r="S10" t="s">
        <v>2867</v>
      </c>
      <c r="T10" t="s">
        <v>2868</v>
      </c>
      <c r="U10" t="s">
        <v>2869</v>
      </c>
      <c r="V10" t="s">
        <v>2870</v>
      </c>
      <c r="W10" t="s">
        <v>2871</v>
      </c>
      <c r="X10" t="s">
        <v>38</v>
      </c>
      <c r="Y10" t="b">
        <v>0</v>
      </c>
      <c r="Z10" t="s">
        <v>39</v>
      </c>
      <c r="AA10" t="s">
        <v>2872</v>
      </c>
      <c r="AB10" t="s">
        <v>41</v>
      </c>
      <c r="AC10">
        <f t="shared" si="0"/>
        <v>4</v>
      </c>
    </row>
    <row r="11" spans="1:30" x14ac:dyDescent="0.3">
      <c r="A11">
        <v>2172022</v>
      </c>
      <c r="B11" t="s">
        <v>3099</v>
      </c>
      <c r="C11" t="s">
        <v>29</v>
      </c>
      <c r="D11" t="s">
        <v>3100</v>
      </c>
      <c r="E11" t="s">
        <v>3101</v>
      </c>
      <c r="F11" s="1">
        <v>46126.48940972222</v>
      </c>
      <c r="G11" t="s">
        <v>45</v>
      </c>
      <c r="H11">
        <v>0</v>
      </c>
      <c r="I11">
        <v>236</v>
      </c>
      <c r="J11">
        <v>295</v>
      </c>
      <c r="K11">
        <v>531</v>
      </c>
      <c r="L11">
        <v>775</v>
      </c>
      <c r="M11">
        <v>1151</v>
      </c>
      <c r="N11">
        <v>3504</v>
      </c>
      <c r="O11">
        <v>3</v>
      </c>
      <c r="P11">
        <v>4</v>
      </c>
      <c r="Q11">
        <v>4</v>
      </c>
      <c r="R11" t="s">
        <v>3102</v>
      </c>
      <c r="S11" t="s">
        <v>3103</v>
      </c>
      <c r="T11" t="s">
        <v>3104</v>
      </c>
      <c r="U11" t="s">
        <v>3105</v>
      </c>
      <c r="V11" t="s">
        <v>3106</v>
      </c>
      <c r="W11" t="s">
        <v>3107</v>
      </c>
      <c r="X11" t="s">
        <v>38</v>
      </c>
      <c r="Y11" t="b">
        <v>0</v>
      </c>
      <c r="Z11" t="s">
        <v>39</v>
      </c>
      <c r="AA11" t="s">
        <v>3108</v>
      </c>
      <c r="AB11" t="s">
        <v>41</v>
      </c>
      <c r="AC11">
        <f t="shared" si="0"/>
        <v>4</v>
      </c>
    </row>
    <row r="12" spans="1:30" x14ac:dyDescent="0.3">
      <c r="A12">
        <v>2172022</v>
      </c>
      <c r="B12" t="s">
        <v>3146</v>
      </c>
      <c r="C12" t="s">
        <v>29</v>
      </c>
      <c r="D12" t="s">
        <v>3147</v>
      </c>
      <c r="E12" t="s">
        <v>3147</v>
      </c>
      <c r="F12" s="1">
        <v>46126.426203703697</v>
      </c>
      <c r="G12" t="s">
        <v>45</v>
      </c>
      <c r="H12">
        <v>0</v>
      </c>
      <c r="I12">
        <v>31</v>
      </c>
      <c r="J12">
        <v>529</v>
      </c>
      <c r="K12">
        <v>560</v>
      </c>
      <c r="L12">
        <v>113</v>
      </c>
      <c r="M12">
        <v>1808</v>
      </c>
      <c r="N12">
        <v>3588</v>
      </c>
      <c r="O12">
        <v>4</v>
      </c>
      <c r="P12">
        <v>5</v>
      </c>
      <c r="Q12">
        <v>5</v>
      </c>
      <c r="R12" t="s">
        <v>3148</v>
      </c>
      <c r="S12" t="s">
        <v>3149</v>
      </c>
      <c r="T12" t="s">
        <v>3150</v>
      </c>
      <c r="U12" t="s">
        <v>362</v>
      </c>
      <c r="V12" t="s">
        <v>3151</v>
      </c>
      <c r="W12" t="s">
        <v>3152</v>
      </c>
      <c r="X12" t="s">
        <v>154</v>
      </c>
      <c r="Y12" t="b">
        <v>0</v>
      </c>
      <c r="Z12" t="s">
        <v>39</v>
      </c>
      <c r="AA12" t="s">
        <v>3153</v>
      </c>
      <c r="AB12" t="s">
        <v>41</v>
      </c>
      <c r="AC12">
        <f t="shared" si="0"/>
        <v>5</v>
      </c>
    </row>
    <row r="13" spans="1:30" x14ac:dyDescent="0.3">
      <c r="A13">
        <v>2172022</v>
      </c>
      <c r="B13" t="s">
        <v>3836</v>
      </c>
      <c r="C13" t="s">
        <v>29</v>
      </c>
      <c r="D13" t="s">
        <v>3837</v>
      </c>
      <c r="E13" t="s">
        <v>3838</v>
      </c>
      <c r="F13" s="1">
        <v>46126.483888888892</v>
      </c>
      <c r="G13" t="s">
        <v>45</v>
      </c>
      <c r="H13">
        <v>0</v>
      </c>
      <c r="I13">
        <v>152</v>
      </c>
      <c r="J13">
        <v>10</v>
      </c>
      <c r="K13">
        <v>162</v>
      </c>
      <c r="L13">
        <v>505</v>
      </c>
      <c r="M13">
        <v>23</v>
      </c>
      <c r="N13">
        <v>4434</v>
      </c>
      <c r="O13">
        <v>3</v>
      </c>
      <c r="P13">
        <v>4</v>
      </c>
      <c r="Q13">
        <v>3</v>
      </c>
      <c r="R13" t="s">
        <v>510</v>
      </c>
      <c r="S13" t="s">
        <v>3839</v>
      </c>
      <c r="T13" t="s">
        <v>3840</v>
      </c>
      <c r="U13" t="s">
        <v>833</v>
      </c>
      <c r="V13" t="s">
        <v>3841</v>
      </c>
      <c r="W13" t="s">
        <v>3842</v>
      </c>
      <c r="X13" t="s">
        <v>84</v>
      </c>
      <c r="Y13" t="b">
        <v>0</v>
      </c>
      <c r="Z13" t="s">
        <v>39</v>
      </c>
      <c r="AA13" t="s">
        <v>3843</v>
      </c>
      <c r="AB13" t="s">
        <v>41</v>
      </c>
      <c r="AC13">
        <f t="shared" si="0"/>
        <v>3</v>
      </c>
    </row>
    <row r="14" spans="1:30" x14ac:dyDescent="0.3">
      <c r="A14">
        <v>2172022</v>
      </c>
      <c r="B14" t="s">
        <v>3994</v>
      </c>
      <c r="C14" t="s">
        <v>29</v>
      </c>
      <c r="D14" t="s">
        <v>3995</v>
      </c>
      <c r="E14" t="s">
        <v>3996</v>
      </c>
      <c r="F14" s="1">
        <v>46126.4453587963</v>
      </c>
      <c r="G14" t="s">
        <v>45</v>
      </c>
      <c r="H14">
        <v>0</v>
      </c>
      <c r="I14">
        <v>41</v>
      </c>
      <c r="J14">
        <v>125</v>
      </c>
      <c r="K14">
        <v>166</v>
      </c>
      <c r="L14">
        <v>155</v>
      </c>
      <c r="M14">
        <v>443</v>
      </c>
      <c r="N14">
        <v>4665</v>
      </c>
      <c r="O14">
        <v>4</v>
      </c>
      <c r="P14">
        <v>5</v>
      </c>
      <c r="Q14">
        <v>5</v>
      </c>
      <c r="R14" t="s">
        <v>3997</v>
      </c>
      <c r="S14" t="s">
        <v>3913</v>
      </c>
      <c r="T14" t="s">
        <v>3998</v>
      </c>
      <c r="U14" t="s">
        <v>170</v>
      </c>
      <c r="V14" t="s">
        <v>3999</v>
      </c>
      <c r="W14" t="s">
        <v>247</v>
      </c>
      <c r="X14" t="s">
        <v>154</v>
      </c>
      <c r="Y14" t="b">
        <v>0</v>
      </c>
      <c r="Z14" t="s">
        <v>39</v>
      </c>
      <c r="AA14" t="s">
        <v>4000</v>
      </c>
      <c r="AB14" t="s">
        <v>41</v>
      </c>
      <c r="AC14">
        <f t="shared" si="0"/>
        <v>5</v>
      </c>
    </row>
    <row r="15" spans="1:30" x14ac:dyDescent="0.3">
      <c r="A15">
        <v>2172025</v>
      </c>
      <c r="B15" t="s">
        <v>136</v>
      </c>
      <c r="C15" t="s">
        <v>29</v>
      </c>
      <c r="D15" t="s">
        <v>137</v>
      </c>
      <c r="E15" t="s">
        <v>137</v>
      </c>
      <c r="F15" s="1">
        <v>46099.670335648138</v>
      </c>
      <c r="G15" t="s">
        <v>138</v>
      </c>
      <c r="H15">
        <v>0</v>
      </c>
      <c r="I15">
        <v>78</v>
      </c>
      <c r="J15">
        <v>127</v>
      </c>
      <c r="K15">
        <v>205</v>
      </c>
      <c r="L15">
        <v>280</v>
      </c>
      <c r="M15">
        <v>351</v>
      </c>
      <c r="N15">
        <v>162</v>
      </c>
      <c r="O15">
        <v>4</v>
      </c>
      <c r="P15">
        <v>5</v>
      </c>
      <c r="Q15">
        <v>4</v>
      </c>
      <c r="R15" t="s">
        <v>139</v>
      </c>
      <c r="S15" t="s">
        <v>140</v>
      </c>
      <c r="T15" t="s">
        <v>141</v>
      </c>
      <c r="U15" t="s">
        <v>125</v>
      </c>
      <c r="V15" t="s">
        <v>142</v>
      </c>
      <c r="W15" t="s">
        <v>143</v>
      </c>
      <c r="X15" t="s">
        <v>38</v>
      </c>
      <c r="Y15" t="b">
        <v>0</v>
      </c>
      <c r="Z15" t="s">
        <v>39</v>
      </c>
      <c r="AA15" t="s">
        <v>144</v>
      </c>
      <c r="AB15" t="s">
        <v>41</v>
      </c>
      <c r="AC15">
        <f t="shared" si="0"/>
        <v>4</v>
      </c>
    </row>
    <row r="16" spans="1:30" x14ac:dyDescent="0.3">
      <c r="A16">
        <v>2172025</v>
      </c>
      <c r="B16" t="s">
        <v>491</v>
      </c>
      <c r="C16" t="s">
        <v>29</v>
      </c>
      <c r="D16" t="s">
        <v>492</v>
      </c>
      <c r="E16" t="s">
        <v>492</v>
      </c>
      <c r="F16" s="1">
        <v>46099.623900462961</v>
      </c>
      <c r="G16" t="s">
        <v>138</v>
      </c>
      <c r="H16">
        <v>0</v>
      </c>
      <c r="I16">
        <v>42</v>
      </c>
      <c r="J16">
        <v>262</v>
      </c>
      <c r="K16">
        <v>304</v>
      </c>
      <c r="L16">
        <v>145</v>
      </c>
      <c r="M16">
        <v>871</v>
      </c>
      <c r="N16">
        <v>454</v>
      </c>
      <c r="O16">
        <v>4</v>
      </c>
      <c r="P16">
        <v>5</v>
      </c>
      <c r="Q16">
        <v>4</v>
      </c>
      <c r="R16" t="s">
        <v>139</v>
      </c>
      <c r="S16" t="s">
        <v>387</v>
      </c>
      <c r="T16" t="s">
        <v>493</v>
      </c>
      <c r="U16" t="s">
        <v>494</v>
      </c>
      <c r="V16" t="s">
        <v>495</v>
      </c>
      <c r="W16" t="s">
        <v>496</v>
      </c>
      <c r="X16" t="s">
        <v>38</v>
      </c>
      <c r="Y16" t="b">
        <v>0</v>
      </c>
      <c r="Z16" t="s">
        <v>39</v>
      </c>
      <c r="AA16" t="s">
        <v>497</v>
      </c>
      <c r="AB16" t="s">
        <v>41</v>
      </c>
      <c r="AC16">
        <f t="shared" si="0"/>
        <v>4</v>
      </c>
    </row>
    <row r="17" spans="1:29" x14ac:dyDescent="0.3">
      <c r="A17">
        <v>2172025</v>
      </c>
      <c r="B17" t="s">
        <v>550</v>
      </c>
      <c r="C17" t="s">
        <v>29</v>
      </c>
      <c r="D17" t="s">
        <v>551</v>
      </c>
      <c r="E17" t="s">
        <v>551</v>
      </c>
      <c r="F17" s="1">
        <v>46127.596712962957</v>
      </c>
      <c r="G17" t="s">
        <v>45</v>
      </c>
      <c r="H17">
        <v>0</v>
      </c>
      <c r="I17">
        <v>204</v>
      </c>
      <c r="J17">
        <v>99</v>
      </c>
      <c r="K17">
        <v>303</v>
      </c>
      <c r="L17">
        <v>665</v>
      </c>
      <c r="M17">
        <v>357</v>
      </c>
      <c r="N17">
        <v>517</v>
      </c>
      <c r="O17">
        <v>3</v>
      </c>
      <c r="P17">
        <v>4</v>
      </c>
      <c r="Q17">
        <v>3</v>
      </c>
      <c r="R17" t="s">
        <v>552</v>
      </c>
      <c r="S17" t="s">
        <v>553</v>
      </c>
      <c r="T17" t="s">
        <v>554</v>
      </c>
      <c r="U17" t="s">
        <v>555</v>
      </c>
      <c r="V17" t="s">
        <v>556</v>
      </c>
      <c r="W17" t="s">
        <v>557</v>
      </c>
      <c r="X17" t="s">
        <v>38</v>
      </c>
      <c r="Y17" t="b">
        <v>0</v>
      </c>
      <c r="Z17" t="s">
        <v>39</v>
      </c>
      <c r="AA17" t="s">
        <v>558</v>
      </c>
      <c r="AB17" t="s">
        <v>41</v>
      </c>
      <c r="AC17">
        <f t="shared" si="0"/>
        <v>4</v>
      </c>
    </row>
    <row r="18" spans="1:29" x14ac:dyDescent="0.3">
      <c r="A18">
        <v>2172025</v>
      </c>
      <c r="B18" t="s">
        <v>1748</v>
      </c>
      <c r="C18" t="s">
        <v>29</v>
      </c>
      <c r="D18" t="s">
        <v>1749</v>
      </c>
      <c r="E18" t="s">
        <v>1750</v>
      </c>
      <c r="F18" s="1">
        <v>46127.627870370372</v>
      </c>
      <c r="G18" t="s">
        <v>45</v>
      </c>
      <c r="H18">
        <v>0</v>
      </c>
      <c r="I18">
        <v>155</v>
      </c>
      <c r="J18">
        <v>757</v>
      </c>
      <c r="K18">
        <v>912</v>
      </c>
      <c r="L18">
        <v>482</v>
      </c>
      <c r="M18">
        <v>2578</v>
      </c>
      <c r="N18">
        <v>1953</v>
      </c>
      <c r="O18">
        <v>4</v>
      </c>
      <c r="P18">
        <v>5</v>
      </c>
      <c r="Q18">
        <v>5</v>
      </c>
      <c r="R18" t="s">
        <v>1751</v>
      </c>
      <c r="S18" t="s">
        <v>1752</v>
      </c>
      <c r="T18" t="s">
        <v>1753</v>
      </c>
      <c r="U18" t="s">
        <v>151</v>
      </c>
      <c r="V18" t="s">
        <v>1754</v>
      </c>
      <c r="W18" t="s">
        <v>391</v>
      </c>
      <c r="X18" t="s">
        <v>154</v>
      </c>
      <c r="Y18" t="b">
        <v>0</v>
      </c>
      <c r="Z18" t="s">
        <v>39</v>
      </c>
      <c r="AA18" t="s">
        <v>1755</v>
      </c>
      <c r="AB18" t="s">
        <v>41</v>
      </c>
      <c r="AC18">
        <f t="shared" si="0"/>
        <v>5</v>
      </c>
    </row>
    <row r="19" spans="1:29" x14ac:dyDescent="0.3">
      <c r="A19">
        <v>2172025</v>
      </c>
      <c r="B19" t="s">
        <v>1984</v>
      </c>
      <c r="C19" t="s">
        <v>29</v>
      </c>
      <c r="D19" t="s">
        <v>1985</v>
      </c>
      <c r="E19" t="s">
        <v>1985</v>
      </c>
      <c r="F19" s="1">
        <v>46099.672013888892</v>
      </c>
      <c r="G19" t="s">
        <v>138</v>
      </c>
      <c r="H19">
        <v>0</v>
      </c>
      <c r="I19">
        <v>32</v>
      </c>
      <c r="J19">
        <v>91</v>
      </c>
      <c r="K19">
        <v>123</v>
      </c>
      <c r="L19">
        <v>145</v>
      </c>
      <c r="M19">
        <v>323</v>
      </c>
      <c r="N19">
        <v>2302</v>
      </c>
      <c r="O19">
        <v>4</v>
      </c>
      <c r="P19">
        <v>5</v>
      </c>
      <c r="Q19">
        <v>4</v>
      </c>
      <c r="R19" t="s">
        <v>1986</v>
      </c>
      <c r="S19" t="s">
        <v>1987</v>
      </c>
      <c r="T19" t="s">
        <v>493</v>
      </c>
      <c r="U19" t="s">
        <v>1988</v>
      </c>
      <c r="V19" t="s">
        <v>1989</v>
      </c>
      <c r="W19" t="s">
        <v>1990</v>
      </c>
      <c r="X19" t="s">
        <v>38</v>
      </c>
      <c r="Y19" t="b">
        <v>0</v>
      </c>
      <c r="Z19" t="s">
        <v>39</v>
      </c>
      <c r="AA19" t="s">
        <v>1991</v>
      </c>
      <c r="AB19" t="s">
        <v>41</v>
      </c>
      <c r="AC19">
        <f t="shared" si="0"/>
        <v>4</v>
      </c>
    </row>
    <row r="20" spans="1:29" x14ac:dyDescent="0.3">
      <c r="A20">
        <v>2172025</v>
      </c>
      <c r="B20" t="s">
        <v>2047</v>
      </c>
      <c r="C20" t="s">
        <v>29</v>
      </c>
      <c r="D20" t="s">
        <v>2048</v>
      </c>
      <c r="E20" t="s">
        <v>2048</v>
      </c>
      <c r="F20" s="1">
        <v>46092.641458333332</v>
      </c>
      <c r="G20" t="s">
        <v>31</v>
      </c>
      <c r="H20">
        <v>0</v>
      </c>
      <c r="I20">
        <v>45</v>
      </c>
      <c r="J20">
        <v>115</v>
      </c>
      <c r="K20">
        <v>160</v>
      </c>
      <c r="L20">
        <v>138</v>
      </c>
      <c r="M20">
        <v>322</v>
      </c>
      <c r="N20">
        <v>2359</v>
      </c>
      <c r="O20">
        <v>3</v>
      </c>
      <c r="P20">
        <v>5</v>
      </c>
      <c r="Q20">
        <v>4</v>
      </c>
      <c r="R20" t="s">
        <v>2049</v>
      </c>
      <c r="S20" t="s">
        <v>2050</v>
      </c>
      <c r="T20" t="s">
        <v>2051</v>
      </c>
      <c r="U20" t="s">
        <v>2052</v>
      </c>
      <c r="V20" t="s">
        <v>2053</v>
      </c>
      <c r="W20" t="s">
        <v>2054</v>
      </c>
      <c r="X20" t="s">
        <v>38</v>
      </c>
      <c r="Y20" t="b">
        <v>0</v>
      </c>
      <c r="Z20" t="s">
        <v>39</v>
      </c>
      <c r="AA20" t="s">
        <v>2055</v>
      </c>
      <c r="AB20" t="s">
        <v>41</v>
      </c>
      <c r="AC20">
        <f t="shared" si="0"/>
        <v>4</v>
      </c>
    </row>
    <row r="21" spans="1:29" x14ac:dyDescent="0.3">
      <c r="A21">
        <v>2172025</v>
      </c>
      <c r="B21" t="s">
        <v>2624</v>
      </c>
      <c r="C21" t="s">
        <v>29</v>
      </c>
      <c r="D21" t="s">
        <v>2625</v>
      </c>
      <c r="E21" t="s">
        <v>2625</v>
      </c>
      <c r="F21" s="1">
        <v>46099.669548611113</v>
      </c>
      <c r="G21" t="s">
        <v>138</v>
      </c>
      <c r="H21">
        <v>0</v>
      </c>
      <c r="I21">
        <v>81</v>
      </c>
      <c r="J21">
        <v>125</v>
      </c>
      <c r="K21">
        <v>206</v>
      </c>
      <c r="L21">
        <v>347</v>
      </c>
      <c r="M21">
        <v>375</v>
      </c>
      <c r="N21">
        <v>2943</v>
      </c>
      <c r="O21">
        <v>4</v>
      </c>
      <c r="P21">
        <v>5</v>
      </c>
      <c r="Q21">
        <v>4</v>
      </c>
      <c r="R21" t="s">
        <v>32</v>
      </c>
      <c r="S21" t="s">
        <v>1702</v>
      </c>
      <c r="T21" t="s">
        <v>2626</v>
      </c>
      <c r="U21" t="s">
        <v>200</v>
      </c>
      <c r="V21" t="s">
        <v>2627</v>
      </c>
      <c r="W21" t="s">
        <v>143</v>
      </c>
      <c r="X21" t="s">
        <v>38</v>
      </c>
      <c r="Y21" t="b">
        <v>0</v>
      </c>
      <c r="Z21" t="s">
        <v>39</v>
      </c>
      <c r="AA21" t="s">
        <v>2628</v>
      </c>
      <c r="AB21" t="s">
        <v>41</v>
      </c>
      <c r="AC21">
        <f t="shared" si="0"/>
        <v>4</v>
      </c>
    </row>
    <row r="22" spans="1:29" x14ac:dyDescent="0.3">
      <c r="A22">
        <v>2172025</v>
      </c>
      <c r="B22" t="s">
        <v>2656</v>
      </c>
      <c r="C22" t="s">
        <v>29</v>
      </c>
      <c r="D22" t="s">
        <v>2657</v>
      </c>
      <c r="E22" t="s">
        <v>2657</v>
      </c>
      <c r="F22" s="1">
        <v>46099.675405092603</v>
      </c>
      <c r="G22" t="s">
        <v>138</v>
      </c>
      <c r="H22">
        <v>0</v>
      </c>
      <c r="I22">
        <v>31</v>
      </c>
      <c r="J22">
        <v>85</v>
      </c>
      <c r="K22">
        <v>116</v>
      </c>
      <c r="L22">
        <v>144</v>
      </c>
      <c r="M22">
        <v>300</v>
      </c>
      <c r="N22">
        <v>3002</v>
      </c>
      <c r="O22">
        <v>3</v>
      </c>
      <c r="P22">
        <v>4</v>
      </c>
      <c r="Q22">
        <v>4</v>
      </c>
      <c r="R22" t="s">
        <v>1235</v>
      </c>
      <c r="S22" t="s">
        <v>2658</v>
      </c>
      <c r="T22" t="s">
        <v>2659</v>
      </c>
      <c r="U22" t="s">
        <v>2660</v>
      </c>
      <c r="V22" t="s">
        <v>2661</v>
      </c>
      <c r="W22" t="s">
        <v>2662</v>
      </c>
      <c r="X22" t="s">
        <v>38</v>
      </c>
      <c r="Y22" t="b">
        <v>0</v>
      </c>
      <c r="Z22" t="s">
        <v>39</v>
      </c>
      <c r="AA22" t="s">
        <v>2663</v>
      </c>
      <c r="AB22" t="s">
        <v>41</v>
      </c>
      <c r="AC22">
        <f t="shared" si="0"/>
        <v>4</v>
      </c>
    </row>
    <row r="23" spans="1:29" x14ac:dyDescent="0.3">
      <c r="A23">
        <v>2172025</v>
      </c>
      <c r="B23" t="s">
        <v>2838</v>
      </c>
      <c r="C23" t="s">
        <v>29</v>
      </c>
      <c r="D23" t="s">
        <v>2839</v>
      </c>
      <c r="E23" t="s">
        <v>2840</v>
      </c>
      <c r="F23" s="1">
        <v>46127.562835648147</v>
      </c>
      <c r="G23" t="s">
        <v>45</v>
      </c>
      <c r="H23">
        <v>0</v>
      </c>
      <c r="I23">
        <v>48</v>
      </c>
      <c r="J23">
        <v>26</v>
      </c>
      <c r="K23">
        <v>74</v>
      </c>
      <c r="L23">
        <v>123</v>
      </c>
      <c r="M23">
        <v>71</v>
      </c>
      <c r="N23">
        <v>3232</v>
      </c>
      <c r="O23">
        <v>2</v>
      </c>
      <c r="P23">
        <v>3</v>
      </c>
      <c r="Q23">
        <v>2</v>
      </c>
      <c r="R23" t="s">
        <v>2841</v>
      </c>
      <c r="S23" t="s">
        <v>2842</v>
      </c>
      <c r="T23" t="s">
        <v>2843</v>
      </c>
      <c r="U23" t="s">
        <v>2844</v>
      </c>
      <c r="V23" t="s">
        <v>2845</v>
      </c>
      <c r="W23" t="s">
        <v>2846</v>
      </c>
      <c r="X23" t="s">
        <v>84</v>
      </c>
      <c r="Y23" t="b">
        <v>0</v>
      </c>
      <c r="Z23" t="s">
        <v>39</v>
      </c>
      <c r="AA23" t="s">
        <v>2847</v>
      </c>
      <c r="AB23" t="s">
        <v>41</v>
      </c>
      <c r="AC23">
        <f t="shared" si="0"/>
        <v>3</v>
      </c>
    </row>
    <row r="24" spans="1:29" x14ac:dyDescent="0.3">
      <c r="A24">
        <v>2172025</v>
      </c>
      <c r="B24" t="s">
        <v>2892</v>
      </c>
      <c r="C24" t="s">
        <v>29</v>
      </c>
      <c r="D24" t="s">
        <v>2893</v>
      </c>
      <c r="E24" t="s">
        <v>2893</v>
      </c>
      <c r="F24" s="1">
        <v>46099.667222222219</v>
      </c>
      <c r="G24" t="s">
        <v>138</v>
      </c>
      <c r="H24">
        <v>0</v>
      </c>
      <c r="I24">
        <v>106</v>
      </c>
      <c r="J24">
        <v>138</v>
      </c>
      <c r="K24">
        <v>244</v>
      </c>
      <c r="L24">
        <v>310</v>
      </c>
      <c r="M24">
        <v>443</v>
      </c>
      <c r="N24">
        <v>3313</v>
      </c>
      <c r="O24">
        <v>4</v>
      </c>
      <c r="P24">
        <v>5</v>
      </c>
      <c r="Q24">
        <v>4</v>
      </c>
      <c r="R24" t="s">
        <v>2894</v>
      </c>
      <c r="S24" t="s">
        <v>2895</v>
      </c>
      <c r="T24" t="s">
        <v>2896</v>
      </c>
      <c r="U24" t="s">
        <v>2897</v>
      </c>
      <c r="V24" t="s">
        <v>2898</v>
      </c>
      <c r="W24" t="s">
        <v>2899</v>
      </c>
      <c r="X24" t="s">
        <v>38</v>
      </c>
      <c r="Y24" t="b">
        <v>0</v>
      </c>
      <c r="Z24" t="s">
        <v>39</v>
      </c>
      <c r="AA24" t="s">
        <v>2900</v>
      </c>
      <c r="AB24" t="s">
        <v>41</v>
      </c>
      <c r="AC24">
        <f t="shared" si="0"/>
        <v>4</v>
      </c>
    </row>
    <row r="25" spans="1:29" x14ac:dyDescent="0.3">
      <c r="A25">
        <v>2172025</v>
      </c>
      <c r="B25" t="s">
        <v>3081</v>
      </c>
      <c r="C25" t="s">
        <v>29</v>
      </c>
      <c r="D25" t="s">
        <v>3082</v>
      </c>
      <c r="E25" t="s">
        <v>3083</v>
      </c>
      <c r="F25" s="1">
        <v>46127.633553240739</v>
      </c>
      <c r="G25" t="s">
        <v>45</v>
      </c>
      <c r="H25">
        <v>0</v>
      </c>
      <c r="I25">
        <v>113</v>
      </c>
      <c r="J25">
        <v>1053</v>
      </c>
      <c r="K25">
        <v>1166</v>
      </c>
      <c r="L25">
        <v>326</v>
      </c>
      <c r="M25">
        <v>3780</v>
      </c>
      <c r="N25">
        <v>3496</v>
      </c>
      <c r="O25">
        <v>3</v>
      </c>
      <c r="P25">
        <v>2</v>
      </c>
      <c r="Q25">
        <v>2</v>
      </c>
      <c r="R25" t="s">
        <v>510</v>
      </c>
      <c r="S25" t="s">
        <v>3084</v>
      </c>
      <c r="T25" t="s">
        <v>3085</v>
      </c>
      <c r="U25" t="s">
        <v>3086</v>
      </c>
      <c r="V25" t="s">
        <v>3087</v>
      </c>
      <c r="W25" t="s">
        <v>3088</v>
      </c>
      <c r="X25" t="s">
        <v>126</v>
      </c>
      <c r="Y25" t="b">
        <v>0</v>
      </c>
      <c r="Z25" t="s">
        <v>39</v>
      </c>
      <c r="AA25" t="s">
        <v>3089</v>
      </c>
      <c r="AB25" t="s">
        <v>41</v>
      </c>
      <c r="AC25">
        <f t="shared" si="0"/>
        <v>1</v>
      </c>
    </row>
    <row r="26" spans="1:29" x14ac:dyDescent="0.3">
      <c r="A26">
        <v>2172025</v>
      </c>
      <c r="B26" t="s">
        <v>3115</v>
      </c>
      <c r="C26" t="s">
        <v>29</v>
      </c>
      <c r="D26" t="s">
        <v>3116</v>
      </c>
      <c r="E26" t="s">
        <v>3116</v>
      </c>
      <c r="F26" s="1">
        <v>46099.632175925923</v>
      </c>
      <c r="G26" t="s">
        <v>138</v>
      </c>
      <c r="H26">
        <v>0</v>
      </c>
      <c r="I26">
        <v>95</v>
      </c>
      <c r="J26">
        <v>470</v>
      </c>
      <c r="K26">
        <v>565</v>
      </c>
      <c r="L26">
        <v>365</v>
      </c>
      <c r="M26">
        <v>1500</v>
      </c>
      <c r="N26">
        <v>3563</v>
      </c>
      <c r="O26">
        <v>4</v>
      </c>
      <c r="P26">
        <v>5</v>
      </c>
      <c r="Q26">
        <v>5</v>
      </c>
      <c r="R26" t="s">
        <v>3117</v>
      </c>
      <c r="S26" t="s">
        <v>3118</v>
      </c>
      <c r="T26" t="s">
        <v>3119</v>
      </c>
      <c r="U26" t="s">
        <v>362</v>
      </c>
      <c r="V26" t="s">
        <v>3120</v>
      </c>
      <c r="W26" t="s">
        <v>3121</v>
      </c>
      <c r="X26" t="s">
        <v>154</v>
      </c>
      <c r="Y26" t="b">
        <v>0</v>
      </c>
      <c r="Z26" t="s">
        <v>39</v>
      </c>
      <c r="AA26" t="s">
        <v>3122</v>
      </c>
      <c r="AB26" t="s">
        <v>41</v>
      </c>
      <c r="AC26">
        <f t="shared" si="0"/>
        <v>5</v>
      </c>
    </row>
    <row r="27" spans="1:29" x14ac:dyDescent="0.3">
      <c r="A27">
        <v>2172025</v>
      </c>
      <c r="B27" t="s">
        <v>3200</v>
      </c>
      <c r="C27" t="s">
        <v>29</v>
      </c>
      <c r="D27" t="s">
        <v>3201</v>
      </c>
      <c r="E27" t="s">
        <v>3201</v>
      </c>
      <c r="F27" s="1">
        <v>46113.616342592592</v>
      </c>
      <c r="G27" t="s">
        <v>304</v>
      </c>
      <c r="H27">
        <v>0</v>
      </c>
      <c r="I27">
        <v>119</v>
      </c>
      <c r="J27">
        <v>210</v>
      </c>
      <c r="K27">
        <v>329</v>
      </c>
      <c r="L27">
        <v>429</v>
      </c>
      <c r="M27">
        <v>685</v>
      </c>
      <c r="N27">
        <v>3629</v>
      </c>
      <c r="O27">
        <v>4</v>
      </c>
      <c r="P27">
        <v>5</v>
      </c>
      <c r="Q27">
        <v>4</v>
      </c>
      <c r="R27" t="s">
        <v>3202</v>
      </c>
      <c r="S27" t="s">
        <v>1569</v>
      </c>
      <c r="T27" t="s">
        <v>3203</v>
      </c>
      <c r="U27" t="s">
        <v>3204</v>
      </c>
      <c r="V27" t="s">
        <v>3205</v>
      </c>
      <c r="W27" t="s">
        <v>3206</v>
      </c>
      <c r="X27" t="s">
        <v>38</v>
      </c>
      <c r="Y27" t="b">
        <v>0</v>
      </c>
      <c r="Z27" t="s">
        <v>39</v>
      </c>
      <c r="AA27" t="s">
        <v>3207</v>
      </c>
      <c r="AB27" t="s">
        <v>41</v>
      </c>
      <c r="AC27">
        <f t="shared" si="0"/>
        <v>4</v>
      </c>
    </row>
    <row r="28" spans="1:29" x14ac:dyDescent="0.3">
      <c r="A28">
        <v>2172025</v>
      </c>
      <c r="B28" t="s">
        <v>3290</v>
      </c>
      <c r="C28" t="s">
        <v>29</v>
      </c>
      <c r="D28" t="s">
        <v>3291</v>
      </c>
      <c r="E28" t="s">
        <v>3291</v>
      </c>
      <c r="F28" s="1">
        <v>46085.654340277782</v>
      </c>
      <c r="G28" t="s">
        <v>177</v>
      </c>
      <c r="H28">
        <v>0</v>
      </c>
      <c r="I28">
        <v>708</v>
      </c>
      <c r="J28">
        <v>226</v>
      </c>
      <c r="K28">
        <v>934</v>
      </c>
      <c r="L28">
        <v>2284</v>
      </c>
      <c r="M28">
        <v>710</v>
      </c>
      <c r="N28">
        <v>3753</v>
      </c>
      <c r="O28">
        <v>4</v>
      </c>
      <c r="P28">
        <v>4</v>
      </c>
      <c r="Q28">
        <v>4</v>
      </c>
      <c r="R28" t="s">
        <v>3292</v>
      </c>
      <c r="S28" t="s">
        <v>208</v>
      </c>
      <c r="T28" t="s">
        <v>3293</v>
      </c>
      <c r="U28" t="s">
        <v>3294</v>
      </c>
      <c r="V28" t="s">
        <v>3295</v>
      </c>
      <c r="W28" t="s">
        <v>3296</v>
      </c>
      <c r="X28" t="s">
        <v>38</v>
      </c>
      <c r="Y28" t="b">
        <v>0</v>
      </c>
      <c r="Z28" t="s">
        <v>39</v>
      </c>
      <c r="AA28" t="s">
        <v>3297</v>
      </c>
      <c r="AB28" t="s">
        <v>41</v>
      </c>
      <c r="AC28">
        <f t="shared" si="0"/>
        <v>4</v>
      </c>
    </row>
    <row r="29" spans="1:29" x14ac:dyDescent="0.3">
      <c r="A29">
        <v>2172025</v>
      </c>
      <c r="B29" t="s">
        <v>3298</v>
      </c>
      <c r="C29" t="s">
        <v>29</v>
      </c>
      <c r="D29" t="s">
        <v>3299</v>
      </c>
      <c r="E29" t="s">
        <v>3299</v>
      </c>
      <c r="F29" s="1">
        <v>46113.634571759263</v>
      </c>
      <c r="G29" t="s">
        <v>304</v>
      </c>
      <c r="H29">
        <v>0</v>
      </c>
      <c r="I29">
        <v>161</v>
      </c>
      <c r="J29">
        <v>546</v>
      </c>
      <c r="K29">
        <v>707</v>
      </c>
      <c r="L29">
        <v>578</v>
      </c>
      <c r="M29">
        <v>1839</v>
      </c>
      <c r="N29">
        <v>3760</v>
      </c>
      <c r="O29">
        <v>4</v>
      </c>
      <c r="P29">
        <v>5</v>
      </c>
      <c r="Q29">
        <v>4</v>
      </c>
      <c r="R29" t="s">
        <v>3300</v>
      </c>
      <c r="S29" t="s">
        <v>3301</v>
      </c>
      <c r="T29" t="s">
        <v>3302</v>
      </c>
      <c r="U29" t="s">
        <v>3303</v>
      </c>
      <c r="V29" t="s">
        <v>3304</v>
      </c>
      <c r="W29" t="s">
        <v>3305</v>
      </c>
      <c r="X29" t="s">
        <v>38</v>
      </c>
      <c r="Y29" t="b">
        <v>0</v>
      </c>
      <c r="Z29" t="s">
        <v>39</v>
      </c>
      <c r="AA29" t="s">
        <v>3306</v>
      </c>
      <c r="AB29" t="s">
        <v>41</v>
      </c>
      <c r="AC29">
        <f t="shared" si="0"/>
        <v>4</v>
      </c>
    </row>
    <row r="30" spans="1:29" x14ac:dyDescent="0.3">
      <c r="A30">
        <v>2172025</v>
      </c>
      <c r="B30" t="s">
        <v>3360</v>
      </c>
      <c r="C30" t="s">
        <v>29</v>
      </c>
      <c r="D30" t="s">
        <v>3361</v>
      </c>
      <c r="E30" t="s">
        <v>3362</v>
      </c>
      <c r="F30" s="1">
        <v>46127.608483796299</v>
      </c>
      <c r="G30" t="s">
        <v>45</v>
      </c>
      <c r="H30">
        <v>0</v>
      </c>
      <c r="I30">
        <v>168</v>
      </c>
      <c r="J30">
        <v>243</v>
      </c>
      <c r="K30">
        <v>411</v>
      </c>
      <c r="L30">
        <v>514</v>
      </c>
      <c r="M30">
        <v>840</v>
      </c>
      <c r="N30">
        <v>3845</v>
      </c>
      <c r="O30">
        <v>3</v>
      </c>
      <c r="P30">
        <v>4</v>
      </c>
      <c r="Q30">
        <v>4</v>
      </c>
      <c r="R30" t="s">
        <v>3363</v>
      </c>
      <c r="S30" t="s">
        <v>3364</v>
      </c>
      <c r="T30" t="s">
        <v>3365</v>
      </c>
      <c r="U30" t="s">
        <v>3366</v>
      </c>
      <c r="V30" t="s">
        <v>3367</v>
      </c>
      <c r="W30" t="s">
        <v>3368</v>
      </c>
      <c r="X30" t="s">
        <v>38</v>
      </c>
      <c r="Y30" t="b">
        <v>0</v>
      </c>
      <c r="Z30" t="s">
        <v>39</v>
      </c>
      <c r="AA30" t="s">
        <v>3369</v>
      </c>
      <c r="AB30" t="s">
        <v>41</v>
      </c>
      <c r="AC30">
        <f t="shared" si="0"/>
        <v>4</v>
      </c>
    </row>
    <row r="31" spans="1:29" x14ac:dyDescent="0.3">
      <c r="A31">
        <v>2172025</v>
      </c>
      <c r="B31" t="s">
        <v>3370</v>
      </c>
      <c r="C31" t="s">
        <v>29</v>
      </c>
      <c r="D31" t="s">
        <v>3371</v>
      </c>
      <c r="E31" t="s">
        <v>3371</v>
      </c>
      <c r="F31" s="1">
        <v>46099.620636574073</v>
      </c>
      <c r="G31" t="s">
        <v>138</v>
      </c>
      <c r="H31">
        <v>0</v>
      </c>
      <c r="I31">
        <v>271</v>
      </c>
      <c r="J31">
        <v>129</v>
      </c>
      <c r="K31">
        <v>400</v>
      </c>
      <c r="L31">
        <v>933</v>
      </c>
      <c r="M31">
        <v>414</v>
      </c>
      <c r="N31">
        <v>3854</v>
      </c>
      <c r="O31">
        <v>4</v>
      </c>
      <c r="P31">
        <v>4</v>
      </c>
      <c r="Q31">
        <v>4</v>
      </c>
      <c r="R31" t="s">
        <v>3117</v>
      </c>
      <c r="S31" t="s">
        <v>179</v>
      </c>
      <c r="T31" t="s">
        <v>3372</v>
      </c>
      <c r="U31" t="s">
        <v>3373</v>
      </c>
      <c r="V31" t="s">
        <v>3374</v>
      </c>
      <c r="W31" t="s">
        <v>3375</v>
      </c>
      <c r="X31" t="s">
        <v>38</v>
      </c>
      <c r="Y31" t="b">
        <v>0</v>
      </c>
      <c r="Z31" t="s">
        <v>39</v>
      </c>
      <c r="AA31" t="s">
        <v>3376</v>
      </c>
      <c r="AB31" t="s">
        <v>41</v>
      </c>
      <c r="AC31">
        <f t="shared" si="0"/>
        <v>4</v>
      </c>
    </row>
    <row r="32" spans="1:29" x14ac:dyDescent="0.3">
      <c r="A32">
        <v>2172025</v>
      </c>
      <c r="B32" t="s">
        <v>3469</v>
      </c>
      <c r="C32" t="s">
        <v>29</v>
      </c>
      <c r="D32" t="s">
        <v>3470</v>
      </c>
      <c r="E32" t="s">
        <v>3471</v>
      </c>
      <c r="F32" s="1">
        <v>46078.69189814815</v>
      </c>
      <c r="G32" t="s">
        <v>67</v>
      </c>
      <c r="H32">
        <v>0</v>
      </c>
      <c r="I32">
        <v>63</v>
      </c>
      <c r="J32">
        <v>292</v>
      </c>
      <c r="K32">
        <v>355</v>
      </c>
      <c r="L32">
        <v>226</v>
      </c>
      <c r="M32">
        <v>1084</v>
      </c>
      <c r="N32">
        <v>3991</v>
      </c>
      <c r="O32">
        <v>3</v>
      </c>
      <c r="P32">
        <v>4</v>
      </c>
      <c r="Q32">
        <v>4</v>
      </c>
      <c r="R32" t="s">
        <v>3472</v>
      </c>
      <c r="S32" t="s">
        <v>3473</v>
      </c>
      <c r="T32" t="s">
        <v>3474</v>
      </c>
      <c r="U32" t="s">
        <v>3475</v>
      </c>
      <c r="V32" t="s">
        <v>3476</v>
      </c>
      <c r="W32" t="s">
        <v>3477</v>
      </c>
      <c r="X32" t="s">
        <v>38</v>
      </c>
      <c r="Y32" t="b">
        <v>0</v>
      </c>
      <c r="Z32" t="s">
        <v>39</v>
      </c>
      <c r="AA32" t="s">
        <v>3478</v>
      </c>
      <c r="AB32" t="s">
        <v>41</v>
      </c>
      <c r="AC32">
        <f t="shared" si="0"/>
        <v>4</v>
      </c>
    </row>
    <row r="33" spans="1:29" x14ac:dyDescent="0.3">
      <c r="A33">
        <v>2172025</v>
      </c>
      <c r="B33" t="s">
        <v>3556</v>
      </c>
      <c r="C33" t="s">
        <v>29</v>
      </c>
      <c r="D33" t="s">
        <v>3557</v>
      </c>
      <c r="E33" t="s">
        <v>3558</v>
      </c>
      <c r="F33" s="1">
        <v>46092.635405092587</v>
      </c>
      <c r="G33" t="s">
        <v>31</v>
      </c>
      <c r="H33">
        <v>0</v>
      </c>
      <c r="I33">
        <v>150</v>
      </c>
      <c r="J33">
        <v>638</v>
      </c>
      <c r="K33">
        <v>788</v>
      </c>
      <c r="L33">
        <v>555</v>
      </c>
      <c r="M33">
        <v>2283</v>
      </c>
      <c r="N33">
        <v>4060</v>
      </c>
      <c r="O33">
        <v>4</v>
      </c>
      <c r="P33">
        <v>5</v>
      </c>
      <c r="Q33">
        <v>4</v>
      </c>
      <c r="R33" t="s">
        <v>3559</v>
      </c>
      <c r="S33" t="s">
        <v>729</v>
      </c>
      <c r="T33" t="s">
        <v>3560</v>
      </c>
      <c r="U33" t="s">
        <v>3561</v>
      </c>
      <c r="V33" t="s">
        <v>3562</v>
      </c>
      <c r="W33" t="s">
        <v>3563</v>
      </c>
      <c r="X33" t="s">
        <v>38</v>
      </c>
      <c r="Y33" t="b">
        <v>0</v>
      </c>
      <c r="Z33" t="s">
        <v>39</v>
      </c>
      <c r="AA33" t="s">
        <v>3564</v>
      </c>
      <c r="AB33" t="s">
        <v>41</v>
      </c>
      <c r="AC33">
        <f t="shared" si="0"/>
        <v>4</v>
      </c>
    </row>
    <row r="34" spans="1:29" x14ac:dyDescent="0.3">
      <c r="A34">
        <v>2272017</v>
      </c>
      <c r="B34" t="s">
        <v>1633</v>
      </c>
      <c r="C34" t="s">
        <v>29</v>
      </c>
      <c r="D34" t="s">
        <v>1634</v>
      </c>
      <c r="E34" t="s">
        <v>1635</v>
      </c>
      <c r="F34" s="1">
        <v>46092.695138888892</v>
      </c>
      <c r="G34" t="s">
        <v>31</v>
      </c>
      <c r="H34">
        <v>0</v>
      </c>
      <c r="I34">
        <v>101</v>
      </c>
      <c r="J34">
        <v>29</v>
      </c>
      <c r="K34">
        <v>130</v>
      </c>
      <c r="L34">
        <v>337</v>
      </c>
      <c r="M34">
        <v>86</v>
      </c>
      <c r="N34">
        <v>1803</v>
      </c>
      <c r="O34">
        <v>3</v>
      </c>
      <c r="P34">
        <v>4</v>
      </c>
      <c r="Q34">
        <v>3</v>
      </c>
      <c r="R34" t="s">
        <v>1636</v>
      </c>
      <c r="S34" t="s">
        <v>1637</v>
      </c>
      <c r="T34" t="s">
        <v>1638</v>
      </c>
      <c r="U34" t="s">
        <v>1639</v>
      </c>
      <c r="V34" t="s">
        <v>1640</v>
      </c>
      <c r="W34" t="s">
        <v>1641</v>
      </c>
      <c r="X34" t="s">
        <v>84</v>
      </c>
      <c r="Y34" t="b">
        <v>0</v>
      </c>
      <c r="Z34" t="s">
        <v>39</v>
      </c>
      <c r="AA34" t="s">
        <v>1642</v>
      </c>
      <c r="AB34" t="s">
        <v>41</v>
      </c>
      <c r="AC34">
        <f t="shared" si="0"/>
        <v>3</v>
      </c>
    </row>
    <row r="35" spans="1:29" x14ac:dyDescent="0.3">
      <c r="A35">
        <v>2372004</v>
      </c>
      <c r="B35" t="s">
        <v>1037</v>
      </c>
      <c r="C35" t="s">
        <v>29</v>
      </c>
      <c r="D35" t="s">
        <v>1038</v>
      </c>
      <c r="E35" t="s">
        <v>1038</v>
      </c>
      <c r="F35" s="1">
        <v>46112.477673611109</v>
      </c>
      <c r="G35" t="s">
        <v>304</v>
      </c>
      <c r="H35">
        <v>0</v>
      </c>
      <c r="I35">
        <v>37</v>
      </c>
      <c r="J35">
        <v>257</v>
      </c>
      <c r="K35">
        <v>294</v>
      </c>
      <c r="L35">
        <v>114</v>
      </c>
      <c r="M35">
        <v>963</v>
      </c>
      <c r="N35">
        <v>1030</v>
      </c>
      <c r="O35">
        <v>4</v>
      </c>
      <c r="P35">
        <v>5</v>
      </c>
      <c r="Q35">
        <v>5</v>
      </c>
      <c r="R35" t="s">
        <v>1039</v>
      </c>
      <c r="S35" t="s">
        <v>1040</v>
      </c>
      <c r="T35" t="s">
        <v>1041</v>
      </c>
      <c r="U35" t="s">
        <v>1042</v>
      </c>
      <c r="V35" t="s">
        <v>1043</v>
      </c>
      <c r="W35" t="s">
        <v>1044</v>
      </c>
      <c r="X35" t="s">
        <v>154</v>
      </c>
      <c r="Y35" t="b">
        <v>0</v>
      </c>
      <c r="Z35" t="s">
        <v>39</v>
      </c>
      <c r="AA35" t="s">
        <v>1045</v>
      </c>
      <c r="AB35" t="s">
        <v>41</v>
      </c>
      <c r="AC35">
        <f t="shared" si="0"/>
        <v>5</v>
      </c>
    </row>
    <row r="36" spans="1:29" x14ac:dyDescent="0.3">
      <c r="A36">
        <v>2372004</v>
      </c>
      <c r="B36" t="s">
        <v>1851</v>
      </c>
      <c r="C36" t="s">
        <v>29</v>
      </c>
      <c r="D36" t="s">
        <v>1852</v>
      </c>
      <c r="E36" t="s">
        <v>1853</v>
      </c>
      <c r="F36" s="1">
        <v>46098.512696759259</v>
      </c>
      <c r="G36" t="s">
        <v>138</v>
      </c>
      <c r="H36">
        <v>0</v>
      </c>
      <c r="I36">
        <v>66</v>
      </c>
      <c r="J36">
        <v>36</v>
      </c>
      <c r="K36">
        <v>102</v>
      </c>
      <c r="L36">
        <v>251</v>
      </c>
      <c r="M36">
        <v>168</v>
      </c>
      <c r="N36">
        <v>2054</v>
      </c>
      <c r="O36">
        <v>4</v>
      </c>
      <c r="P36">
        <v>5</v>
      </c>
      <c r="Q36">
        <v>4</v>
      </c>
      <c r="R36" t="s">
        <v>1736</v>
      </c>
      <c r="S36" t="s">
        <v>1854</v>
      </c>
      <c r="T36" t="s">
        <v>1855</v>
      </c>
      <c r="U36" t="s">
        <v>125</v>
      </c>
      <c r="V36" t="s">
        <v>1856</v>
      </c>
      <c r="W36" t="s">
        <v>1712</v>
      </c>
      <c r="X36" t="s">
        <v>38</v>
      </c>
      <c r="Y36" t="b">
        <v>0</v>
      </c>
      <c r="Z36" t="s">
        <v>39</v>
      </c>
      <c r="AA36" t="s">
        <v>1857</v>
      </c>
      <c r="AB36" t="s">
        <v>41</v>
      </c>
      <c r="AC36">
        <f t="shared" si="0"/>
        <v>4</v>
      </c>
    </row>
    <row r="37" spans="1:29" x14ac:dyDescent="0.3">
      <c r="A37">
        <v>2372004</v>
      </c>
      <c r="B37" t="s">
        <v>1992</v>
      </c>
      <c r="C37" t="s">
        <v>29</v>
      </c>
      <c r="D37" t="s">
        <v>1993</v>
      </c>
      <c r="E37" t="s">
        <v>1994</v>
      </c>
      <c r="F37" s="1">
        <v>46126.400289351863</v>
      </c>
      <c r="G37" t="s">
        <v>45</v>
      </c>
      <c r="H37">
        <v>0</v>
      </c>
      <c r="I37">
        <v>35</v>
      </c>
      <c r="J37">
        <v>14</v>
      </c>
      <c r="K37">
        <v>49</v>
      </c>
      <c r="L37">
        <v>126</v>
      </c>
      <c r="M37">
        <v>58</v>
      </c>
      <c r="N37">
        <v>2304</v>
      </c>
      <c r="O37">
        <v>2</v>
      </c>
      <c r="P37">
        <v>3</v>
      </c>
      <c r="Q37">
        <v>2</v>
      </c>
      <c r="R37" t="s">
        <v>1995</v>
      </c>
      <c r="S37" t="s">
        <v>1996</v>
      </c>
      <c r="T37" t="s">
        <v>1997</v>
      </c>
      <c r="U37" t="s">
        <v>1998</v>
      </c>
      <c r="V37" t="s">
        <v>1999</v>
      </c>
      <c r="W37" t="s">
        <v>2000</v>
      </c>
      <c r="X37" t="s">
        <v>126</v>
      </c>
      <c r="Y37" t="b">
        <v>0</v>
      </c>
      <c r="Z37" t="s">
        <v>39</v>
      </c>
      <c r="AA37" t="s">
        <v>2001</v>
      </c>
      <c r="AB37" t="s">
        <v>41</v>
      </c>
      <c r="AC37">
        <f t="shared" si="0"/>
        <v>1</v>
      </c>
    </row>
    <row r="38" spans="1:29" x14ac:dyDescent="0.3">
      <c r="A38">
        <v>2372004</v>
      </c>
      <c r="B38" t="s">
        <v>2171</v>
      </c>
      <c r="C38" t="s">
        <v>29</v>
      </c>
      <c r="D38" t="s">
        <v>1852</v>
      </c>
      <c r="E38" t="s">
        <v>1853</v>
      </c>
      <c r="F38" s="1">
        <v>46098.514409722222</v>
      </c>
      <c r="G38" t="s">
        <v>138</v>
      </c>
      <c r="H38">
        <v>0</v>
      </c>
      <c r="I38">
        <v>66</v>
      </c>
      <c r="J38">
        <v>36</v>
      </c>
      <c r="K38">
        <v>102</v>
      </c>
      <c r="L38">
        <v>252</v>
      </c>
      <c r="M38">
        <v>168</v>
      </c>
      <c r="N38">
        <v>2502</v>
      </c>
      <c r="O38">
        <v>4</v>
      </c>
      <c r="P38">
        <v>5</v>
      </c>
      <c r="Q38">
        <v>5</v>
      </c>
      <c r="R38" t="s">
        <v>1736</v>
      </c>
      <c r="S38" t="s">
        <v>1702</v>
      </c>
      <c r="T38" t="s">
        <v>2172</v>
      </c>
      <c r="U38" t="s">
        <v>125</v>
      </c>
      <c r="V38" t="s">
        <v>2173</v>
      </c>
      <c r="W38" t="s">
        <v>2174</v>
      </c>
      <c r="X38" t="s">
        <v>154</v>
      </c>
      <c r="Y38" t="b">
        <v>0</v>
      </c>
      <c r="Z38" t="s">
        <v>39</v>
      </c>
      <c r="AA38" t="s">
        <v>2175</v>
      </c>
      <c r="AB38" t="s">
        <v>41</v>
      </c>
      <c r="AC38">
        <f t="shared" si="0"/>
        <v>5</v>
      </c>
    </row>
    <row r="39" spans="1:29" x14ac:dyDescent="0.3">
      <c r="A39">
        <v>2372004</v>
      </c>
      <c r="B39" t="s">
        <v>3053</v>
      </c>
      <c r="C39" t="s">
        <v>29</v>
      </c>
      <c r="D39" t="s">
        <v>3054</v>
      </c>
      <c r="E39" t="s">
        <v>3055</v>
      </c>
      <c r="F39" s="1">
        <v>46098.534039351849</v>
      </c>
      <c r="G39" t="s">
        <v>138</v>
      </c>
      <c r="H39">
        <v>0</v>
      </c>
      <c r="I39">
        <v>51</v>
      </c>
      <c r="J39">
        <v>55</v>
      </c>
      <c r="K39">
        <v>106</v>
      </c>
      <c r="L39">
        <v>179</v>
      </c>
      <c r="M39">
        <v>217</v>
      </c>
      <c r="N39">
        <v>3480</v>
      </c>
      <c r="O39">
        <v>3</v>
      </c>
      <c r="P39">
        <v>4</v>
      </c>
      <c r="Q39">
        <v>3</v>
      </c>
      <c r="R39" t="s">
        <v>3056</v>
      </c>
      <c r="S39" t="s">
        <v>3057</v>
      </c>
      <c r="T39" t="s">
        <v>3058</v>
      </c>
      <c r="U39" t="s">
        <v>3059</v>
      </c>
      <c r="V39" t="s">
        <v>3060</v>
      </c>
      <c r="W39" t="s">
        <v>3061</v>
      </c>
      <c r="X39" t="s">
        <v>84</v>
      </c>
      <c r="Y39" t="b">
        <v>0</v>
      </c>
      <c r="Z39" t="s">
        <v>39</v>
      </c>
      <c r="AA39" t="s">
        <v>3062</v>
      </c>
      <c r="AB39" t="s">
        <v>41</v>
      </c>
      <c r="AC39">
        <f t="shared" si="0"/>
        <v>3</v>
      </c>
    </row>
    <row r="40" spans="1:29" x14ac:dyDescent="0.3">
      <c r="A40">
        <v>2372004</v>
      </c>
      <c r="B40" t="s">
        <v>3978</v>
      </c>
      <c r="C40" t="s">
        <v>29</v>
      </c>
      <c r="D40" t="s">
        <v>3979</v>
      </c>
      <c r="E40" t="s">
        <v>3979</v>
      </c>
      <c r="F40" s="1">
        <v>46126.404918981483</v>
      </c>
      <c r="G40" t="s">
        <v>45</v>
      </c>
      <c r="H40">
        <v>0</v>
      </c>
      <c r="I40">
        <v>31</v>
      </c>
      <c r="J40">
        <v>6</v>
      </c>
      <c r="K40">
        <v>37</v>
      </c>
      <c r="L40">
        <v>122</v>
      </c>
      <c r="M40">
        <v>7</v>
      </c>
      <c r="N40">
        <v>4659</v>
      </c>
      <c r="O40">
        <v>2</v>
      </c>
      <c r="P40">
        <v>3</v>
      </c>
      <c r="Q40">
        <v>2</v>
      </c>
      <c r="R40" t="s">
        <v>3980</v>
      </c>
      <c r="S40" t="s">
        <v>3981</v>
      </c>
      <c r="T40" t="s">
        <v>3982</v>
      </c>
      <c r="U40" t="s">
        <v>3245</v>
      </c>
      <c r="V40" t="s">
        <v>3983</v>
      </c>
      <c r="W40" t="s">
        <v>3984</v>
      </c>
      <c r="X40" t="s">
        <v>84</v>
      </c>
      <c r="Y40" t="b">
        <v>0</v>
      </c>
      <c r="Z40" t="s">
        <v>39</v>
      </c>
      <c r="AA40" t="s">
        <v>3985</v>
      </c>
      <c r="AB40" t="s">
        <v>41</v>
      </c>
      <c r="AC40">
        <f t="shared" si="0"/>
        <v>3</v>
      </c>
    </row>
    <row r="41" spans="1:29" x14ac:dyDescent="0.3">
      <c r="A41">
        <v>2372006</v>
      </c>
      <c r="B41" t="s">
        <v>507</v>
      </c>
      <c r="C41" t="s">
        <v>29</v>
      </c>
      <c r="D41" t="s">
        <v>508</v>
      </c>
      <c r="E41" t="s">
        <v>509</v>
      </c>
      <c r="F41" s="1">
        <v>46127.612430555557</v>
      </c>
      <c r="G41" t="s">
        <v>45</v>
      </c>
      <c r="H41">
        <v>0</v>
      </c>
      <c r="I41">
        <v>103</v>
      </c>
      <c r="J41">
        <v>1036</v>
      </c>
      <c r="K41">
        <v>1139</v>
      </c>
      <c r="L41">
        <v>432</v>
      </c>
      <c r="M41">
        <v>4064</v>
      </c>
      <c r="N41">
        <v>459</v>
      </c>
      <c r="O41">
        <v>3</v>
      </c>
      <c r="P41">
        <v>2</v>
      </c>
      <c r="Q41">
        <v>2</v>
      </c>
      <c r="R41" t="s">
        <v>510</v>
      </c>
      <c r="S41" t="s">
        <v>511</v>
      </c>
      <c r="T41" t="s">
        <v>512</v>
      </c>
      <c r="U41" t="s">
        <v>513</v>
      </c>
      <c r="V41" t="s">
        <v>514</v>
      </c>
      <c r="W41" t="s">
        <v>515</v>
      </c>
      <c r="X41" t="s">
        <v>84</v>
      </c>
      <c r="Y41" t="b">
        <v>0</v>
      </c>
      <c r="Z41" t="s">
        <v>39</v>
      </c>
      <c r="AA41" t="s">
        <v>516</v>
      </c>
      <c r="AB41" t="s">
        <v>41</v>
      </c>
      <c r="AC41">
        <f t="shared" si="0"/>
        <v>3</v>
      </c>
    </row>
    <row r="42" spans="1:29" x14ac:dyDescent="0.3">
      <c r="A42">
        <v>2372006</v>
      </c>
      <c r="B42" t="s">
        <v>852</v>
      </c>
      <c r="C42" t="s">
        <v>29</v>
      </c>
      <c r="D42" t="s">
        <v>853</v>
      </c>
      <c r="E42" t="s">
        <v>854</v>
      </c>
      <c r="F42" s="1">
        <v>46113.56354166667</v>
      </c>
      <c r="G42" t="s">
        <v>304</v>
      </c>
      <c r="H42">
        <v>0</v>
      </c>
      <c r="I42">
        <v>163</v>
      </c>
      <c r="J42">
        <v>270</v>
      </c>
      <c r="K42">
        <v>433</v>
      </c>
      <c r="L42">
        <v>510</v>
      </c>
      <c r="M42">
        <v>856</v>
      </c>
      <c r="N42">
        <v>840</v>
      </c>
      <c r="O42">
        <v>5</v>
      </c>
      <c r="P42">
        <v>5</v>
      </c>
      <c r="Q42">
        <v>5</v>
      </c>
      <c r="R42" t="s">
        <v>855</v>
      </c>
      <c r="S42" t="s">
        <v>125</v>
      </c>
      <c r="T42" t="s">
        <v>856</v>
      </c>
      <c r="U42" t="s">
        <v>125</v>
      </c>
      <c r="V42" t="s">
        <v>857</v>
      </c>
      <c r="W42" t="s">
        <v>858</v>
      </c>
      <c r="X42" t="s">
        <v>154</v>
      </c>
      <c r="Y42" t="b">
        <v>0</v>
      </c>
      <c r="Z42" t="s">
        <v>39</v>
      </c>
      <c r="AA42" t="s">
        <v>859</v>
      </c>
      <c r="AB42" t="s">
        <v>41</v>
      </c>
      <c r="AC42">
        <f t="shared" si="0"/>
        <v>5</v>
      </c>
    </row>
    <row r="43" spans="1:29" x14ac:dyDescent="0.3">
      <c r="A43">
        <v>2372006</v>
      </c>
      <c r="B43" t="s">
        <v>1897</v>
      </c>
      <c r="C43" t="s">
        <v>29</v>
      </c>
      <c r="D43" t="s">
        <v>1898</v>
      </c>
      <c r="E43" t="s">
        <v>1899</v>
      </c>
      <c r="F43" s="1">
        <v>46078.657002314823</v>
      </c>
      <c r="G43" t="s">
        <v>67</v>
      </c>
      <c r="H43">
        <v>0</v>
      </c>
      <c r="I43">
        <v>91</v>
      </c>
      <c r="J43">
        <v>518</v>
      </c>
      <c r="K43">
        <v>609</v>
      </c>
      <c r="L43">
        <v>354</v>
      </c>
      <c r="M43">
        <v>2257</v>
      </c>
      <c r="N43">
        <v>2145</v>
      </c>
      <c r="O43">
        <v>4</v>
      </c>
      <c r="P43">
        <v>5</v>
      </c>
      <c r="Q43">
        <v>5</v>
      </c>
      <c r="R43" t="s">
        <v>1900</v>
      </c>
      <c r="S43" t="s">
        <v>1901</v>
      </c>
      <c r="T43" t="s">
        <v>1902</v>
      </c>
      <c r="U43" t="s">
        <v>1903</v>
      </c>
      <c r="V43" t="s">
        <v>1904</v>
      </c>
      <c r="W43" t="s">
        <v>1905</v>
      </c>
      <c r="X43" t="s">
        <v>154</v>
      </c>
      <c r="Y43" t="b">
        <v>0</v>
      </c>
      <c r="Z43" t="s">
        <v>39</v>
      </c>
      <c r="AA43" t="s">
        <v>1906</v>
      </c>
      <c r="AB43" t="s">
        <v>41</v>
      </c>
      <c r="AC43">
        <f t="shared" si="0"/>
        <v>5</v>
      </c>
    </row>
    <row r="44" spans="1:29" x14ac:dyDescent="0.3">
      <c r="A44">
        <v>2372006</v>
      </c>
      <c r="B44" t="s">
        <v>3043</v>
      </c>
      <c r="C44" t="s">
        <v>29</v>
      </c>
      <c r="D44" t="s">
        <v>3044</v>
      </c>
      <c r="E44" t="s">
        <v>3045</v>
      </c>
      <c r="F44" s="1">
        <v>46078.685983796298</v>
      </c>
      <c r="G44" t="s">
        <v>67</v>
      </c>
      <c r="H44">
        <v>0</v>
      </c>
      <c r="I44">
        <v>61</v>
      </c>
      <c r="J44">
        <v>390</v>
      </c>
      <c r="K44">
        <v>451</v>
      </c>
      <c r="L44">
        <v>186</v>
      </c>
      <c r="M44">
        <v>1757</v>
      </c>
      <c r="N44">
        <v>3474</v>
      </c>
      <c r="O44">
        <v>3</v>
      </c>
      <c r="P44">
        <v>4</v>
      </c>
      <c r="Q44">
        <v>3</v>
      </c>
      <c r="R44" t="s">
        <v>3046</v>
      </c>
      <c r="S44" t="s">
        <v>3047</v>
      </c>
      <c r="T44" t="s">
        <v>3048</v>
      </c>
      <c r="U44" t="s">
        <v>3049</v>
      </c>
      <c r="V44" t="s">
        <v>3050</v>
      </c>
      <c r="W44" t="s">
        <v>3051</v>
      </c>
      <c r="X44" t="s">
        <v>38</v>
      </c>
      <c r="Y44" t="b">
        <v>0</v>
      </c>
      <c r="Z44" t="s">
        <v>39</v>
      </c>
      <c r="AA44" t="s">
        <v>3052</v>
      </c>
      <c r="AB44" t="s">
        <v>41</v>
      </c>
      <c r="AC44">
        <f t="shared" si="0"/>
        <v>4</v>
      </c>
    </row>
    <row r="45" spans="1:29" x14ac:dyDescent="0.3">
      <c r="A45">
        <v>2372012</v>
      </c>
      <c r="B45" t="s">
        <v>989</v>
      </c>
      <c r="C45" t="s">
        <v>29</v>
      </c>
      <c r="D45" t="s">
        <v>990</v>
      </c>
      <c r="E45" t="s">
        <v>991</v>
      </c>
      <c r="F45" s="1">
        <v>46091.514432870368</v>
      </c>
      <c r="G45" t="s">
        <v>31</v>
      </c>
      <c r="H45">
        <v>0</v>
      </c>
      <c r="I45">
        <v>28</v>
      </c>
      <c r="J45">
        <v>12</v>
      </c>
      <c r="K45">
        <v>40</v>
      </c>
      <c r="L45">
        <v>114</v>
      </c>
      <c r="M45">
        <v>40</v>
      </c>
      <c r="N45">
        <v>946</v>
      </c>
      <c r="O45">
        <v>3</v>
      </c>
      <c r="P45">
        <v>2</v>
      </c>
      <c r="Q45">
        <v>2</v>
      </c>
      <c r="R45" t="s">
        <v>992</v>
      </c>
      <c r="S45" t="s">
        <v>993</v>
      </c>
      <c r="T45" t="s">
        <v>994</v>
      </c>
      <c r="U45" t="s">
        <v>995</v>
      </c>
      <c r="V45" t="s">
        <v>996</v>
      </c>
      <c r="W45" t="s">
        <v>997</v>
      </c>
      <c r="X45" t="s">
        <v>84</v>
      </c>
      <c r="Y45" t="b">
        <v>0</v>
      </c>
      <c r="Z45" t="s">
        <v>39</v>
      </c>
      <c r="AA45" t="s">
        <v>998</v>
      </c>
      <c r="AB45" t="s">
        <v>41</v>
      </c>
      <c r="AC45">
        <f t="shared" si="0"/>
        <v>3</v>
      </c>
    </row>
    <row r="46" spans="1:29" x14ac:dyDescent="0.3">
      <c r="A46">
        <v>2372012</v>
      </c>
      <c r="B46" t="s">
        <v>1127</v>
      </c>
      <c r="C46" t="s">
        <v>29</v>
      </c>
      <c r="D46" t="s">
        <v>1128</v>
      </c>
      <c r="E46" t="s">
        <v>1129</v>
      </c>
      <c r="F46" s="1">
        <v>46091.491342592592</v>
      </c>
      <c r="G46" t="s">
        <v>31</v>
      </c>
      <c r="H46">
        <v>0</v>
      </c>
      <c r="I46">
        <v>87</v>
      </c>
      <c r="J46">
        <v>71</v>
      </c>
      <c r="K46">
        <v>158</v>
      </c>
      <c r="L46">
        <v>323</v>
      </c>
      <c r="M46">
        <v>262</v>
      </c>
      <c r="N46">
        <v>1159</v>
      </c>
      <c r="O46">
        <v>4</v>
      </c>
      <c r="P46">
        <v>5</v>
      </c>
      <c r="Q46">
        <v>4</v>
      </c>
      <c r="R46" t="s">
        <v>1130</v>
      </c>
      <c r="S46" t="s">
        <v>387</v>
      </c>
      <c r="T46" t="s">
        <v>986</v>
      </c>
      <c r="U46" t="s">
        <v>1131</v>
      </c>
      <c r="V46" t="s">
        <v>1132</v>
      </c>
      <c r="W46" t="s">
        <v>1133</v>
      </c>
      <c r="X46" t="s">
        <v>154</v>
      </c>
      <c r="Y46" t="b">
        <v>0</v>
      </c>
      <c r="Z46" t="s">
        <v>39</v>
      </c>
      <c r="AA46" t="s">
        <v>1134</v>
      </c>
      <c r="AB46" t="s">
        <v>41</v>
      </c>
      <c r="AC46">
        <f t="shared" si="0"/>
        <v>5</v>
      </c>
    </row>
    <row r="47" spans="1:29" x14ac:dyDescent="0.3">
      <c r="A47">
        <v>2372012</v>
      </c>
      <c r="B47" t="s">
        <v>1202</v>
      </c>
      <c r="C47" t="s">
        <v>29</v>
      </c>
      <c r="D47" t="s">
        <v>1203</v>
      </c>
      <c r="E47" t="s">
        <v>1204</v>
      </c>
      <c r="F47" s="1">
        <v>46098.492731481478</v>
      </c>
      <c r="G47" t="s">
        <v>138</v>
      </c>
      <c r="H47">
        <v>0</v>
      </c>
      <c r="I47">
        <v>85</v>
      </c>
      <c r="J47">
        <v>54</v>
      </c>
      <c r="K47">
        <v>139</v>
      </c>
      <c r="L47">
        <v>433</v>
      </c>
      <c r="M47">
        <v>160</v>
      </c>
      <c r="N47">
        <v>1287</v>
      </c>
      <c r="O47">
        <v>4</v>
      </c>
      <c r="P47">
        <v>4</v>
      </c>
      <c r="Q47">
        <v>4</v>
      </c>
      <c r="R47" t="s">
        <v>1205</v>
      </c>
      <c r="S47" t="s">
        <v>1206</v>
      </c>
      <c r="T47" t="s">
        <v>1207</v>
      </c>
      <c r="U47" t="s">
        <v>1208</v>
      </c>
      <c r="V47" t="s">
        <v>1209</v>
      </c>
      <c r="W47" t="s">
        <v>1210</v>
      </c>
      <c r="X47" t="s">
        <v>38</v>
      </c>
      <c r="Y47" t="b">
        <v>0</v>
      </c>
      <c r="Z47" t="s">
        <v>39</v>
      </c>
      <c r="AA47" t="s">
        <v>1211</v>
      </c>
      <c r="AB47" t="s">
        <v>41</v>
      </c>
      <c r="AC47">
        <f t="shared" si="0"/>
        <v>4</v>
      </c>
    </row>
    <row r="48" spans="1:29" x14ac:dyDescent="0.3">
      <c r="A48">
        <v>2372012</v>
      </c>
      <c r="B48" t="s">
        <v>1774</v>
      </c>
      <c r="C48" t="s">
        <v>29</v>
      </c>
      <c r="D48" t="s">
        <v>1775</v>
      </c>
      <c r="E48" t="s">
        <v>1776</v>
      </c>
      <c r="F48" s="1">
        <v>46091.516145833331</v>
      </c>
      <c r="G48" t="s">
        <v>31</v>
      </c>
      <c r="H48">
        <v>0</v>
      </c>
      <c r="I48">
        <v>32</v>
      </c>
      <c r="J48">
        <v>21</v>
      </c>
      <c r="K48">
        <v>53</v>
      </c>
      <c r="L48">
        <v>122</v>
      </c>
      <c r="M48">
        <v>84</v>
      </c>
      <c r="N48">
        <v>1976</v>
      </c>
      <c r="O48">
        <v>4</v>
      </c>
      <c r="P48">
        <v>4</v>
      </c>
      <c r="Q48">
        <v>4</v>
      </c>
      <c r="R48" t="s">
        <v>1467</v>
      </c>
      <c r="S48" t="s">
        <v>1777</v>
      </c>
      <c r="T48" t="s">
        <v>1778</v>
      </c>
      <c r="U48" t="s">
        <v>1779</v>
      </c>
      <c r="V48" t="s">
        <v>1780</v>
      </c>
      <c r="W48" t="s">
        <v>1781</v>
      </c>
      <c r="X48" t="s">
        <v>38</v>
      </c>
      <c r="Y48" t="b">
        <v>0</v>
      </c>
      <c r="Z48" t="s">
        <v>39</v>
      </c>
      <c r="AA48" t="s">
        <v>1782</v>
      </c>
      <c r="AB48" t="s">
        <v>41</v>
      </c>
      <c r="AC48">
        <f t="shared" si="0"/>
        <v>4</v>
      </c>
    </row>
    <row r="49" spans="1:29" x14ac:dyDescent="0.3">
      <c r="A49">
        <v>2372012</v>
      </c>
      <c r="B49" t="s">
        <v>2033</v>
      </c>
      <c r="C49" t="s">
        <v>29</v>
      </c>
      <c r="D49" t="s">
        <v>2034</v>
      </c>
      <c r="E49" t="s">
        <v>2035</v>
      </c>
      <c r="F49" s="1">
        <v>46098.491203703707</v>
      </c>
      <c r="G49" t="s">
        <v>138</v>
      </c>
      <c r="H49">
        <v>0</v>
      </c>
      <c r="I49">
        <v>91</v>
      </c>
      <c r="J49">
        <v>16</v>
      </c>
      <c r="K49">
        <v>107</v>
      </c>
      <c r="L49">
        <v>277</v>
      </c>
      <c r="M49">
        <v>57</v>
      </c>
      <c r="N49">
        <v>2347</v>
      </c>
      <c r="O49">
        <v>4</v>
      </c>
      <c r="P49">
        <v>5</v>
      </c>
      <c r="Q49">
        <v>4</v>
      </c>
      <c r="R49" t="s">
        <v>139</v>
      </c>
      <c r="S49" t="s">
        <v>1777</v>
      </c>
      <c r="T49" t="s">
        <v>1499</v>
      </c>
      <c r="U49" t="s">
        <v>125</v>
      </c>
      <c r="V49" t="s">
        <v>2036</v>
      </c>
      <c r="W49" t="s">
        <v>2037</v>
      </c>
      <c r="X49" t="s">
        <v>38</v>
      </c>
      <c r="Y49" t="b">
        <v>0</v>
      </c>
      <c r="Z49" t="s">
        <v>39</v>
      </c>
      <c r="AA49" t="s">
        <v>2038</v>
      </c>
      <c r="AB49" t="s">
        <v>41</v>
      </c>
      <c r="AC49">
        <f t="shared" si="0"/>
        <v>4</v>
      </c>
    </row>
    <row r="50" spans="1:29" x14ac:dyDescent="0.3">
      <c r="A50">
        <v>2372012</v>
      </c>
      <c r="B50" t="s">
        <v>2323</v>
      </c>
      <c r="C50" t="s">
        <v>29</v>
      </c>
      <c r="D50" t="s">
        <v>2324</v>
      </c>
      <c r="E50" t="s">
        <v>2325</v>
      </c>
      <c r="F50" s="1">
        <v>46084.495983796303</v>
      </c>
      <c r="G50" t="s">
        <v>177</v>
      </c>
      <c r="H50">
        <v>0</v>
      </c>
      <c r="I50">
        <v>270</v>
      </c>
      <c r="J50">
        <v>139</v>
      </c>
      <c r="K50">
        <v>409</v>
      </c>
      <c r="L50">
        <v>1240</v>
      </c>
      <c r="M50">
        <v>637</v>
      </c>
      <c r="N50">
        <v>2659</v>
      </c>
      <c r="O50">
        <v>3</v>
      </c>
      <c r="P50">
        <v>4</v>
      </c>
      <c r="Q50">
        <v>3</v>
      </c>
      <c r="R50" t="s">
        <v>2326</v>
      </c>
      <c r="S50" t="s">
        <v>2327</v>
      </c>
      <c r="T50" t="s">
        <v>2328</v>
      </c>
      <c r="U50" t="s">
        <v>2329</v>
      </c>
      <c r="V50" t="s">
        <v>2330</v>
      </c>
      <c r="W50" t="s">
        <v>2331</v>
      </c>
      <c r="X50" t="s">
        <v>38</v>
      </c>
      <c r="Y50" t="b">
        <v>0</v>
      </c>
      <c r="Z50" t="s">
        <v>39</v>
      </c>
      <c r="AA50" t="s">
        <v>2332</v>
      </c>
      <c r="AB50" t="s">
        <v>41</v>
      </c>
      <c r="AC50">
        <f t="shared" si="0"/>
        <v>4</v>
      </c>
    </row>
    <row r="51" spans="1:29" x14ac:dyDescent="0.3">
      <c r="A51">
        <v>2372012</v>
      </c>
      <c r="B51" t="s">
        <v>2629</v>
      </c>
      <c r="C51" t="s">
        <v>29</v>
      </c>
      <c r="D51" t="s">
        <v>2630</v>
      </c>
      <c r="E51" t="s">
        <v>2631</v>
      </c>
      <c r="F51" s="1">
        <v>46077.525902777779</v>
      </c>
      <c r="G51" t="s">
        <v>67</v>
      </c>
      <c r="H51">
        <v>0</v>
      </c>
      <c r="I51">
        <v>86</v>
      </c>
      <c r="J51">
        <v>588</v>
      </c>
      <c r="K51">
        <v>674</v>
      </c>
      <c r="L51">
        <v>328</v>
      </c>
      <c r="M51">
        <v>2617</v>
      </c>
      <c r="N51">
        <v>2951</v>
      </c>
      <c r="O51">
        <v>3</v>
      </c>
      <c r="P51">
        <v>5</v>
      </c>
      <c r="Q51">
        <v>4</v>
      </c>
      <c r="R51" t="s">
        <v>2632</v>
      </c>
      <c r="S51" t="s">
        <v>2633</v>
      </c>
      <c r="T51" t="s">
        <v>2634</v>
      </c>
      <c r="U51" t="s">
        <v>2635</v>
      </c>
      <c r="V51" t="s">
        <v>2636</v>
      </c>
      <c r="W51" t="s">
        <v>2637</v>
      </c>
      <c r="X51" t="s">
        <v>38</v>
      </c>
      <c r="Y51" t="b">
        <v>0</v>
      </c>
      <c r="Z51" t="s">
        <v>39</v>
      </c>
      <c r="AA51" t="s">
        <v>2638</v>
      </c>
      <c r="AB51" t="s">
        <v>41</v>
      </c>
      <c r="AC51">
        <f t="shared" si="0"/>
        <v>4</v>
      </c>
    </row>
    <row r="52" spans="1:29" x14ac:dyDescent="0.3">
      <c r="A52">
        <v>2372012</v>
      </c>
      <c r="B52" t="s">
        <v>3708</v>
      </c>
      <c r="C52" t="s">
        <v>29</v>
      </c>
      <c r="D52" t="s">
        <v>3709</v>
      </c>
      <c r="E52" t="s">
        <v>3710</v>
      </c>
      <c r="F52" s="1">
        <v>46091.489664351851</v>
      </c>
      <c r="G52" t="s">
        <v>31</v>
      </c>
      <c r="H52">
        <v>0</v>
      </c>
      <c r="I52">
        <v>27</v>
      </c>
      <c r="J52">
        <v>9</v>
      </c>
      <c r="K52">
        <v>36</v>
      </c>
      <c r="L52">
        <v>115</v>
      </c>
      <c r="M52">
        <v>42</v>
      </c>
      <c r="N52">
        <v>4252</v>
      </c>
      <c r="O52">
        <v>4</v>
      </c>
      <c r="P52">
        <v>3</v>
      </c>
      <c r="Q52">
        <v>3</v>
      </c>
      <c r="R52" t="s">
        <v>3711</v>
      </c>
      <c r="S52" t="s">
        <v>3712</v>
      </c>
      <c r="T52" t="s">
        <v>3713</v>
      </c>
      <c r="U52" t="s">
        <v>3714</v>
      </c>
      <c r="V52" t="s">
        <v>3715</v>
      </c>
      <c r="W52" t="s">
        <v>3716</v>
      </c>
      <c r="X52" t="s">
        <v>84</v>
      </c>
      <c r="Y52" t="b">
        <v>0</v>
      </c>
      <c r="Z52" t="s">
        <v>39</v>
      </c>
      <c r="AA52" t="s">
        <v>3717</v>
      </c>
      <c r="AB52" t="s">
        <v>41</v>
      </c>
      <c r="AC52">
        <f t="shared" si="0"/>
        <v>3</v>
      </c>
    </row>
    <row r="53" spans="1:29" x14ac:dyDescent="0.3">
      <c r="A53">
        <v>2372017</v>
      </c>
      <c r="B53" t="s">
        <v>2234</v>
      </c>
      <c r="C53" t="s">
        <v>29</v>
      </c>
      <c r="D53" t="s">
        <v>2235</v>
      </c>
      <c r="E53" t="s">
        <v>2235</v>
      </c>
      <c r="F53" s="1">
        <v>46078.671099537038</v>
      </c>
      <c r="G53" t="s">
        <v>67</v>
      </c>
      <c r="H53">
        <v>0</v>
      </c>
      <c r="I53">
        <v>36</v>
      </c>
      <c r="J53">
        <v>856</v>
      </c>
      <c r="K53">
        <v>892</v>
      </c>
      <c r="L53">
        <v>146</v>
      </c>
      <c r="M53">
        <v>3264</v>
      </c>
      <c r="N53">
        <v>2552</v>
      </c>
      <c r="O53">
        <v>4</v>
      </c>
      <c r="P53">
        <v>5</v>
      </c>
      <c r="Q53">
        <v>5</v>
      </c>
      <c r="R53" t="s">
        <v>909</v>
      </c>
      <c r="S53" t="s">
        <v>1506</v>
      </c>
      <c r="T53" t="s">
        <v>2236</v>
      </c>
      <c r="U53" t="s">
        <v>2237</v>
      </c>
      <c r="V53" t="s">
        <v>2238</v>
      </c>
      <c r="W53" t="s">
        <v>2239</v>
      </c>
      <c r="X53" t="s">
        <v>154</v>
      </c>
      <c r="Y53" t="b">
        <v>0</v>
      </c>
      <c r="Z53" t="s">
        <v>39</v>
      </c>
      <c r="AA53" t="s">
        <v>2240</v>
      </c>
      <c r="AB53" t="s">
        <v>41</v>
      </c>
      <c r="AC53">
        <f t="shared" si="0"/>
        <v>5</v>
      </c>
    </row>
    <row r="54" spans="1:29" x14ac:dyDescent="0.3">
      <c r="A54">
        <v>2372017</v>
      </c>
      <c r="B54" t="s">
        <v>3154</v>
      </c>
      <c r="C54" t="s">
        <v>29</v>
      </c>
      <c r="D54" t="s">
        <v>3155</v>
      </c>
      <c r="E54" t="s">
        <v>3155</v>
      </c>
      <c r="F54" s="1">
        <v>46078.660555555558</v>
      </c>
      <c r="G54" t="s">
        <v>67</v>
      </c>
      <c r="H54">
        <v>0</v>
      </c>
      <c r="I54">
        <v>38</v>
      </c>
      <c r="J54">
        <v>405</v>
      </c>
      <c r="K54">
        <v>443</v>
      </c>
      <c r="L54">
        <v>158</v>
      </c>
      <c r="M54">
        <v>1490</v>
      </c>
      <c r="N54">
        <v>3591</v>
      </c>
      <c r="O54">
        <v>3</v>
      </c>
      <c r="P54">
        <v>4</v>
      </c>
      <c r="Q54">
        <v>4</v>
      </c>
      <c r="R54" t="s">
        <v>3156</v>
      </c>
      <c r="S54" t="s">
        <v>3157</v>
      </c>
      <c r="T54" t="s">
        <v>3158</v>
      </c>
      <c r="U54" t="s">
        <v>3159</v>
      </c>
      <c r="V54" t="s">
        <v>3160</v>
      </c>
      <c r="W54" t="s">
        <v>3161</v>
      </c>
      <c r="X54" t="s">
        <v>38</v>
      </c>
      <c r="Y54" t="b">
        <v>0</v>
      </c>
      <c r="Z54" t="s">
        <v>39</v>
      </c>
      <c r="AA54" t="s">
        <v>3162</v>
      </c>
      <c r="AB54" t="s">
        <v>41</v>
      </c>
      <c r="AC54">
        <f t="shared" si="0"/>
        <v>4</v>
      </c>
    </row>
    <row r="55" spans="1:29" x14ac:dyDescent="0.3">
      <c r="A55">
        <v>2372017</v>
      </c>
      <c r="B55" t="s">
        <v>3844</v>
      </c>
      <c r="C55" t="s">
        <v>29</v>
      </c>
      <c r="D55" t="s">
        <v>3845</v>
      </c>
      <c r="E55" t="s">
        <v>3845</v>
      </c>
      <c r="F55" s="1">
        <v>46085.660150462973</v>
      </c>
      <c r="G55" t="s">
        <v>177</v>
      </c>
      <c r="H55">
        <v>0</v>
      </c>
      <c r="I55">
        <v>56</v>
      </c>
      <c r="J55">
        <v>262</v>
      </c>
      <c r="K55">
        <v>318</v>
      </c>
      <c r="L55">
        <v>228</v>
      </c>
      <c r="M55">
        <v>940</v>
      </c>
      <c r="N55">
        <v>4440</v>
      </c>
      <c r="O55">
        <v>3</v>
      </c>
      <c r="P55">
        <v>4</v>
      </c>
      <c r="Q55">
        <v>3</v>
      </c>
      <c r="R55" t="s">
        <v>3846</v>
      </c>
      <c r="S55" t="s">
        <v>3847</v>
      </c>
      <c r="T55" t="s">
        <v>3721</v>
      </c>
      <c r="U55" t="s">
        <v>3848</v>
      </c>
      <c r="V55" t="s">
        <v>3849</v>
      </c>
      <c r="W55" t="s">
        <v>3850</v>
      </c>
      <c r="X55" t="s">
        <v>38</v>
      </c>
      <c r="Y55" t="b">
        <v>0</v>
      </c>
      <c r="Z55" t="s">
        <v>39</v>
      </c>
      <c r="AA55" t="s">
        <v>3851</v>
      </c>
      <c r="AB55" t="s">
        <v>41</v>
      </c>
      <c r="AC55">
        <f t="shared" si="0"/>
        <v>4</v>
      </c>
    </row>
    <row r="56" spans="1:29" x14ac:dyDescent="0.3">
      <c r="A56">
        <v>2372019</v>
      </c>
      <c r="B56" t="s">
        <v>498</v>
      </c>
      <c r="C56" t="s">
        <v>29</v>
      </c>
      <c r="D56" t="s">
        <v>499</v>
      </c>
      <c r="E56" t="s">
        <v>499</v>
      </c>
      <c r="F56" s="1">
        <v>46127.558900462973</v>
      </c>
      <c r="G56" t="s">
        <v>45</v>
      </c>
      <c r="H56">
        <v>0</v>
      </c>
      <c r="I56">
        <v>47</v>
      </c>
      <c r="J56">
        <v>65</v>
      </c>
      <c r="K56">
        <v>112</v>
      </c>
      <c r="L56">
        <v>154</v>
      </c>
      <c r="M56">
        <v>220</v>
      </c>
      <c r="N56">
        <v>456</v>
      </c>
      <c r="O56">
        <v>2</v>
      </c>
      <c r="P56">
        <v>4</v>
      </c>
      <c r="Q56">
        <v>3</v>
      </c>
      <c r="R56" t="s">
        <v>500</v>
      </c>
      <c r="S56" t="s">
        <v>501</v>
      </c>
      <c r="T56" t="s">
        <v>502</v>
      </c>
      <c r="U56" t="s">
        <v>503</v>
      </c>
      <c r="V56" t="s">
        <v>504</v>
      </c>
      <c r="W56" t="s">
        <v>505</v>
      </c>
      <c r="X56" t="s">
        <v>84</v>
      </c>
      <c r="Y56" t="b">
        <v>0</v>
      </c>
      <c r="Z56" t="s">
        <v>39</v>
      </c>
      <c r="AA56" t="s">
        <v>506</v>
      </c>
      <c r="AB56" t="s">
        <v>41</v>
      </c>
      <c r="AC56">
        <f t="shared" si="0"/>
        <v>3</v>
      </c>
    </row>
    <row r="57" spans="1:29" x14ac:dyDescent="0.3">
      <c r="A57">
        <v>2372019</v>
      </c>
      <c r="B57" t="s">
        <v>974</v>
      </c>
      <c r="C57" t="s">
        <v>29</v>
      </c>
      <c r="D57" t="s">
        <v>975</v>
      </c>
      <c r="E57" t="s">
        <v>975</v>
      </c>
      <c r="F57" s="1">
        <v>46078.651701388888</v>
      </c>
      <c r="G57" t="s">
        <v>67</v>
      </c>
      <c r="H57">
        <v>0</v>
      </c>
      <c r="I57">
        <v>91</v>
      </c>
      <c r="J57">
        <v>375</v>
      </c>
      <c r="K57">
        <v>466</v>
      </c>
      <c r="L57">
        <v>374</v>
      </c>
      <c r="M57">
        <v>1264</v>
      </c>
      <c r="N57">
        <v>930</v>
      </c>
      <c r="O57">
        <v>4</v>
      </c>
      <c r="P57">
        <v>5</v>
      </c>
      <c r="Q57">
        <v>4</v>
      </c>
      <c r="R57" t="s">
        <v>976</v>
      </c>
      <c r="S57" t="s">
        <v>977</v>
      </c>
      <c r="T57" t="s">
        <v>100</v>
      </c>
      <c r="U57" t="s">
        <v>978</v>
      </c>
      <c r="V57" t="s">
        <v>979</v>
      </c>
      <c r="W57" t="s">
        <v>980</v>
      </c>
      <c r="X57" t="s">
        <v>38</v>
      </c>
      <c r="Y57" t="b">
        <v>0</v>
      </c>
      <c r="Z57" t="s">
        <v>39</v>
      </c>
      <c r="AA57" t="s">
        <v>981</v>
      </c>
      <c r="AB57" t="s">
        <v>41</v>
      </c>
      <c r="AC57">
        <f t="shared" si="0"/>
        <v>4</v>
      </c>
    </row>
    <row r="58" spans="1:29" x14ac:dyDescent="0.3">
      <c r="A58">
        <v>2372019</v>
      </c>
      <c r="B58" t="s">
        <v>1008</v>
      </c>
      <c r="C58" t="s">
        <v>29</v>
      </c>
      <c r="D58" t="s">
        <v>1009</v>
      </c>
      <c r="E58" t="s">
        <v>1010</v>
      </c>
      <c r="F58" s="1">
        <v>46127.602476851847</v>
      </c>
      <c r="G58" t="s">
        <v>45</v>
      </c>
      <c r="H58">
        <v>0</v>
      </c>
      <c r="I58">
        <v>410</v>
      </c>
      <c r="J58">
        <v>732</v>
      </c>
      <c r="K58">
        <v>1142</v>
      </c>
      <c r="L58">
        <v>1594</v>
      </c>
      <c r="M58">
        <v>2620</v>
      </c>
      <c r="N58">
        <v>957</v>
      </c>
      <c r="O58">
        <v>4</v>
      </c>
      <c r="P58">
        <v>4</v>
      </c>
      <c r="Q58">
        <v>4</v>
      </c>
      <c r="R58" t="s">
        <v>1011</v>
      </c>
      <c r="S58" t="s">
        <v>1012</v>
      </c>
      <c r="T58" t="s">
        <v>1013</v>
      </c>
      <c r="U58" t="s">
        <v>1014</v>
      </c>
      <c r="V58" t="s">
        <v>1015</v>
      </c>
      <c r="W58" t="s">
        <v>1016</v>
      </c>
      <c r="X58" t="s">
        <v>38</v>
      </c>
      <c r="Y58" t="b">
        <v>0</v>
      </c>
      <c r="Z58" t="s">
        <v>39</v>
      </c>
      <c r="AA58" t="s">
        <v>1017</v>
      </c>
      <c r="AB58" t="s">
        <v>41</v>
      </c>
      <c r="AC58">
        <f t="shared" si="0"/>
        <v>4</v>
      </c>
    </row>
    <row r="59" spans="1:29" x14ac:dyDescent="0.3">
      <c r="A59">
        <v>2372019</v>
      </c>
      <c r="B59" t="s">
        <v>2176</v>
      </c>
      <c r="C59" t="s">
        <v>29</v>
      </c>
      <c r="D59" t="s">
        <v>2177</v>
      </c>
      <c r="E59" t="s">
        <v>2177</v>
      </c>
      <c r="F59" s="1">
        <v>46127.553564814807</v>
      </c>
      <c r="G59" t="s">
        <v>45</v>
      </c>
      <c r="H59">
        <v>0</v>
      </c>
      <c r="I59">
        <v>50</v>
      </c>
      <c r="J59">
        <v>66</v>
      </c>
      <c r="K59">
        <v>116</v>
      </c>
      <c r="L59">
        <v>162</v>
      </c>
      <c r="M59">
        <v>252</v>
      </c>
      <c r="N59">
        <v>2511</v>
      </c>
      <c r="O59">
        <v>2</v>
      </c>
      <c r="P59">
        <v>4</v>
      </c>
      <c r="Q59">
        <v>3</v>
      </c>
      <c r="R59" t="s">
        <v>2178</v>
      </c>
      <c r="S59" t="s">
        <v>2179</v>
      </c>
      <c r="T59" t="s">
        <v>2180</v>
      </c>
      <c r="U59" t="s">
        <v>1218</v>
      </c>
      <c r="V59" t="s">
        <v>2181</v>
      </c>
      <c r="W59" t="s">
        <v>2182</v>
      </c>
      <c r="X59" t="s">
        <v>84</v>
      </c>
      <c r="Y59" t="b">
        <v>0</v>
      </c>
      <c r="Z59" t="s">
        <v>39</v>
      </c>
      <c r="AA59" t="s">
        <v>2183</v>
      </c>
      <c r="AB59" t="s">
        <v>41</v>
      </c>
      <c r="AC59">
        <f t="shared" si="0"/>
        <v>3</v>
      </c>
    </row>
    <row r="60" spans="1:29" x14ac:dyDescent="0.3">
      <c r="A60">
        <v>2372019</v>
      </c>
      <c r="B60" t="s">
        <v>2751</v>
      </c>
      <c r="C60" t="s">
        <v>29</v>
      </c>
      <c r="D60" t="s">
        <v>2752</v>
      </c>
      <c r="E60" t="s">
        <v>2752</v>
      </c>
      <c r="F60" s="1">
        <v>46092.549745370372</v>
      </c>
      <c r="G60" t="s">
        <v>31</v>
      </c>
      <c r="H60">
        <v>0</v>
      </c>
      <c r="I60">
        <v>38</v>
      </c>
      <c r="J60">
        <v>53</v>
      </c>
      <c r="K60">
        <v>91</v>
      </c>
      <c r="L60">
        <v>120</v>
      </c>
      <c r="M60">
        <v>184</v>
      </c>
      <c r="N60">
        <v>3111</v>
      </c>
      <c r="O60">
        <v>4</v>
      </c>
      <c r="P60">
        <v>5</v>
      </c>
      <c r="Q60">
        <v>4</v>
      </c>
      <c r="R60" t="s">
        <v>2753</v>
      </c>
      <c r="S60" t="s">
        <v>2754</v>
      </c>
      <c r="T60" t="s">
        <v>2755</v>
      </c>
      <c r="U60" t="s">
        <v>2756</v>
      </c>
      <c r="V60" t="s">
        <v>2757</v>
      </c>
      <c r="W60" t="s">
        <v>2758</v>
      </c>
      <c r="X60" t="s">
        <v>38</v>
      </c>
      <c r="Y60" t="b">
        <v>0</v>
      </c>
      <c r="Z60" t="s">
        <v>39</v>
      </c>
      <c r="AA60" t="s">
        <v>2759</v>
      </c>
      <c r="AB60" t="s">
        <v>41</v>
      </c>
      <c r="AC60">
        <f t="shared" si="0"/>
        <v>4</v>
      </c>
    </row>
    <row r="61" spans="1:29" x14ac:dyDescent="0.3">
      <c r="A61">
        <v>2372022</v>
      </c>
      <c r="B61" t="s">
        <v>827</v>
      </c>
      <c r="C61" t="s">
        <v>29</v>
      </c>
      <c r="D61" t="s">
        <v>828</v>
      </c>
      <c r="E61" t="s">
        <v>829</v>
      </c>
      <c r="F61" s="1">
        <v>46078.703125</v>
      </c>
      <c r="G61" t="s">
        <v>67</v>
      </c>
      <c r="H61">
        <v>0</v>
      </c>
      <c r="I61">
        <v>33</v>
      </c>
      <c r="J61">
        <v>26</v>
      </c>
      <c r="K61">
        <v>59</v>
      </c>
      <c r="L61">
        <v>121</v>
      </c>
      <c r="M61">
        <v>120</v>
      </c>
      <c r="N61">
        <v>819</v>
      </c>
      <c r="O61">
        <v>3</v>
      </c>
      <c r="P61">
        <v>4</v>
      </c>
      <c r="Q61">
        <v>3</v>
      </c>
      <c r="R61" t="s">
        <v>830</v>
      </c>
      <c r="S61" t="s">
        <v>831</v>
      </c>
      <c r="T61" t="s">
        <v>832</v>
      </c>
      <c r="U61" t="s">
        <v>833</v>
      </c>
      <c r="V61" t="s">
        <v>834</v>
      </c>
      <c r="W61" t="s">
        <v>835</v>
      </c>
      <c r="X61" t="s">
        <v>84</v>
      </c>
      <c r="Y61" t="b">
        <v>0</v>
      </c>
      <c r="Z61" t="s">
        <v>39</v>
      </c>
      <c r="AA61" t="s">
        <v>836</v>
      </c>
      <c r="AB61" t="s">
        <v>41</v>
      </c>
      <c r="AC61">
        <f t="shared" si="0"/>
        <v>3</v>
      </c>
    </row>
    <row r="62" spans="1:29" x14ac:dyDescent="0.3">
      <c r="A62">
        <v>2372022</v>
      </c>
      <c r="B62" t="s">
        <v>3409</v>
      </c>
      <c r="C62" t="s">
        <v>29</v>
      </c>
      <c r="D62" t="s">
        <v>3410</v>
      </c>
      <c r="E62" t="s">
        <v>3411</v>
      </c>
      <c r="F62" s="1">
        <v>46085.641192129631</v>
      </c>
      <c r="G62" t="s">
        <v>177</v>
      </c>
      <c r="H62">
        <v>0</v>
      </c>
      <c r="I62">
        <v>53</v>
      </c>
      <c r="J62">
        <v>409</v>
      </c>
      <c r="K62">
        <v>462</v>
      </c>
      <c r="L62">
        <v>279</v>
      </c>
      <c r="M62">
        <v>1867</v>
      </c>
      <c r="N62">
        <v>3931</v>
      </c>
      <c r="O62">
        <v>3</v>
      </c>
      <c r="P62">
        <v>5</v>
      </c>
      <c r="Q62">
        <v>4</v>
      </c>
      <c r="R62" t="s">
        <v>3412</v>
      </c>
      <c r="S62" t="s">
        <v>3413</v>
      </c>
      <c r="T62" t="s">
        <v>3414</v>
      </c>
      <c r="U62" t="s">
        <v>3415</v>
      </c>
      <c r="V62" t="s">
        <v>3416</v>
      </c>
      <c r="W62" t="s">
        <v>3417</v>
      </c>
      <c r="X62" t="s">
        <v>38</v>
      </c>
      <c r="Y62" t="b">
        <v>0</v>
      </c>
      <c r="Z62" t="s">
        <v>39</v>
      </c>
      <c r="AA62" t="s">
        <v>3418</v>
      </c>
      <c r="AB62" t="s">
        <v>41</v>
      </c>
      <c r="AC62">
        <f t="shared" si="0"/>
        <v>4</v>
      </c>
    </row>
    <row r="63" spans="1:29" x14ac:dyDescent="0.3">
      <c r="A63">
        <v>2372027</v>
      </c>
      <c r="B63" t="s">
        <v>213</v>
      </c>
      <c r="C63" t="s">
        <v>29</v>
      </c>
      <c r="D63" t="s">
        <v>214</v>
      </c>
      <c r="E63" t="s">
        <v>215</v>
      </c>
      <c r="F63" s="1">
        <v>46127.587025462963</v>
      </c>
      <c r="G63" t="s">
        <v>45</v>
      </c>
      <c r="H63">
        <v>0</v>
      </c>
      <c r="I63">
        <v>121</v>
      </c>
      <c r="J63">
        <v>196</v>
      </c>
      <c r="K63">
        <v>317</v>
      </c>
      <c r="L63">
        <v>377</v>
      </c>
      <c r="M63">
        <v>706</v>
      </c>
      <c r="N63">
        <v>234</v>
      </c>
      <c r="O63">
        <v>4</v>
      </c>
      <c r="P63">
        <v>5</v>
      </c>
      <c r="Q63">
        <v>4</v>
      </c>
      <c r="R63" t="s">
        <v>216</v>
      </c>
      <c r="S63" t="s">
        <v>217</v>
      </c>
      <c r="T63" t="s">
        <v>218</v>
      </c>
      <c r="U63" t="s">
        <v>219</v>
      </c>
      <c r="V63" t="s">
        <v>220</v>
      </c>
      <c r="W63" t="s">
        <v>221</v>
      </c>
      <c r="X63" t="s">
        <v>38</v>
      </c>
      <c r="Y63" t="b">
        <v>0</v>
      </c>
      <c r="Z63" t="s">
        <v>39</v>
      </c>
      <c r="AA63" t="s">
        <v>222</v>
      </c>
      <c r="AB63" t="s">
        <v>41</v>
      </c>
      <c r="AC63">
        <f t="shared" si="0"/>
        <v>4</v>
      </c>
    </row>
    <row r="64" spans="1:29" x14ac:dyDescent="0.3">
      <c r="A64">
        <v>2372027</v>
      </c>
      <c r="B64" t="s">
        <v>752</v>
      </c>
      <c r="C64" t="s">
        <v>29</v>
      </c>
      <c r="D64" t="s">
        <v>753</v>
      </c>
      <c r="E64" t="s">
        <v>754</v>
      </c>
      <c r="F64" s="1">
        <v>46099.628182870372</v>
      </c>
      <c r="G64" t="s">
        <v>138</v>
      </c>
      <c r="H64">
        <v>0</v>
      </c>
      <c r="I64">
        <v>61</v>
      </c>
      <c r="J64">
        <v>210</v>
      </c>
      <c r="K64">
        <v>271</v>
      </c>
      <c r="L64">
        <v>202</v>
      </c>
      <c r="M64">
        <v>805</v>
      </c>
      <c r="N64">
        <v>776</v>
      </c>
      <c r="O64">
        <v>3</v>
      </c>
      <c r="P64">
        <v>4</v>
      </c>
      <c r="Q64">
        <v>3</v>
      </c>
      <c r="R64" t="s">
        <v>755</v>
      </c>
      <c r="S64" t="s">
        <v>756</v>
      </c>
      <c r="T64" t="s">
        <v>757</v>
      </c>
      <c r="U64" t="s">
        <v>758</v>
      </c>
      <c r="V64" t="s">
        <v>759</v>
      </c>
      <c r="W64" t="s">
        <v>760</v>
      </c>
      <c r="X64" t="s">
        <v>38</v>
      </c>
      <c r="Y64" t="b">
        <v>0</v>
      </c>
      <c r="Z64" t="s">
        <v>39</v>
      </c>
      <c r="AA64" t="s">
        <v>761</v>
      </c>
      <c r="AB64" t="s">
        <v>41</v>
      </c>
      <c r="AC64">
        <f t="shared" si="0"/>
        <v>4</v>
      </c>
    </row>
    <row r="65" spans="1:29" x14ac:dyDescent="0.3">
      <c r="A65">
        <v>2372027</v>
      </c>
      <c r="B65" t="s">
        <v>1846</v>
      </c>
      <c r="C65" t="s">
        <v>29</v>
      </c>
      <c r="D65" t="s">
        <v>1847</v>
      </c>
      <c r="E65" t="s">
        <v>1848</v>
      </c>
      <c r="F65" s="1">
        <v>46099.624895833331</v>
      </c>
      <c r="G65" t="s">
        <v>138</v>
      </c>
      <c r="H65">
        <v>0</v>
      </c>
      <c r="I65">
        <v>50</v>
      </c>
      <c r="J65">
        <v>28</v>
      </c>
      <c r="K65">
        <v>78</v>
      </c>
      <c r="L65">
        <v>159</v>
      </c>
      <c r="M65">
        <v>116</v>
      </c>
      <c r="N65">
        <v>2052</v>
      </c>
      <c r="O65">
        <v>4</v>
      </c>
      <c r="P65">
        <v>5</v>
      </c>
      <c r="Q65">
        <v>5</v>
      </c>
      <c r="R65" t="s">
        <v>148</v>
      </c>
      <c r="S65" t="s">
        <v>252</v>
      </c>
      <c r="T65" t="s">
        <v>1499</v>
      </c>
      <c r="U65" t="s">
        <v>125</v>
      </c>
      <c r="V65" t="s">
        <v>1849</v>
      </c>
      <c r="W65" t="s">
        <v>791</v>
      </c>
      <c r="X65" t="s">
        <v>154</v>
      </c>
      <c r="Y65" t="b">
        <v>0</v>
      </c>
      <c r="Z65" t="s">
        <v>39</v>
      </c>
      <c r="AA65" t="s">
        <v>1850</v>
      </c>
      <c r="AB65" t="s">
        <v>41</v>
      </c>
      <c r="AC65">
        <f t="shared" si="0"/>
        <v>5</v>
      </c>
    </row>
    <row r="66" spans="1:29" x14ac:dyDescent="0.3">
      <c r="A66">
        <v>2372027</v>
      </c>
      <c r="B66" t="s">
        <v>2540</v>
      </c>
      <c r="C66" t="s">
        <v>29</v>
      </c>
      <c r="D66" t="s">
        <v>2541</v>
      </c>
      <c r="E66" t="s">
        <v>2542</v>
      </c>
      <c r="F66" s="1">
        <v>46099.631215277783</v>
      </c>
      <c r="G66" t="s">
        <v>138</v>
      </c>
      <c r="H66">
        <v>0</v>
      </c>
      <c r="I66">
        <v>63</v>
      </c>
      <c r="J66">
        <v>261</v>
      </c>
      <c r="K66">
        <v>324</v>
      </c>
      <c r="L66">
        <v>195</v>
      </c>
      <c r="M66">
        <v>963</v>
      </c>
      <c r="N66">
        <v>2857</v>
      </c>
      <c r="O66">
        <v>3</v>
      </c>
      <c r="P66">
        <v>4</v>
      </c>
      <c r="Q66">
        <v>3</v>
      </c>
      <c r="R66" t="s">
        <v>2543</v>
      </c>
      <c r="S66" t="s">
        <v>2544</v>
      </c>
      <c r="T66" t="s">
        <v>2545</v>
      </c>
      <c r="U66" t="s">
        <v>2546</v>
      </c>
      <c r="V66" t="s">
        <v>2547</v>
      </c>
      <c r="W66" t="s">
        <v>2548</v>
      </c>
      <c r="X66" t="s">
        <v>38</v>
      </c>
      <c r="Y66" t="b">
        <v>0</v>
      </c>
      <c r="Z66" t="s">
        <v>39</v>
      </c>
      <c r="AA66" t="s">
        <v>2549</v>
      </c>
      <c r="AB66" t="s">
        <v>41</v>
      </c>
      <c r="AC66">
        <f t="shared" si="0"/>
        <v>4</v>
      </c>
    </row>
    <row r="67" spans="1:29" x14ac:dyDescent="0.3">
      <c r="A67">
        <v>2372027</v>
      </c>
      <c r="B67" t="s">
        <v>3533</v>
      </c>
      <c r="C67" t="s">
        <v>29</v>
      </c>
      <c r="D67" t="s">
        <v>3534</v>
      </c>
      <c r="E67" t="s">
        <v>3535</v>
      </c>
      <c r="F67" s="1">
        <v>46085.640740740739</v>
      </c>
      <c r="G67" t="s">
        <v>177</v>
      </c>
      <c r="H67">
        <v>0</v>
      </c>
      <c r="I67">
        <v>33</v>
      </c>
      <c r="J67">
        <v>35</v>
      </c>
      <c r="K67">
        <v>68</v>
      </c>
      <c r="L67">
        <v>116</v>
      </c>
      <c r="M67">
        <v>155</v>
      </c>
      <c r="N67">
        <v>4053</v>
      </c>
      <c r="O67">
        <v>3</v>
      </c>
      <c r="P67">
        <v>4</v>
      </c>
      <c r="Q67">
        <v>3</v>
      </c>
      <c r="R67" t="s">
        <v>3536</v>
      </c>
      <c r="S67" t="s">
        <v>3537</v>
      </c>
      <c r="T67" t="s">
        <v>3538</v>
      </c>
      <c r="U67" t="s">
        <v>1623</v>
      </c>
      <c r="V67" t="s">
        <v>3539</v>
      </c>
      <c r="W67" t="s">
        <v>3540</v>
      </c>
      <c r="X67" t="s">
        <v>38</v>
      </c>
      <c r="Y67" t="b">
        <v>0</v>
      </c>
      <c r="Z67" t="s">
        <v>39</v>
      </c>
      <c r="AA67" t="s">
        <v>3541</v>
      </c>
      <c r="AB67" t="s">
        <v>41</v>
      </c>
      <c r="AC67">
        <f t="shared" ref="AC67:AC130" si="1">IF(LOWER(TRIM(X67))="excellent",5,
 IF(LOWER(TRIM(X67))="good",4,
 IF(LOWER(TRIM(X67))="fair",3,
 IF(LOWER(TRIM(X67))="poor",2,
 IF(LOWER(TRIM(X67))="weak",1,0)))))</f>
        <v>4</v>
      </c>
    </row>
    <row r="68" spans="1:29" x14ac:dyDescent="0.3">
      <c r="A68">
        <v>2372027</v>
      </c>
      <c r="B68" t="s">
        <v>3781</v>
      </c>
      <c r="C68" t="s">
        <v>29</v>
      </c>
      <c r="D68" t="s">
        <v>3782</v>
      </c>
      <c r="E68" t="s">
        <v>3783</v>
      </c>
      <c r="F68" s="1">
        <v>46099.66233796296</v>
      </c>
      <c r="G68" t="s">
        <v>138</v>
      </c>
      <c r="H68">
        <v>0</v>
      </c>
      <c r="I68">
        <v>32</v>
      </c>
      <c r="J68">
        <v>35</v>
      </c>
      <c r="K68">
        <v>67</v>
      </c>
      <c r="L68">
        <v>155</v>
      </c>
      <c r="M68">
        <v>144</v>
      </c>
      <c r="N68">
        <v>4376</v>
      </c>
      <c r="O68">
        <v>4</v>
      </c>
      <c r="P68">
        <v>4</v>
      </c>
      <c r="Q68">
        <v>4</v>
      </c>
      <c r="R68" t="s">
        <v>3784</v>
      </c>
      <c r="S68" t="s">
        <v>3134</v>
      </c>
      <c r="T68" t="s">
        <v>3785</v>
      </c>
      <c r="U68" t="s">
        <v>181</v>
      </c>
      <c r="V68" t="s">
        <v>3786</v>
      </c>
      <c r="W68" t="s">
        <v>3787</v>
      </c>
      <c r="X68" t="s">
        <v>38</v>
      </c>
      <c r="Y68" t="b">
        <v>0</v>
      </c>
      <c r="Z68" t="s">
        <v>39</v>
      </c>
      <c r="AA68" t="s">
        <v>3788</v>
      </c>
      <c r="AB68" t="s">
        <v>41</v>
      </c>
      <c r="AC68">
        <f t="shared" si="1"/>
        <v>4</v>
      </c>
    </row>
    <row r="69" spans="1:29" x14ac:dyDescent="0.3">
      <c r="A69">
        <v>2372028</v>
      </c>
      <c r="B69" t="s">
        <v>357</v>
      </c>
      <c r="C69" t="s">
        <v>29</v>
      </c>
      <c r="D69" t="s">
        <v>358</v>
      </c>
      <c r="E69" t="s">
        <v>358</v>
      </c>
      <c r="F69" s="1">
        <v>46120.653900462959</v>
      </c>
      <c r="G69" t="s">
        <v>56</v>
      </c>
      <c r="H69">
        <v>0</v>
      </c>
      <c r="I69">
        <v>59</v>
      </c>
      <c r="J69">
        <v>464</v>
      </c>
      <c r="K69">
        <v>523</v>
      </c>
      <c r="L69">
        <v>196</v>
      </c>
      <c r="M69">
        <v>1453</v>
      </c>
      <c r="N69">
        <v>384</v>
      </c>
      <c r="O69">
        <v>4</v>
      </c>
      <c r="P69">
        <v>5</v>
      </c>
      <c r="Q69">
        <v>5</v>
      </c>
      <c r="R69" t="s">
        <v>359</v>
      </c>
      <c r="S69" t="s">
        <v>360</v>
      </c>
      <c r="T69" t="s">
        <v>361</v>
      </c>
      <c r="U69" t="s">
        <v>362</v>
      </c>
      <c r="V69" t="s">
        <v>363</v>
      </c>
      <c r="W69" t="s">
        <v>364</v>
      </c>
      <c r="X69" t="s">
        <v>154</v>
      </c>
      <c r="Y69" t="b">
        <v>0</v>
      </c>
      <c r="Z69" t="s">
        <v>39</v>
      </c>
      <c r="AA69" t="s">
        <v>365</v>
      </c>
      <c r="AB69" t="s">
        <v>41</v>
      </c>
      <c r="AC69">
        <f t="shared" si="1"/>
        <v>5</v>
      </c>
    </row>
    <row r="70" spans="1:29" x14ac:dyDescent="0.3">
      <c r="A70">
        <v>2372028</v>
      </c>
      <c r="B70" t="s">
        <v>1558</v>
      </c>
      <c r="C70" t="s">
        <v>29</v>
      </c>
      <c r="D70" t="s">
        <v>1559</v>
      </c>
      <c r="E70" t="s">
        <v>1559</v>
      </c>
      <c r="F70" s="1">
        <v>46127.622754629629</v>
      </c>
      <c r="G70" t="s">
        <v>45</v>
      </c>
      <c r="H70">
        <v>0</v>
      </c>
      <c r="I70">
        <v>30</v>
      </c>
      <c r="J70">
        <v>1020</v>
      </c>
      <c r="K70">
        <v>1050</v>
      </c>
      <c r="L70">
        <v>133</v>
      </c>
      <c r="M70">
        <v>4091</v>
      </c>
      <c r="N70">
        <v>1721</v>
      </c>
      <c r="O70">
        <v>2</v>
      </c>
      <c r="P70">
        <v>4</v>
      </c>
      <c r="Q70">
        <v>3</v>
      </c>
      <c r="R70" t="s">
        <v>1560</v>
      </c>
      <c r="S70" t="s">
        <v>1561</v>
      </c>
      <c r="T70" t="s">
        <v>1562</v>
      </c>
      <c r="U70" t="s">
        <v>1563</v>
      </c>
      <c r="V70" t="s">
        <v>1564</v>
      </c>
      <c r="W70" t="s">
        <v>1565</v>
      </c>
      <c r="X70" t="s">
        <v>84</v>
      </c>
      <c r="Y70" t="b">
        <v>0</v>
      </c>
      <c r="Z70" t="s">
        <v>39</v>
      </c>
      <c r="AA70" t="s">
        <v>1566</v>
      </c>
      <c r="AB70" t="s">
        <v>41</v>
      </c>
      <c r="AC70">
        <f t="shared" si="1"/>
        <v>3</v>
      </c>
    </row>
    <row r="71" spans="1:29" x14ac:dyDescent="0.3">
      <c r="A71">
        <v>2372028</v>
      </c>
      <c r="B71" t="s">
        <v>1573</v>
      </c>
      <c r="C71" t="s">
        <v>29</v>
      </c>
      <c r="D71" t="s">
        <v>1574</v>
      </c>
      <c r="E71" t="s">
        <v>1574</v>
      </c>
      <c r="F71" s="1">
        <v>46085.63790509259</v>
      </c>
      <c r="G71" t="s">
        <v>177</v>
      </c>
      <c r="H71">
        <v>0</v>
      </c>
      <c r="I71">
        <v>85</v>
      </c>
      <c r="J71">
        <v>116</v>
      </c>
      <c r="K71">
        <v>201</v>
      </c>
      <c r="L71">
        <v>264</v>
      </c>
      <c r="M71">
        <v>420</v>
      </c>
      <c r="N71">
        <v>1744</v>
      </c>
      <c r="O71">
        <v>3</v>
      </c>
      <c r="P71">
        <v>4</v>
      </c>
      <c r="Q71">
        <v>4</v>
      </c>
      <c r="R71" t="s">
        <v>1575</v>
      </c>
      <c r="S71" t="s">
        <v>1576</v>
      </c>
      <c r="T71" t="s">
        <v>1577</v>
      </c>
      <c r="U71" t="s">
        <v>1578</v>
      </c>
      <c r="V71" t="s">
        <v>1579</v>
      </c>
      <c r="W71" t="s">
        <v>1580</v>
      </c>
      <c r="X71" t="s">
        <v>38</v>
      </c>
      <c r="Y71" t="b">
        <v>0</v>
      </c>
      <c r="Z71" t="s">
        <v>39</v>
      </c>
      <c r="AA71" t="s">
        <v>1581</v>
      </c>
      <c r="AB71" t="s">
        <v>41</v>
      </c>
      <c r="AC71">
        <f t="shared" si="1"/>
        <v>4</v>
      </c>
    </row>
    <row r="72" spans="1:29" x14ac:dyDescent="0.3">
      <c r="A72">
        <v>2372028</v>
      </c>
      <c r="B72" t="s">
        <v>1733</v>
      </c>
      <c r="C72" t="s">
        <v>29</v>
      </c>
      <c r="D72" t="s">
        <v>1734</v>
      </c>
      <c r="E72" t="s">
        <v>1735</v>
      </c>
      <c r="F72" s="1">
        <v>46113.623622685183</v>
      </c>
      <c r="G72" t="s">
        <v>304</v>
      </c>
      <c r="H72">
        <v>0</v>
      </c>
      <c r="I72">
        <v>122</v>
      </c>
      <c r="J72">
        <v>196</v>
      </c>
      <c r="K72">
        <v>318</v>
      </c>
      <c r="L72">
        <v>442</v>
      </c>
      <c r="M72">
        <v>691</v>
      </c>
      <c r="N72">
        <v>1944</v>
      </c>
      <c r="O72">
        <v>4</v>
      </c>
      <c r="P72">
        <v>5</v>
      </c>
      <c r="Q72">
        <v>5</v>
      </c>
      <c r="R72" t="s">
        <v>1736</v>
      </c>
      <c r="S72" t="s">
        <v>1737</v>
      </c>
      <c r="T72" t="s">
        <v>1738</v>
      </c>
      <c r="U72" t="s">
        <v>125</v>
      </c>
      <c r="V72" t="s">
        <v>1739</v>
      </c>
      <c r="W72" t="s">
        <v>391</v>
      </c>
      <c r="X72" t="s">
        <v>154</v>
      </c>
      <c r="Y72" t="b">
        <v>0</v>
      </c>
      <c r="Z72" t="s">
        <v>39</v>
      </c>
      <c r="AA72" t="s">
        <v>1740</v>
      </c>
      <c r="AB72" t="s">
        <v>41</v>
      </c>
      <c r="AC72">
        <f t="shared" si="1"/>
        <v>5</v>
      </c>
    </row>
    <row r="73" spans="1:29" x14ac:dyDescent="0.3">
      <c r="A73">
        <v>2372028</v>
      </c>
      <c r="B73" t="s">
        <v>2124</v>
      </c>
      <c r="C73" t="s">
        <v>29</v>
      </c>
      <c r="D73" t="s">
        <v>2125</v>
      </c>
      <c r="E73" t="s">
        <v>2125</v>
      </c>
      <c r="F73" s="1">
        <v>46120.668611111112</v>
      </c>
      <c r="G73" t="s">
        <v>56</v>
      </c>
      <c r="H73">
        <v>0</v>
      </c>
      <c r="I73">
        <v>36</v>
      </c>
      <c r="J73">
        <v>586</v>
      </c>
      <c r="K73">
        <v>622</v>
      </c>
      <c r="L73">
        <v>133</v>
      </c>
      <c r="M73">
        <v>1960</v>
      </c>
      <c r="N73">
        <v>2418</v>
      </c>
      <c r="O73">
        <v>4</v>
      </c>
      <c r="P73">
        <v>5</v>
      </c>
      <c r="Q73">
        <v>5</v>
      </c>
      <c r="R73" t="s">
        <v>359</v>
      </c>
      <c r="S73" t="s">
        <v>360</v>
      </c>
      <c r="T73" t="s">
        <v>361</v>
      </c>
      <c r="U73" t="s">
        <v>362</v>
      </c>
      <c r="V73" t="s">
        <v>2126</v>
      </c>
      <c r="W73" t="s">
        <v>2127</v>
      </c>
      <c r="X73" t="s">
        <v>154</v>
      </c>
      <c r="Y73" t="b">
        <v>0</v>
      </c>
      <c r="Z73" t="s">
        <v>39</v>
      </c>
      <c r="AA73" t="s">
        <v>2128</v>
      </c>
      <c r="AB73" t="s">
        <v>41</v>
      </c>
      <c r="AC73">
        <f t="shared" si="1"/>
        <v>5</v>
      </c>
    </row>
    <row r="74" spans="1:29" x14ac:dyDescent="0.3">
      <c r="A74">
        <v>2372028</v>
      </c>
      <c r="B74" t="s">
        <v>2550</v>
      </c>
      <c r="C74" t="s">
        <v>29</v>
      </c>
      <c r="D74" t="s">
        <v>2551</v>
      </c>
      <c r="E74" t="s">
        <v>2551</v>
      </c>
      <c r="F74" s="1">
        <v>46127.595949074072</v>
      </c>
      <c r="G74" t="s">
        <v>45</v>
      </c>
      <c r="H74">
        <v>0</v>
      </c>
      <c r="I74">
        <v>155</v>
      </c>
      <c r="J74">
        <v>1069</v>
      </c>
      <c r="K74">
        <v>1224</v>
      </c>
      <c r="L74">
        <v>486</v>
      </c>
      <c r="M74">
        <v>3858</v>
      </c>
      <c r="N74">
        <v>2876</v>
      </c>
      <c r="O74">
        <v>4</v>
      </c>
      <c r="P74">
        <v>4</v>
      </c>
      <c r="Q74">
        <v>4</v>
      </c>
      <c r="R74" t="s">
        <v>1967</v>
      </c>
      <c r="S74" t="s">
        <v>149</v>
      </c>
      <c r="T74" t="s">
        <v>2552</v>
      </c>
      <c r="U74" t="s">
        <v>2553</v>
      </c>
      <c r="V74" t="s">
        <v>2554</v>
      </c>
      <c r="W74" t="s">
        <v>2555</v>
      </c>
      <c r="X74" t="s">
        <v>38</v>
      </c>
      <c r="Y74" t="b">
        <v>0</v>
      </c>
      <c r="Z74" t="s">
        <v>39</v>
      </c>
      <c r="AA74" t="s">
        <v>2556</v>
      </c>
      <c r="AB74" t="s">
        <v>41</v>
      </c>
      <c r="AC74">
        <f t="shared" si="1"/>
        <v>4</v>
      </c>
    </row>
    <row r="75" spans="1:29" x14ac:dyDescent="0.3">
      <c r="A75">
        <v>2372028</v>
      </c>
      <c r="B75" t="s">
        <v>2950</v>
      </c>
      <c r="C75" t="s">
        <v>29</v>
      </c>
      <c r="D75" t="s">
        <v>2951</v>
      </c>
      <c r="E75" t="s">
        <v>2952</v>
      </c>
      <c r="F75" s="1">
        <v>46113.62736111111</v>
      </c>
      <c r="G75" t="s">
        <v>304</v>
      </c>
      <c r="H75">
        <v>0</v>
      </c>
      <c r="I75">
        <v>69</v>
      </c>
      <c r="J75">
        <v>176</v>
      </c>
      <c r="K75">
        <v>245</v>
      </c>
      <c r="L75">
        <v>322</v>
      </c>
      <c r="M75">
        <v>530</v>
      </c>
      <c r="N75">
        <v>3400</v>
      </c>
      <c r="O75">
        <v>3</v>
      </c>
      <c r="P75">
        <v>5</v>
      </c>
      <c r="Q75">
        <v>4</v>
      </c>
      <c r="R75" t="s">
        <v>2953</v>
      </c>
      <c r="S75" t="s">
        <v>2954</v>
      </c>
      <c r="T75" t="s">
        <v>2955</v>
      </c>
      <c r="U75" t="s">
        <v>2956</v>
      </c>
      <c r="V75" t="s">
        <v>2957</v>
      </c>
      <c r="W75" t="s">
        <v>2958</v>
      </c>
      <c r="X75" t="s">
        <v>38</v>
      </c>
      <c r="Y75" t="b">
        <v>0</v>
      </c>
      <c r="Z75" t="s">
        <v>39</v>
      </c>
      <c r="AA75" t="s">
        <v>2959</v>
      </c>
      <c r="AB75" t="s">
        <v>41</v>
      </c>
      <c r="AC75">
        <f t="shared" si="1"/>
        <v>4</v>
      </c>
    </row>
    <row r="76" spans="1:29" x14ac:dyDescent="0.3">
      <c r="A76">
        <v>2372028</v>
      </c>
      <c r="B76" t="s">
        <v>3392</v>
      </c>
      <c r="C76" t="s">
        <v>29</v>
      </c>
      <c r="D76" t="s">
        <v>3393</v>
      </c>
      <c r="E76" t="s">
        <v>3393</v>
      </c>
      <c r="F76" s="1">
        <v>46085.65116898148</v>
      </c>
      <c r="G76" t="s">
        <v>177</v>
      </c>
      <c r="H76">
        <v>0</v>
      </c>
      <c r="I76">
        <v>38</v>
      </c>
      <c r="J76">
        <v>564</v>
      </c>
      <c r="K76">
        <v>602</v>
      </c>
      <c r="L76">
        <v>152</v>
      </c>
      <c r="M76">
        <v>1841</v>
      </c>
      <c r="N76">
        <v>3912</v>
      </c>
      <c r="O76">
        <v>4</v>
      </c>
      <c r="P76">
        <v>5</v>
      </c>
      <c r="Q76">
        <v>5</v>
      </c>
      <c r="R76" t="s">
        <v>3394</v>
      </c>
      <c r="S76" t="s">
        <v>3395</v>
      </c>
      <c r="T76" t="s">
        <v>3396</v>
      </c>
      <c r="U76" t="s">
        <v>362</v>
      </c>
      <c r="V76" t="s">
        <v>3397</v>
      </c>
      <c r="W76" t="s">
        <v>3398</v>
      </c>
      <c r="X76" t="s">
        <v>154</v>
      </c>
      <c r="Y76" t="b">
        <v>0</v>
      </c>
      <c r="Z76" t="s">
        <v>39</v>
      </c>
      <c r="AA76" t="s">
        <v>3399</v>
      </c>
      <c r="AB76" t="s">
        <v>41</v>
      </c>
      <c r="AC76">
        <f t="shared" si="1"/>
        <v>5</v>
      </c>
    </row>
    <row r="77" spans="1:29" x14ac:dyDescent="0.3">
      <c r="A77">
        <v>2372028</v>
      </c>
      <c r="B77" t="s">
        <v>3419</v>
      </c>
      <c r="C77" t="s">
        <v>29</v>
      </c>
      <c r="D77" t="s">
        <v>3420</v>
      </c>
      <c r="E77" t="s">
        <v>3420</v>
      </c>
      <c r="F77" s="1">
        <v>46085.633877314824</v>
      </c>
      <c r="G77" t="s">
        <v>177</v>
      </c>
      <c r="H77">
        <v>0</v>
      </c>
      <c r="I77">
        <v>46</v>
      </c>
      <c r="J77">
        <v>276</v>
      </c>
      <c r="K77">
        <v>322</v>
      </c>
      <c r="L77">
        <v>168</v>
      </c>
      <c r="M77">
        <v>921</v>
      </c>
      <c r="N77">
        <v>3940</v>
      </c>
      <c r="O77">
        <v>4</v>
      </c>
      <c r="P77">
        <v>5</v>
      </c>
      <c r="Q77">
        <v>4</v>
      </c>
      <c r="R77" t="s">
        <v>3421</v>
      </c>
      <c r="S77" t="s">
        <v>252</v>
      </c>
      <c r="T77" t="s">
        <v>3422</v>
      </c>
      <c r="U77" t="s">
        <v>3423</v>
      </c>
      <c r="V77" t="s">
        <v>3424</v>
      </c>
      <c r="W77" t="s">
        <v>3425</v>
      </c>
      <c r="X77" t="s">
        <v>38</v>
      </c>
      <c r="Y77" t="b">
        <v>0</v>
      </c>
      <c r="Z77" t="s">
        <v>39</v>
      </c>
      <c r="AA77" t="s">
        <v>3426</v>
      </c>
      <c r="AB77" t="s">
        <v>41</v>
      </c>
      <c r="AC77">
        <f t="shared" si="1"/>
        <v>4</v>
      </c>
    </row>
    <row r="78" spans="1:29" x14ac:dyDescent="0.3">
      <c r="A78">
        <v>2372036</v>
      </c>
      <c r="B78" t="s">
        <v>249</v>
      </c>
      <c r="C78" t="s">
        <v>29</v>
      </c>
      <c r="D78" t="s">
        <v>250</v>
      </c>
      <c r="E78" t="s">
        <v>250</v>
      </c>
      <c r="F78" s="1">
        <v>46092.663055555553</v>
      </c>
      <c r="G78" t="s">
        <v>31</v>
      </c>
      <c r="H78">
        <v>0</v>
      </c>
      <c r="I78">
        <v>35</v>
      </c>
      <c r="J78">
        <v>194</v>
      </c>
      <c r="K78">
        <v>229</v>
      </c>
      <c r="L78">
        <v>140</v>
      </c>
      <c r="M78">
        <v>623</v>
      </c>
      <c r="N78">
        <v>274</v>
      </c>
      <c r="O78">
        <v>4</v>
      </c>
      <c r="P78">
        <v>5</v>
      </c>
      <c r="Q78">
        <v>4</v>
      </c>
      <c r="R78" t="s">
        <v>251</v>
      </c>
      <c r="S78" t="s">
        <v>252</v>
      </c>
      <c r="T78" t="s">
        <v>253</v>
      </c>
      <c r="U78" t="s">
        <v>254</v>
      </c>
      <c r="V78" t="s">
        <v>255</v>
      </c>
      <c r="W78" t="s">
        <v>256</v>
      </c>
      <c r="X78" t="s">
        <v>38</v>
      </c>
      <c r="Y78" t="b">
        <v>0</v>
      </c>
      <c r="Z78" t="s">
        <v>39</v>
      </c>
      <c r="AA78" t="s">
        <v>257</v>
      </c>
      <c r="AB78" t="s">
        <v>41</v>
      </c>
      <c r="AC78">
        <f t="shared" si="1"/>
        <v>4</v>
      </c>
    </row>
    <row r="79" spans="1:29" x14ac:dyDescent="0.3">
      <c r="A79">
        <v>2372036</v>
      </c>
      <c r="B79" t="s">
        <v>837</v>
      </c>
      <c r="C79" t="s">
        <v>29</v>
      </c>
      <c r="D79" t="s">
        <v>838</v>
      </c>
      <c r="E79" t="s">
        <v>838</v>
      </c>
      <c r="F79" s="1">
        <v>46085.645486111112</v>
      </c>
      <c r="G79" t="s">
        <v>177</v>
      </c>
      <c r="H79">
        <v>0</v>
      </c>
      <c r="I79">
        <v>45</v>
      </c>
      <c r="J79">
        <v>869</v>
      </c>
      <c r="K79">
        <v>914</v>
      </c>
      <c r="L79">
        <v>145</v>
      </c>
      <c r="M79">
        <v>2931</v>
      </c>
      <c r="N79">
        <v>825</v>
      </c>
      <c r="O79">
        <v>3</v>
      </c>
      <c r="P79">
        <v>5</v>
      </c>
      <c r="Q79">
        <v>4</v>
      </c>
      <c r="R79" t="s">
        <v>839</v>
      </c>
      <c r="S79" t="s">
        <v>840</v>
      </c>
      <c r="T79" t="s">
        <v>841</v>
      </c>
      <c r="U79" t="s">
        <v>842</v>
      </c>
      <c r="V79" t="s">
        <v>843</v>
      </c>
      <c r="W79" t="s">
        <v>844</v>
      </c>
      <c r="X79" t="s">
        <v>38</v>
      </c>
      <c r="Y79" t="b">
        <v>0</v>
      </c>
      <c r="Z79" t="s">
        <v>39</v>
      </c>
      <c r="AA79" t="s">
        <v>845</v>
      </c>
      <c r="AB79" t="s">
        <v>41</v>
      </c>
      <c r="AC79">
        <f t="shared" si="1"/>
        <v>4</v>
      </c>
    </row>
    <row r="80" spans="1:29" x14ac:dyDescent="0.3">
      <c r="A80">
        <v>2372036</v>
      </c>
      <c r="B80" t="s">
        <v>891</v>
      </c>
      <c r="C80" t="s">
        <v>29</v>
      </c>
      <c r="D80" t="s">
        <v>892</v>
      </c>
      <c r="E80" t="s">
        <v>892</v>
      </c>
      <c r="F80" s="1">
        <v>46092.659479166658</v>
      </c>
      <c r="G80" t="s">
        <v>31</v>
      </c>
      <c r="H80">
        <v>0</v>
      </c>
      <c r="I80">
        <v>62</v>
      </c>
      <c r="J80">
        <v>366</v>
      </c>
      <c r="K80">
        <v>428</v>
      </c>
      <c r="L80">
        <v>193</v>
      </c>
      <c r="M80">
        <v>1015</v>
      </c>
      <c r="N80">
        <v>864</v>
      </c>
      <c r="O80">
        <v>4</v>
      </c>
      <c r="P80">
        <v>5</v>
      </c>
      <c r="Q80">
        <v>4</v>
      </c>
      <c r="R80" t="s">
        <v>893</v>
      </c>
      <c r="S80" t="s">
        <v>252</v>
      </c>
      <c r="T80" t="s">
        <v>894</v>
      </c>
      <c r="U80" t="s">
        <v>895</v>
      </c>
      <c r="V80" t="s">
        <v>896</v>
      </c>
      <c r="W80" t="s">
        <v>897</v>
      </c>
      <c r="X80" t="s">
        <v>38</v>
      </c>
      <c r="Y80" t="b">
        <v>0</v>
      </c>
      <c r="Z80" t="s">
        <v>39</v>
      </c>
      <c r="AA80" t="s">
        <v>898</v>
      </c>
      <c r="AB80" t="s">
        <v>41</v>
      </c>
      <c r="AC80">
        <f t="shared" si="1"/>
        <v>4</v>
      </c>
    </row>
    <row r="81" spans="1:29" x14ac:dyDescent="0.3">
      <c r="A81">
        <v>2372036</v>
      </c>
      <c r="B81" t="s">
        <v>1258</v>
      </c>
      <c r="C81" t="s">
        <v>29</v>
      </c>
      <c r="D81" t="s">
        <v>1259</v>
      </c>
      <c r="E81" t="s">
        <v>1259</v>
      </c>
      <c r="F81" s="1">
        <v>46078.648819444446</v>
      </c>
      <c r="G81" t="s">
        <v>67</v>
      </c>
      <c r="H81">
        <v>0</v>
      </c>
      <c r="I81">
        <v>80</v>
      </c>
      <c r="J81">
        <v>345</v>
      </c>
      <c r="K81">
        <v>425</v>
      </c>
      <c r="L81">
        <v>326</v>
      </c>
      <c r="M81">
        <v>1134</v>
      </c>
      <c r="N81">
        <v>1381</v>
      </c>
      <c r="O81">
        <v>4</v>
      </c>
      <c r="P81">
        <v>5</v>
      </c>
      <c r="Q81">
        <v>4</v>
      </c>
      <c r="R81" t="s">
        <v>1260</v>
      </c>
      <c r="S81" t="s">
        <v>1261</v>
      </c>
      <c r="T81" t="s">
        <v>1262</v>
      </c>
      <c r="U81" t="s">
        <v>1263</v>
      </c>
      <c r="V81" t="s">
        <v>1264</v>
      </c>
      <c r="W81" t="s">
        <v>649</v>
      </c>
      <c r="X81" t="s">
        <v>38</v>
      </c>
      <c r="Y81" t="b">
        <v>0</v>
      </c>
      <c r="Z81" t="s">
        <v>39</v>
      </c>
      <c r="AA81" t="s">
        <v>1265</v>
      </c>
      <c r="AB81" t="s">
        <v>41</v>
      </c>
      <c r="AC81">
        <f t="shared" si="1"/>
        <v>4</v>
      </c>
    </row>
    <row r="82" spans="1:29" x14ac:dyDescent="0.3">
      <c r="A82">
        <v>2372036</v>
      </c>
      <c r="B82" t="s">
        <v>1567</v>
      </c>
      <c r="C82" t="s">
        <v>29</v>
      </c>
      <c r="D82" t="s">
        <v>1568</v>
      </c>
      <c r="E82" t="s">
        <v>1568</v>
      </c>
      <c r="F82" s="1">
        <v>46120.645243055558</v>
      </c>
      <c r="G82" t="s">
        <v>56</v>
      </c>
      <c r="H82">
        <v>0</v>
      </c>
      <c r="I82">
        <v>316</v>
      </c>
      <c r="J82">
        <v>344</v>
      </c>
      <c r="K82">
        <v>660</v>
      </c>
      <c r="L82">
        <v>1081</v>
      </c>
      <c r="M82">
        <v>1100</v>
      </c>
      <c r="N82">
        <v>1727</v>
      </c>
      <c r="O82">
        <v>4</v>
      </c>
      <c r="P82">
        <v>5</v>
      </c>
      <c r="Q82">
        <v>5</v>
      </c>
      <c r="R82" t="s">
        <v>1130</v>
      </c>
      <c r="S82" t="s">
        <v>1569</v>
      </c>
      <c r="T82" t="s">
        <v>1570</v>
      </c>
      <c r="U82" t="s">
        <v>270</v>
      </c>
      <c r="V82" t="s">
        <v>1571</v>
      </c>
      <c r="W82" t="s">
        <v>247</v>
      </c>
      <c r="X82" t="s">
        <v>154</v>
      </c>
      <c r="Y82" t="b">
        <v>0</v>
      </c>
      <c r="Z82" t="s">
        <v>39</v>
      </c>
      <c r="AA82" t="s">
        <v>1572</v>
      </c>
      <c r="AB82" t="s">
        <v>41</v>
      </c>
      <c r="AC82">
        <f t="shared" si="1"/>
        <v>5</v>
      </c>
    </row>
    <row r="83" spans="1:29" x14ac:dyDescent="0.3">
      <c r="A83">
        <v>2372036</v>
      </c>
      <c r="B83" t="s">
        <v>1582</v>
      </c>
      <c r="C83" t="s">
        <v>29</v>
      </c>
      <c r="D83" t="s">
        <v>1583</v>
      </c>
      <c r="E83" t="s">
        <v>1583</v>
      </c>
      <c r="F83" s="1">
        <v>46127.608032407406</v>
      </c>
      <c r="G83" t="s">
        <v>45</v>
      </c>
      <c r="H83">
        <v>0</v>
      </c>
      <c r="I83">
        <v>50</v>
      </c>
      <c r="J83">
        <v>906</v>
      </c>
      <c r="K83">
        <v>956</v>
      </c>
      <c r="L83">
        <v>167</v>
      </c>
      <c r="M83">
        <v>3428</v>
      </c>
      <c r="N83">
        <v>1745</v>
      </c>
      <c r="O83">
        <v>4</v>
      </c>
      <c r="P83">
        <v>5</v>
      </c>
      <c r="Q83">
        <v>5</v>
      </c>
      <c r="R83" t="s">
        <v>139</v>
      </c>
      <c r="S83" t="s">
        <v>387</v>
      </c>
      <c r="T83" t="s">
        <v>237</v>
      </c>
      <c r="U83" t="s">
        <v>1584</v>
      </c>
      <c r="V83" t="s">
        <v>1585</v>
      </c>
      <c r="W83" t="s">
        <v>1586</v>
      </c>
      <c r="X83" t="s">
        <v>154</v>
      </c>
      <c r="Y83" t="b">
        <v>0</v>
      </c>
      <c r="Z83" t="s">
        <v>39</v>
      </c>
      <c r="AA83" t="s">
        <v>1587</v>
      </c>
      <c r="AB83" t="s">
        <v>41</v>
      </c>
      <c r="AC83">
        <f t="shared" si="1"/>
        <v>5</v>
      </c>
    </row>
    <row r="84" spans="1:29" x14ac:dyDescent="0.3">
      <c r="A84">
        <v>2372036</v>
      </c>
      <c r="B84" t="s">
        <v>3582</v>
      </c>
      <c r="C84" t="s">
        <v>29</v>
      </c>
      <c r="D84" t="s">
        <v>3583</v>
      </c>
      <c r="E84" t="s">
        <v>3583</v>
      </c>
      <c r="F84" s="1">
        <v>46127.60664351852</v>
      </c>
      <c r="G84" t="s">
        <v>45</v>
      </c>
      <c r="H84">
        <v>0</v>
      </c>
      <c r="I84">
        <v>74</v>
      </c>
      <c r="J84">
        <v>1040</v>
      </c>
      <c r="K84">
        <v>1114</v>
      </c>
      <c r="L84">
        <v>289</v>
      </c>
      <c r="M84">
        <v>3969</v>
      </c>
      <c r="N84">
        <v>4091</v>
      </c>
      <c r="O84">
        <v>4</v>
      </c>
      <c r="P84">
        <v>5</v>
      </c>
      <c r="Q84">
        <v>5</v>
      </c>
      <c r="R84" t="s">
        <v>3584</v>
      </c>
      <c r="S84" t="s">
        <v>1752</v>
      </c>
      <c r="T84" t="s">
        <v>3585</v>
      </c>
      <c r="U84" t="s">
        <v>1228</v>
      </c>
      <c r="V84" t="s">
        <v>3586</v>
      </c>
      <c r="W84" t="s">
        <v>3587</v>
      </c>
      <c r="X84" t="s">
        <v>154</v>
      </c>
      <c r="Y84" t="b">
        <v>0</v>
      </c>
      <c r="Z84" t="s">
        <v>39</v>
      </c>
      <c r="AA84" t="s">
        <v>3588</v>
      </c>
      <c r="AB84" t="s">
        <v>41</v>
      </c>
      <c r="AC84">
        <f t="shared" si="1"/>
        <v>5</v>
      </c>
    </row>
    <row r="85" spans="1:29" x14ac:dyDescent="0.3">
      <c r="A85">
        <v>2372036</v>
      </c>
      <c r="B85" t="s">
        <v>3603</v>
      </c>
      <c r="C85" t="s">
        <v>29</v>
      </c>
      <c r="D85" t="s">
        <v>3604</v>
      </c>
      <c r="E85" t="s">
        <v>3604</v>
      </c>
      <c r="F85" s="1">
        <v>46092.643229166657</v>
      </c>
      <c r="G85" t="s">
        <v>31</v>
      </c>
      <c r="H85">
        <v>0</v>
      </c>
      <c r="I85">
        <v>106</v>
      </c>
      <c r="J85">
        <v>296</v>
      </c>
      <c r="K85">
        <v>402</v>
      </c>
      <c r="L85">
        <v>393</v>
      </c>
      <c r="M85">
        <v>996</v>
      </c>
      <c r="N85">
        <v>4143</v>
      </c>
      <c r="O85">
        <v>3</v>
      </c>
      <c r="P85">
        <v>5</v>
      </c>
      <c r="Q85">
        <v>4</v>
      </c>
      <c r="R85" t="s">
        <v>510</v>
      </c>
      <c r="S85" t="s">
        <v>511</v>
      </c>
      <c r="T85" t="s">
        <v>3605</v>
      </c>
      <c r="U85" t="s">
        <v>208</v>
      </c>
      <c r="V85" t="s">
        <v>3606</v>
      </c>
      <c r="W85" t="s">
        <v>256</v>
      </c>
      <c r="X85" t="s">
        <v>38</v>
      </c>
      <c r="Y85" t="b">
        <v>0</v>
      </c>
      <c r="Z85" t="s">
        <v>39</v>
      </c>
      <c r="AA85" t="s">
        <v>3607</v>
      </c>
      <c r="AB85" t="s">
        <v>41</v>
      </c>
      <c r="AC85">
        <f t="shared" si="1"/>
        <v>4</v>
      </c>
    </row>
    <row r="86" spans="1:29" x14ac:dyDescent="0.3">
      <c r="A86">
        <v>2372036</v>
      </c>
      <c r="B86" t="s">
        <v>4010</v>
      </c>
      <c r="C86" t="s">
        <v>29</v>
      </c>
      <c r="D86" t="s">
        <v>4011</v>
      </c>
      <c r="E86" t="s">
        <v>4011</v>
      </c>
      <c r="F86" s="1">
        <v>46078.665497685193</v>
      </c>
      <c r="G86" t="s">
        <v>67</v>
      </c>
      <c r="H86">
        <v>0</v>
      </c>
      <c r="I86">
        <v>61</v>
      </c>
      <c r="J86">
        <v>350</v>
      </c>
      <c r="K86">
        <v>411</v>
      </c>
      <c r="L86">
        <v>222</v>
      </c>
      <c r="M86">
        <v>1198</v>
      </c>
      <c r="N86">
        <v>4681</v>
      </c>
      <c r="O86">
        <v>3</v>
      </c>
      <c r="P86">
        <v>4</v>
      </c>
      <c r="Q86">
        <v>4</v>
      </c>
      <c r="R86" t="s">
        <v>4012</v>
      </c>
      <c r="S86" t="s">
        <v>4013</v>
      </c>
      <c r="T86" t="s">
        <v>4014</v>
      </c>
      <c r="U86" t="s">
        <v>4015</v>
      </c>
      <c r="V86" t="s">
        <v>4016</v>
      </c>
      <c r="W86" t="s">
        <v>4017</v>
      </c>
      <c r="X86" t="s">
        <v>38</v>
      </c>
      <c r="Y86" t="b">
        <v>0</v>
      </c>
      <c r="Z86" t="s">
        <v>39</v>
      </c>
      <c r="AA86" t="s">
        <v>4018</v>
      </c>
      <c r="AB86" t="s">
        <v>41</v>
      </c>
      <c r="AC86">
        <f t="shared" si="1"/>
        <v>4</v>
      </c>
    </row>
    <row r="87" spans="1:29" x14ac:dyDescent="0.3">
      <c r="A87">
        <v>2372041</v>
      </c>
      <c r="B87" t="s">
        <v>930</v>
      </c>
      <c r="C87" t="s">
        <v>29</v>
      </c>
      <c r="D87" t="s">
        <v>931</v>
      </c>
      <c r="E87" t="s">
        <v>931</v>
      </c>
      <c r="F87" s="1">
        <v>46092.548275462963</v>
      </c>
      <c r="G87" t="s">
        <v>31</v>
      </c>
      <c r="H87">
        <v>0</v>
      </c>
      <c r="I87">
        <v>51</v>
      </c>
      <c r="J87">
        <v>204</v>
      </c>
      <c r="K87">
        <v>255</v>
      </c>
      <c r="L87">
        <v>218</v>
      </c>
      <c r="M87">
        <v>783</v>
      </c>
      <c r="N87">
        <v>897</v>
      </c>
      <c r="O87">
        <v>3</v>
      </c>
      <c r="P87">
        <v>4</v>
      </c>
      <c r="Q87">
        <v>4</v>
      </c>
      <c r="R87" t="s">
        <v>932</v>
      </c>
      <c r="S87" t="s">
        <v>933</v>
      </c>
      <c r="T87" t="s">
        <v>934</v>
      </c>
      <c r="U87" t="s">
        <v>935</v>
      </c>
      <c r="V87" t="s">
        <v>936</v>
      </c>
      <c r="W87" t="s">
        <v>937</v>
      </c>
      <c r="X87" t="s">
        <v>38</v>
      </c>
      <c r="Y87" t="b">
        <v>0</v>
      </c>
      <c r="Z87" t="s">
        <v>39</v>
      </c>
      <c r="AA87" t="s">
        <v>938</v>
      </c>
      <c r="AB87" t="s">
        <v>41</v>
      </c>
      <c r="AC87">
        <f t="shared" si="1"/>
        <v>4</v>
      </c>
    </row>
    <row r="88" spans="1:29" x14ac:dyDescent="0.3">
      <c r="A88">
        <v>2372041</v>
      </c>
      <c r="B88" t="s">
        <v>1549</v>
      </c>
      <c r="C88" t="s">
        <v>29</v>
      </c>
      <c r="D88" t="s">
        <v>1550</v>
      </c>
      <c r="E88" t="s">
        <v>1550</v>
      </c>
      <c r="F88" s="1">
        <v>46127.596851851849</v>
      </c>
      <c r="G88" t="s">
        <v>45</v>
      </c>
      <c r="H88">
        <v>0</v>
      </c>
      <c r="I88">
        <v>41</v>
      </c>
      <c r="J88">
        <v>862</v>
      </c>
      <c r="K88">
        <v>903</v>
      </c>
      <c r="L88">
        <v>146</v>
      </c>
      <c r="M88">
        <v>3074</v>
      </c>
      <c r="N88">
        <v>1710</v>
      </c>
      <c r="O88">
        <v>4</v>
      </c>
      <c r="P88">
        <v>5</v>
      </c>
      <c r="Q88">
        <v>5</v>
      </c>
      <c r="R88" t="s">
        <v>1551</v>
      </c>
      <c r="S88" t="s">
        <v>1552</v>
      </c>
      <c r="T88" t="s">
        <v>1553</v>
      </c>
      <c r="U88" t="s">
        <v>1554</v>
      </c>
      <c r="V88" t="s">
        <v>1555</v>
      </c>
      <c r="W88" t="s">
        <v>1556</v>
      </c>
      <c r="X88" t="s">
        <v>154</v>
      </c>
      <c r="Y88" t="b">
        <v>0</v>
      </c>
      <c r="Z88" t="s">
        <v>39</v>
      </c>
      <c r="AA88" t="s">
        <v>1557</v>
      </c>
      <c r="AB88" t="s">
        <v>41</v>
      </c>
      <c r="AC88">
        <f t="shared" si="1"/>
        <v>5</v>
      </c>
    </row>
    <row r="89" spans="1:29" x14ac:dyDescent="0.3">
      <c r="A89">
        <v>2372041</v>
      </c>
      <c r="B89" t="s">
        <v>2821</v>
      </c>
      <c r="C89" t="s">
        <v>29</v>
      </c>
      <c r="D89" t="s">
        <v>2822</v>
      </c>
      <c r="E89" t="s">
        <v>2822</v>
      </c>
      <c r="F89" s="1">
        <v>46078.673101851848</v>
      </c>
      <c r="G89" t="s">
        <v>67</v>
      </c>
      <c r="H89">
        <v>0</v>
      </c>
      <c r="I89">
        <v>51</v>
      </c>
      <c r="J89">
        <v>306</v>
      </c>
      <c r="K89">
        <v>357</v>
      </c>
      <c r="L89">
        <v>221</v>
      </c>
      <c r="M89">
        <v>1235</v>
      </c>
      <c r="N89">
        <v>3226</v>
      </c>
      <c r="O89">
        <v>4</v>
      </c>
      <c r="P89">
        <v>5</v>
      </c>
      <c r="Q89">
        <v>5</v>
      </c>
      <c r="R89" t="s">
        <v>2823</v>
      </c>
      <c r="S89" t="s">
        <v>2824</v>
      </c>
      <c r="T89" t="s">
        <v>2825</v>
      </c>
      <c r="U89" t="s">
        <v>2826</v>
      </c>
      <c r="V89" t="s">
        <v>2827</v>
      </c>
      <c r="W89" t="s">
        <v>1982</v>
      </c>
      <c r="X89" t="s">
        <v>154</v>
      </c>
      <c r="Y89" t="b">
        <v>0</v>
      </c>
      <c r="Z89" t="s">
        <v>39</v>
      </c>
      <c r="AA89" t="s">
        <v>2828</v>
      </c>
      <c r="AB89" t="s">
        <v>41</v>
      </c>
      <c r="AC89">
        <f t="shared" si="1"/>
        <v>5</v>
      </c>
    </row>
    <row r="90" spans="1:29" x14ac:dyDescent="0.3">
      <c r="A90">
        <v>2372041</v>
      </c>
      <c r="B90" t="s">
        <v>2934</v>
      </c>
      <c r="C90" t="s">
        <v>29</v>
      </c>
      <c r="D90" t="s">
        <v>2935</v>
      </c>
      <c r="E90" t="s">
        <v>2935</v>
      </c>
      <c r="F90" s="1">
        <v>46113.620497685188</v>
      </c>
      <c r="G90" t="s">
        <v>304</v>
      </c>
      <c r="H90">
        <v>0</v>
      </c>
      <c r="I90">
        <v>43</v>
      </c>
      <c r="J90">
        <v>924</v>
      </c>
      <c r="K90">
        <v>967</v>
      </c>
      <c r="L90">
        <v>150</v>
      </c>
      <c r="M90">
        <v>2916</v>
      </c>
      <c r="N90">
        <v>3379</v>
      </c>
      <c r="O90">
        <v>4</v>
      </c>
      <c r="P90">
        <v>5</v>
      </c>
      <c r="Q90">
        <v>5</v>
      </c>
      <c r="R90" t="s">
        <v>2936</v>
      </c>
      <c r="S90" t="s">
        <v>2937</v>
      </c>
      <c r="T90" t="s">
        <v>2938</v>
      </c>
      <c r="U90" t="s">
        <v>1704</v>
      </c>
      <c r="V90" t="s">
        <v>2939</v>
      </c>
      <c r="W90" t="s">
        <v>2940</v>
      </c>
      <c r="X90" t="s">
        <v>154</v>
      </c>
      <c r="Y90" t="b">
        <v>0</v>
      </c>
      <c r="Z90" t="s">
        <v>39</v>
      </c>
      <c r="AA90" t="s">
        <v>2941</v>
      </c>
      <c r="AB90" t="s">
        <v>41</v>
      </c>
      <c r="AC90">
        <f t="shared" si="1"/>
        <v>5</v>
      </c>
    </row>
    <row r="91" spans="1:29" x14ac:dyDescent="0.3">
      <c r="A91">
        <v>2372041</v>
      </c>
      <c r="B91" t="s">
        <v>3324</v>
      </c>
      <c r="C91" t="s">
        <v>29</v>
      </c>
      <c r="D91" t="s">
        <v>3325</v>
      </c>
      <c r="E91" t="s">
        <v>3325</v>
      </c>
      <c r="F91" s="1">
        <v>46113.560115740736</v>
      </c>
      <c r="G91" t="s">
        <v>304</v>
      </c>
      <c r="H91">
        <v>0</v>
      </c>
      <c r="I91">
        <v>276</v>
      </c>
      <c r="J91">
        <v>299</v>
      </c>
      <c r="K91">
        <v>575</v>
      </c>
      <c r="L91">
        <v>888</v>
      </c>
      <c r="M91">
        <v>911</v>
      </c>
      <c r="N91">
        <v>3788</v>
      </c>
      <c r="O91">
        <v>5</v>
      </c>
      <c r="P91">
        <v>5</v>
      </c>
      <c r="Q91">
        <v>5</v>
      </c>
      <c r="R91" t="s">
        <v>148</v>
      </c>
      <c r="S91" t="s">
        <v>125</v>
      </c>
      <c r="T91" t="s">
        <v>3326</v>
      </c>
      <c r="U91" t="s">
        <v>125</v>
      </c>
      <c r="V91" t="s">
        <v>1608</v>
      </c>
      <c r="W91" t="s">
        <v>1608</v>
      </c>
      <c r="X91" t="s">
        <v>154</v>
      </c>
      <c r="Y91" t="b">
        <v>0</v>
      </c>
      <c r="Z91" t="s">
        <v>39</v>
      </c>
      <c r="AA91" t="s">
        <v>3327</v>
      </c>
      <c r="AB91" t="s">
        <v>41</v>
      </c>
      <c r="AC91">
        <f t="shared" si="1"/>
        <v>5</v>
      </c>
    </row>
    <row r="92" spans="1:29" x14ac:dyDescent="0.3">
      <c r="A92">
        <v>2372041</v>
      </c>
      <c r="B92" t="s">
        <v>3674</v>
      </c>
      <c r="C92" t="s">
        <v>29</v>
      </c>
      <c r="D92" t="s">
        <v>3675</v>
      </c>
      <c r="E92" t="s">
        <v>3676</v>
      </c>
      <c r="F92" s="1">
        <v>46078.649386574078</v>
      </c>
      <c r="G92" t="s">
        <v>67</v>
      </c>
      <c r="H92">
        <v>0</v>
      </c>
      <c r="I92">
        <v>35</v>
      </c>
      <c r="J92">
        <v>390</v>
      </c>
      <c r="K92">
        <v>425</v>
      </c>
      <c r="L92">
        <v>127</v>
      </c>
      <c r="M92">
        <v>1301</v>
      </c>
      <c r="N92">
        <v>4216</v>
      </c>
      <c r="O92">
        <v>4</v>
      </c>
      <c r="P92">
        <v>5</v>
      </c>
      <c r="Q92">
        <v>5</v>
      </c>
      <c r="R92" t="s">
        <v>3677</v>
      </c>
      <c r="S92" t="s">
        <v>3678</v>
      </c>
      <c r="T92" t="s">
        <v>3679</v>
      </c>
      <c r="U92" t="s">
        <v>2490</v>
      </c>
      <c r="V92" t="s">
        <v>3680</v>
      </c>
      <c r="W92" t="s">
        <v>2492</v>
      </c>
      <c r="X92" t="s">
        <v>154</v>
      </c>
      <c r="Y92" t="b">
        <v>0</v>
      </c>
      <c r="Z92" t="s">
        <v>39</v>
      </c>
      <c r="AA92" t="s">
        <v>3681</v>
      </c>
      <c r="AB92" t="s">
        <v>41</v>
      </c>
      <c r="AC92">
        <f t="shared" si="1"/>
        <v>5</v>
      </c>
    </row>
    <row r="93" spans="1:29" x14ac:dyDescent="0.3">
      <c r="A93">
        <v>2372041</v>
      </c>
      <c r="B93" t="s">
        <v>3732</v>
      </c>
      <c r="C93" t="s">
        <v>29</v>
      </c>
      <c r="D93" t="s">
        <v>3733</v>
      </c>
      <c r="E93" t="s">
        <v>3733</v>
      </c>
      <c r="F93" s="1">
        <v>46127.589513888888</v>
      </c>
      <c r="G93" t="s">
        <v>45</v>
      </c>
      <c r="H93">
        <v>0</v>
      </c>
      <c r="I93">
        <v>41</v>
      </c>
      <c r="J93">
        <v>1079</v>
      </c>
      <c r="K93">
        <v>1120</v>
      </c>
      <c r="L93">
        <v>153</v>
      </c>
      <c r="M93">
        <v>3496</v>
      </c>
      <c r="N93">
        <v>4294</v>
      </c>
      <c r="O93">
        <v>3</v>
      </c>
      <c r="P93">
        <v>4</v>
      </c>
      <c r="Q93">
        <v>4</v>
      </c>
      <c r="R93" t="s">
        <v>3734</v>
      </c>
      <c r="S93" t="s">
        <v>3735</v>
      </c>
      <c r="T93" t="s">
        <v>3736</v>
      </c>
      <c r="U93" t="s">
        <v>3737</v>
      </c>
      <c r="V93" t="s">
        <v>3738</v>
      </c>
      <c r="W93" t="s">
        <v>3739</v>
      </c>
      <c r="X93" t="s">
        <v>38</v>
      </c>
      <c r="Y93" t="b">
        <v>0</v>
      </c>
      <c r="Z93" t="s">
        <v>39</v>
      </c>
      <c r="AA93" t="s">
        <v>3740</v>
      </c>
      <c r="AB93" t="s">
        <v>41</v>
      </c>
      <c r="AC93">
        <f t="shared" si="1"/>
        <v>4</v>
      </c>
    </row>
    <row r="94" spans="1:29" x14ac:dyDescent="0.3">
      <c r="A94">
        <v>2372041</v>
      </c>
      <c r="B94" t="s">
        <v>3766</v>
      </c>
      <c r="C94" t="s">
        <v>29</v>
      </c>
      <c r="D94" t="s">
        <v>3767</v>
      </c>
      <c r="E94" t="s">
        <v>3767</v>
      </c>
      <c r="F94" s="1">
        <v>46092.549456018518</v>
      </c>
      <c r="G94" t="s">
        <v>31</v>
      </c>
      <c r="H94">
        <v>0</v>
      </c>
      <c r="I94">
        <v>54</v>
      </c>
      <c r="J94">
        <v>184</v>
      </c>
      <c r="K94">
        <v>238</v>
      </c>
      <c r="L94">
        <v>212</v>
      </c>
      <c r="M94">
        <v>688</v>
      </c>
      <c r="N94">
        <v>4318</v>
      </c>
      <c r="O94">
        <v>4</v>
      </c>
      <c r="P94">
        <v>5</v>
      </c>
      <c r="Q94">
        <v>4</v>
      </c>
      <c r="R94" t="s">
        <v>3768</v>
      </c>
      <c r="S94" t="s">
        <v>3769</v>
      </c>
      <c r="T94" t="s">
        <v>3770</v>
      </c>
      <c r="U94" t="s">
        <v>170</v>
      </c>
      <c r="V94" t="s">
        <v>3771</v>
      </c>
      <c r="W94" t="s">
        <v>143</v>
      </c>
      <c r="X94" t="s">
        <v>38</v>
      </c>
      <c r="Y94" t="b">
        <v>0</v>
      </c>
      <c r="Z94" t="s">
        <v>39</v>
      </c>
      <c r="AA94" t="s">
        <v>3772</v>
      </c>
      <c r="AB94" t="s">
        <v>41</v>
      </c>
      <c r="AC94">
        <f t="shared" si="1"/>
        <v>4</v>
      </c>
    </row>
    <row r="95" spans="1:29" x14ac:dyDescent="0.3">
      <c r="A95">
        <v>2372042</v>
      </c>
      <c r="B95" t="s">
        <v>690</v>
      </c>
      <c r="C95" t="s">
        <v>29</v>
      </c>
      <c r="D95" t="s">
        <v>691</v>
      </c>
      <c r="E95" t="s">
        <v>692</v>
      </c>
      <c r="F95" s="1">
        <v>46085.636886574073</v>
      </c>
      <c r="G95" t="s">
        <v>177</v>
      </c>
      <c r="H95">
        <v>0</v>
      </c>
      <c r="I95">
        <v>138</v>
      </c>
      <c r="J95">
        <v>12</v>
      </c>
      <c r="K95">
        <v>150</v>
      </c>
      <c r="L95">
        <v>402</v>
      </c>
      <c r="M95">
        <v>44</v>
      </c>
      <c r="N95">
        <v>726</v>
      </c>
      <c r="O95">
        <v>4</v>
      </c>
      <c r="P95">
        <v>5</v>
      </c>
      <c r="Q95">
        <v>4</v>
      </c>
      <c r="R95" t="s">
        <v>693</v>
      </c>
      <c r="S95" t="s">
        <v>694</v>
      </c>
      <c r="T95" t="s">
        <v>695</v>
      </c>
      <c r="U95" t="s">
        <v>696</v>
      </c>
      <c r="V95" t="s">
        <v>697</v>
      </c>
      <c r="W95" t="s">
        <v>698</v>
      </c>
      <c r="X95" t="s">
        <v>38</v>
      </c>
      <c r="Y95" t="b">
        <v>0</v>
      </c>
      <c r="Z95" t="s">
        <v>39</v>
      </c>
      <c r="AA95" t="s">
        <v>699</v>
      </c>
      <c r="AB95" t="s">
        <v>41</v>
      </c>
      <c r="AC95">
        <f t="shared" si="1"/>
        <v>4</v>
      </c>
    </row>
    <row r="96" spans="1:29" x14ac:dyDescent="0.3">
      <c r="A96">
        <v>2372042</v>
      </c>
      <c r="B96" t="s">
        <v>982</v>
      </c>
      <c r="C96" t="s">
        <v>29</v>
      </c>
      <c r="D96" t="s">
        <v>983</v>
      </c>
      <c r="E96" t="s">
        <v>984</v>
      </c>
      <c r="F96" s="1">
        <v>46085.643391203703</v>
      </c>
      <c r="G96" t="s">
        <v>177</v>
      </c>
      <c r="H96">
        <v>0</v>
      </c>
      <c r="I96">
        <v>178</v>
      </c>
      <c r="J96">
        <v>19</v>
      </c>
      <c r="K96">
        <v>197</v>
      </c>
      <c r="L96">
        <v>535</v>
      </c>
      <c r="M96">
        <v>79</v>
      </c>
      <c r="N96">
        <v>942</v>
      </c>
      <c r="O96">
        <v>4</v>
      </c>
      <c r="P96">
        <v>5</v>
      </c>
      <c r="Q96">
        <v>4</v>
      </c>
      <c r="R96" t="s">
        <v>32</v>
      </c>
      <c r="S96" t="s">
        <v>985</v>
      </c>
      <c r="T96" t="s">
        <v>986</v>
      </c>
      <c r="U96" t="s">
        <v>181</v>
      </c>
      <c r="V96" t="s">
        <v>987</v>
      </c>
      <c r="W96" t="s">
        <v>183</v>
      </c>
      <c r="X96" t="s">
        <v>38</v>
      </c>
      <c r="Y96" t="b">
        <v>0</v>
      </c>
      <c r="Z96" t="s">
        <v>39</v>
      </c>
      <c r="AA96" t="s">
        <v>988</v>
      </c>
      <c r="AB96" t="s">
        <v>41</v>
      </c>
      <c r="AC96">
        <f t="shared" si="1"/>
        <v>4</v>
      </c>
    </row>
    <row r="97" spans="1:29" x14ac:dyDescent="0.3">
      <c r="A97">
        <v>2372042</v>
      </c>
      <c r="B97" t="s">
        <v>1151</v>
      </c>
      <c r="C97" t="s">
        <v>29</v>
      </c>
      <c r="D97" t="s">
        <v>1152</v>
      </c>
      <c r="E97" t="s">
        <v>1153</v>
      </c>
      <c r="F97" s="1">
        <v>46078.68037037037</v>
      </c>
      <c r="G97" t="s">
        <v>67</v>
      </c>
      <c r="H97">
        <v>0</v>
      </c>
      <c r="I97">
        <v>48</v>
      </c>
      <c r="J97">
        <v>106</v>
      </c>
      <c r="K97">
        <v>154</v>
      </c>
      <c r="L97">
        <v>159</v>
      </c>
      <c r="M97">
        <v>352</v>
      </c>
      <c r="N97">
        <v>1222</v>
      </c>
      <c r="O97">
        <v>4</v>
      </c>
      <c r="P97">
        <v>4</v>
      </c>
      <c r="Q97">
        <v>4</v>
      </c>
      <c r="R97" t="s">
        <v>1154</v>
      </c>
      <c r="S97" t="s">
        <v>1155</v>
      </c>
      <c r="T97" t="s">
        <v>1156</v>
      </c>
      <c r="U97" t="s">
        <v>1157</v>
      </c>
      <c r="V97" t="s">
        <v>1158</v>
      </c>
      <c r="W97" t="s">
        <v>1159</v>
      </c>
      <c r="X97" t="s">
        <v>38</v>
      </c>
      <c r="Y97" t="b">
        <v>0</v>
      </c>
      <c r="Z97" t="s">
        <v>39</v>
      </c>
      <c r="AA97" t="s">
        <v>1160</v>
      </c>
      <c r="AB97" t="s">
        <v>41</v>
      </c>
      <c r="AC97">
        <f t="shared" si="1"/>
        <v>4</v>
      </c>
    </row>
    <row r="98" spans="1:29" x14ac:dyDescent="0.3">
      <c r="A98">
        <v>2372042</v>
      </c>
      <c r="B98" t="s">
        <v>1320</v>
      </c>
      <c r="C98" t="s">
        <v>29</v>
      </c>
      <c r="D98" t="s">
        <v>1321</v>
      </c>
      <c r="E98" t="s">
        <v>1322</v>
      </c>
      <c r="F98" s="1">
        <v>46092.643182870372</v>
      </c>
      <c r="G98" t="s">
        <v>31</v>
      </c>
      <c r="H98">
        <v>0</v>
      </c>
      <c r="I98">
        <v>55</v>
      </c>
      <c r="J98">
        <v>55</v>
      </c>
      <c r="K98">
        <v>110</v>
      </c>
      <c r="L98">
        <v>188</v>
      </c>
      <c r="M98">
        <v>185</v>
      </c>
      <c r="N98">
        <v>1480</v>
      </c>
      <c r="O98">
        <v>3</v>
      </c>
      <c r="P98">
        <v>4</v>
      </c>
      <c r="Q98">
        <v>3</v>
      </c>
      <c r="R98" t="s">
        <v>1323</v>
      </c>
      <c r="S98" t="s">
        <v>1324</v>
      </c>
      <c r="T98" t="s">
        <v>1325</v>
      </c>
      <c r="U98" t="s">
        <v>1326</v>
      </c>
      <c r="V98" t="s">
        <v>1327</v>
      </c>
      <c r="W98" t="s">
        <v>1328</v>
      </c>
      <c r="X98" t="s">
        <v>84</v>
      </c>
      <c r="Y98" t="b">
        <v>0</v>
      </c>
      <c r="Z98" t="s">
        <v>39</v>
      </c>
      <c r="AA98" t="s">
        <v>1329</v>
      </c>
      <c r="AB98" t="s">
        <v>41</v>
      </c>
      <c r="AC98">
        <f t="shared" si="1"/>
        <v>3</v>
      </c>
    </row>
    <row r="99" spans="1:29" x14ac:dyDescent="0.3">
      <c r="A99">
        <v>2372042</v>
      </c>
      <c r="B99" t="s">
        <v>1495</v>
      </c>
      <c r="C99" t="s">
        <v>29</v>
      </c>
      <c r="D99" t="s">
        <v>1496</v>
      </c>
      <c r="E99" t="s">
        <v>1497</v>
      </c>
      <c r="F99" s="1">
        <v>46078.685196759259</v>
      </c>
      <c r="G99" t="s">
        <v>67</v>
      </c>
      <c r="H99">
        <v>0</v>
      </c>
      <c r="I99">
        <v>134</v>
      </c>
      <c r="J99">
        <v>101</v>
      </c>
      <c r="K99">
        <v>235</v>
      </c>
      <c r="L99">
        <v>509</v>
      </c>
      <c r="M99">
        <v>329</v>
      </c>
      <c r="N99">
        <v>1631</v>
      </c>
      <c r="O99">
        <v>4</v>
      </c>
      <c r="P99">
        <v>5</v>
      </c>
      <c r="Q99">
        <v>4</v>
      </c>
      <c r="R99" t="s">
        <v>139</v>
      </c>
      <c r="S99" t="s">
        <v>1498</v>
      </c>
      <c r="T99" t="s">
        <v>1499</v>
      </c>
      <c r="U99" t="s">
        <v>125</v>
      </c>
      <c r="V99" t="s">
        <v>1500</v>
      </c>
      <c r="W99" t="s">
        <v>1486</v>
      </c>
      <c r="X99" t="s">
        <v>38</v>
      </c>
      <c r="Y99" t="b">
        <v>0</v>
      </c>
      <c r="Z99" t="s">
        <v>39</v>
      </c>
      <c r="AA99" t="s">
        <v>1501</v>
      </c>
      <c r="AB99" t="s">
        <v>41</v>
      </c>
      <c r="AC99">
        <f t="shared" si="1"/>
        <v>4</v>
      </c>
    </row>
    <row r="100" spans="1:29" x14ac:dyDescent="0.3">
      <c r="A100">
        <v>2372042</v>
      </c>
      <c r="B100" t="s">
        <v>1707</v>
      </c>
      <c r="C100" t="s">
        <v>29</v>
      </c>
      <c r="D100" t="s">
        <v>1708</v>
      </c>
      <c r="E100" t="s">
        <v>1709</v>
      </c>
      <c r="F100" s="1">
        <v>46092.676840277767</v>
      </c>
      <c r="G100" t="s">
        <v>31</v>
      </c>
      <c r="H100">
        <v>0</v>
      </c>
      <c r="I100">
        <v>40</v>
      </c>
      <c r="J100">
        <v>22</v>
      </c>
      <c r="K100">
        <v>62</v>
      </c>
      <c r="L100">
        <v>149</v>
      </c>
      <c r="M100">
        <v>113</v>
      </c>
      <c r="N100">
        <v>1924</v>
      </c>
      <c r="O100">
        <v>4</v>
      </c>
      <c r="P100">
        <v>5</v>
      </c>
      <c r="Q100">
        <v>4</v>
      </c>
      <c r="R100" t="s">
        <v>402</v>
      </c>
      <c r="S100" t="s">
        <v>403</v>
      </c>
      <c r="T100" t="s">
        <v>1710</v>
      </c>
      <c r="U100" t="s">
        <v>125</v>
      </c>
      <c r="V100" t="s">
        <v>1711</v>
      </c>
      <c r="W100" t="s">
        <v>1712</v>
      </c>
      <c r="X100" t="s">
        <v>38</v>
      </c>
      <c r="Y100" t="b">
        <v>0</v>
      </c>
      <c r="Z100" t="s">
        <v>39</v>
      </c>
      <c r="AA100" t="s">
        <v>1713</v>
      </c>
      <c r="AB100" t="s">
        <v>41</v>
      </c>
      <c r="AC100">
        <f t="shared" si="1"/>
        <v>4</v>
      </c>
    </row>
    <row r="101" spans="1:29" x14ac:dyDescent="0.3">
      <c r="A101">
        <v>2372042</v>
      </c>
      <c r="B101" t="s">
        <v>1907</v>
      </c>
      <c r="C101" t="s">
        <v>29</v>
      </c>
      <c r="D101" t="s">
        <v>1908</v>
      </c>
      <c r="E101" t="s">
        <v>1909</v>
      </c>
      <c r="F101" s="1">
        <v>46078.688715277778</v>
      </c>
      <c r="G101" t="s">
        <v>67</v>
      </c>
      <c r="H101">
        <v>0</v>
      </c>
      <c r="I101">
        <v>471</v>
      </c>
      <c r="J101">
        <v>227</v>
      </c>
      <c r="K101">
        <v>698</v>
      </c>
      <c r="L101">
        <v>1874</v>
      </c>
      <c r="M101">
        <v>822</v>
      </c>
      <c r="N101">
        <v>2168</v>
      </c>
      <c r="O101">
        <v>3</v>
      </c>
      <c r="P101">
        <v>4</v>
      </c>
      <c r="Q101">
        <v>4</v>
      </c>
      <c r="R101" t="s">
        <v>510</v>
      </c>
      <c r="S101" t="s">
        <v>1910</v>
      </c>
      <c r="T101" t="s">
        <v>1911</v>
      </c>
      <c r="U101" t="s">
        <v>1623</v>
      </c>
      <c r="V101" t="s">
        <v>1912</v>
      </c>
      <c r="W101" t="s">
        <v>1913</v>
      </c>
      <c r="X101" t="s">
        <v>38</v>
      </c>
      <c r="Y101" t="b">
        <v>0</v>
      </c>
      <c r="Z101" t="s">
        <v>39</v>
      </c>
      <c r="AA101" t="s">
        <v>1914</v>
      </c>
      <c r="AB101" t="s">
        <v>41</v>
      </c>
      <c r="AC101">
        <f t="shared" si="1"/>
        <v>4</v>
      </c>
    </row>
    <row r="102" spans="1:29" x14ac:dyDescent="0.3">
      <c r="A102">
        <v>2372042</v>
      </c>
      <c r="B102" t="s">
        <v>2484</v>
      </c>
      <c r="C102" t="s">
        <v>29</v>
      </c>
      <c r="D102" t="s">
        <v>2485</v>
      </c>
      <c r="E102" t="s">
        <v>2486</v>
      </c>
      <c r="F102" s="1">
        <v>46078.655069444438</v>
      </c>
      <c r="G102" t="s">
        <v>67</v>
      </c>
      <c r="H102">
        <v>0</v>
      </c>
      <c r="I102">
        <v>33</v>
      </c>
      <c r="J102">
        <v>447</v>
      </c>
      <c r="K102">
        <v>480</v>
      </c>
      <c r="L102">
        <v>126</v>
      </c>
      <c r="M102">
        <v>1416</v>
      </c>
      <c r="N102">
        <v>2804</v>
      </c>
      <c r="O102">
        <v>4</v>
      </c>
      <c r="P102">
        <v>5</v>
      </c>
      <c r="Q102">
        <v>5</v>
      </c>
      <c r="R102" t="s">
        <v>2487</v>
      </c>
      <c r="S102" t="s">
        <v>2488</v>
      </c>
      <c r="T102" t="s">
        <v>2489</v>
      </c>
      <c r="U102" t="s">
        <v>2490</v>
      </c>
      <c r="V102" t="s">
        <v>2491</v>
      </c>
      <c r="W102" t="s">
        <v>2492</v>
      </c>
      <c r="X102" t="s">
        <v>154</v>
      </c>
      <c r="Y102" t="b">
        <v>0</v>
      </c>
      <c r="Z102" t="s">
        <v>39</v>
      </c>
      <c r="AA102" t="s">
        <v>2493</v>
      </c>
      <c r="AB102" t="s">
        <v>41</v>
      </c>
      <c r="AC102">
        <f t="shared" si="1"/>
        <v>5</v>
      </c>
    </row>
    <row r="103" spans="1:29" x14ac:dyDescent="0.3">
      <c r="A103">
        <v>2372042</v>
      </c>
      <c r="B103" t="s">
        <v>2795</v>
      </c>
      <c r="C103" t="s">
        <v>29</v>
      </c>
      <c r="D103" t="s">
        <v>2585</v>
      </c>
      <c r="E103" t="s">
        <v>2586</v>
      </c>
      <c r="F103" s="1">
        <v>46092.638541666667</v>
      </c>
      <c r="G103" t="s">
        <v>31</v>
      </c>
      <c r="H103">
        <v>0</v>
      </c>
      <c r="I103">
        <v>95</v>
      </c>
      <c r="J103">
        <v>15</v>
      </c>
      <c r="K103">
        <v>110</v>
      </c>
      <c r="L103">
        <v>310</v>
      </c>
      <c r="M103">
        <v>57</v>
      </c>
      <c r="N103">
        <v>3158</v>
      </c>
      <c r="O103">
        <v>4</v>
      </c>
      <c r="P103">
        <v>5</v>
      </c>
      <c r="Q103">
        <v>4</v>
      </c>
      <c r="R103" t="s">
        <v>32</v>
      </c>
      <c r="S103" t="s">
        <v>2796</v>
      </c>
      <c r="T103" t="s">
        <v>2797</v>
      </c>
      <c r="U103" t="s">
        <v>2798</v>
      </c>
      <c r="V103" t="s">
        <v>2799</v>
      </c>
      <c r="W103" t="s">
        <v>231</v>
      </c>
      <c r="X103" t="s">
        <v>38</v>
      </c>
      <c r="Y103" t="b">
        <v>0</v>
      </c>
      <c r="Z103" t="s">
        <v>39</v>
      </c>
      <c r="AA103" t="s">
        <v>2800</v>
      </c>
      <c r="AB103" t="s">
        <v>41</v>
      </c>
      <c r="AC103">
        <f t="shared" si="1"/>
        <v>4</v>
      </c>
    </row>
    <row r="104" spans="1:29" x14ac:dyDescent="0.3">
      <c r="A104">
        <v>2372042</v>
      </c>
      <c r="B104" t="s">
        <v>3034</v>
      </c>
      <c r="C104" t="s">
        <v>29</v>
      </c>
      <c r="D104" t="s">
        <v>3035</v>
      </c>
      <c r="E104" t="s">
        <v>3036</v>
      </c>
      <c r="F104" s="1">
        <v>46078.690324074072</v>
      </c>
      <c r="G104" t="s">
        <v>67</v>
      </c>
      <c r="H104">
        <v>0</v>
      </c>
      <c r="I104">
        <v>39</v>
      </c>
      <c r="J104">
        <v>375</v>
      </c>
      <c r="K104">
        <v>414</v>
      </c>
      <c r="L104">
        <v>156</v>
      </c>
      <c r="M104">
        <v>1327</v>
      </c>
      <c r="N104">
        <v>3471</v>
      </c>
      <c r="O104">
        <v>3</v>
      </c>
      <c r="P104">
        <v>4</v>
      </c>
      <c r="Q104">
        <v>4</v>
      </c>
      <c r="R104" t="s">
        <v>3037</v>
      </c>
      <c r="S104" t="s">
        <v>3038</v>
      </c>
      <c r="T104" t="s">
        <v>3039</v>
      </c>
      <c r="U104" t="s">
        <v>3040</v>
      </c>
      <c r="V104" t="s">
        <v>3041</v>
      </c>
      <c r="W104" t="s">
        <v>122</v>
      </c>
      <c r="X104" t="s">
        <v>38</v>
      </c>
      <c r="Y104" t="b">
        <v>0</v>
      </c>
      <c r="Z104" t="s">
        <v>39</v>
      </c>
      <c r="AA104" t="s">
        <v>3042</v>
      </c>
      <c r="AB104" t="s">
        <v>41</v>
      </c>
      <c r="AC104">
        <f t="shared" si="1"/>
        <v>4</v>
      </c>
    </row>
    <row r="105" spans="1:29" x14ac:dyDescent="0.3">
      <c r="A105">
        <v>2372050</v>
      </c>
      <c r="B105" t="s">
        <v>2305</v>
      </c>
      <c r="C105" t="s">
        <v>29</v>
      </c>
      <c r="D105" t="s">
        <v>2306</v>
      </c>
      <c r="E105" t="s">
        <v>2307</v>
      </c>
      <c r="F105" s="1">
        <v>46127.602638888893</v>
      </c>
      <c r="G105" t="s">
        <v>45</v>
      </c>
      <c r="H105">
        <v>0</v>
      </c>
      <c r="I105">
        <v>581</v>
      </c>
      <c r="J105">
        <v>828</v>
      </c>
      <c r="K105">
        <v>1409</v>
      </c>
      <c r="L105">
        <v>2157</v>
      </c>
      <c r="M105">
        <v>2955</v>
      </c>
      <c r="N105">
        <v>2636</v>
      </c>
      <c r="O105">
        <v>4</v>
      </c>
      <c r="P105">
        <v>5</v>
      </c>
      <c r="Q105">
        <v>4</v>
      </c>
      <c r="R105" t="s">
        <v>2308</v>
      </c>
      <c r="S105" t="s">
        <v>2309</v>
      </c>
      <c r="T105" t="s">
        <v>2310</v>
      </c>
      <c r="U105" t="s">
        <v>2311</v>
      </c>
      <c r="V105" t="s">
        <v>2312</v>
      </c>
      <c r="W105" t="s">
        <v>211</v>
      </c>
      <c r="X105" t="s">
        <v>38</v>
      </c>
      <c r="Y105" t="b">
        <v>0</v>
      </c>
      <c r="Z105" t="s">
        <v>39</v>
      </c>
      <c r="AA105" t="s">
        <v>2313</v>
      </c>
      <c r="AB105" t="s">
        <v>41</v>
      </c>
      <c r="AC105">
        <f t="shared" si="1"/>
        <v>4</v>
      </c>
    </row>
    <row r="106" spans="1:29" x14ac:dyDescent="0.3">
      <c r="A106">
        <v>2372050</v>
      </c>
      <c r="B106" t="s">
        <v>2411</v>
      </c>
      <c r="C106" t="s">
        <v>29</v>
      </c>
      <c r="D106" t="s">
        <v>2412</v>
      </c>
      <c r="E106" t="s">
        <v>2413</v>
      </c>
      <c r="F106" s="1">
        <v>46092.653252314813</v>
      </c>
      <c r="G106" t="s">
        <v>31</v>
      </c>
      <c r="H106">
        <v>0</v>
      </c>
      <c r="I106">
        <v>47</v>
      </c>
      <c r="J106">
        <v>22</v>
      </c>
      <c r="K106">
        <v>69</v>
      </c>
      <c r="L106">
        <v>164</v>
      </c>
      <c r="M106">
        <v>83</v>
      </c>
      <c r="N106">
        <v>2717</v>
      </c>
      <c r="O106">
        <v>4</v>
      </c>
      <c r="P106">
        <v>5</v>
      </c>
      <c r="Q106">
        <v>5</v>
      </c>
      <c r="R106" t="s">
        <v>620</v>
      </c>
      <c r="S106" t="s">
        <v>2414</v>
      </c>
      <c r="T106" t="s">
        <v>190</v>
      </c>
      <c r="U106" t="s">
        <v>125</v>
      </c>
      <c r="V106" t="s">
        <v>2415</v>
      </c>
      <c r="W106" t="s">
        <v>2416</v>
      </c>
      <c r="X106" t="s">
        <v>154</v>
      </c>
      <c r="Y106" t="b">
        <v>0</v>
      </c>
      <c r="Z106" t="s">
        <v>39</v>
      </c>
      <c r="AA106" t="s">
        <v>2417</v>
      </c>
      <c r="AB106" t="s">
        <v>41</v>
      </c>
      <c r="AC106">
        <f t="shared" si="1"/>
        <v>5</v>
      </c>
    </row>
    <row r="107" spans="1:29" x14ac:dyDescent="0.3">
      <c r="A107">
        <v>2372050</v>
      </c>
      <c r="B107" t="s">
        <v>2848</v>
      </c>
      <c r="C107" t="s">
        <v>29</v>
      </c>
      <c r="D107" t="s">
        <v>2849</v>
      </c>
      <c r="E107" t="s">
        <v>2850</v>
      </c>
      <c r="F107" s="1">
        <v>46092.554664351846</v>
      </c>
      <c r="G107" t="s">
        <v>31</v>
      </c>
      <c r="H107">
        <v>0</v>
      </c>
      <c r="I107">
        <v>37</v>
      </c>
      <c r="J107">
        <v>9</v>
      </c>
      <c r="K107">
        <v>46</v>
      </c>
      <c r="L107">
        <v>146</v>
      </c>
      <c r="M107">
        <v>38</v>
      </c>
      <c r="N107">
        <v>3276</v>
      </c>
      <c r="O107">
        <v>2</v>
      </c>
      <c r="P107">
        <v>3</v>
      </c>
      <c r="Q107">
        <v>2</v>
      </c>
      <c r="R107" t="s">
        <v>2851</v>
      </c>
      <c r="S107" t="s">
        <v>2852</v>
      </c>
      <c r="T107" t="s">
        <v>2853</v>
      </c>
      <c r="U107" t="s">
        <v>2854</v>
      </c>
      <c r="V107" t="s">
        <v>2855</v>
      </c>
      <c r="W107" t="s">
        <v>2856</v>
      </c>
      <c r="X107" t="s">
        <v>84</v>
      </c>
      <c r="Y107" t="b">
        <v>0</v>
      </c>
      <c r="Z107" t="s">
        <v>39</v>
      </c>
      <c r="AA107" t="s">
        <v>2857</v>
      </c>
      <c r="AB107" t="s">
        <v>41</v>
      </c>
      <c r="AC107">
        <f t="shared" si="1"/>
        <v>3</v>
      </c>
    </row>
    <row r="108" spans="1:29" x14ac:dyDescent="0.3">
      <c r="A108">
        <v>2372050</v>
      </c>
      <c r="B108" t="s">
        <v>3352</v>
      </c>
      <c r="C108" t="s">
        <v>29</v>
      </c>
      <c r="D108" t="s">
        <v>3353</v>
      </c>
      <c r="E108" t="s">
        <v>3354</v>
      </c>
      <c r="F108" s="1">
        <v>46092.654687499999</v>
      </c>
      <c r="G108" t="s">
        <v>31</v>
      </c>
      <c r="H108">
        <v>0</v>
      </c>
      <c r="I108">
        <v>47</v>
      </c>
      <c r="J108">
        <v>14</v>
      </c>
      <c r="K108">
        <v>61</v>
      </c>
      <c r="L108">
        <v>205</v>
      </c>
      <c r="M108">
        <v>60</v>
      </c>
      <c r="N108">
        <v>3827</v>
      </c>
      <c r="O108">
        <v>4</v>
      </c>
      <c r="P108">
        <v>5</v>
      </c>
      <c r="Q108">
        <v>4</v>
      </c>
      <c r="R108" t="s">
        <v>3355</v>
      </c>
      <c r="S108" t="s">
        <v>132</v>
      </c>
      <c r="T108" t="s">
        <v>3356</v>
      </c>
      <c r="U108" t="s">
        <v>125</v>
      </c>
      <c r="V108" t="s">
        <v>3357</v>
      </c>
      <c r="W108" t="s">
        <v>3358</v>
      </c>
      <c r="X108" t="s">
        <v>154</v>
      </c>
      <c r="Y108" t="b">
        <v>0</v>
      </c>
      <c r="Z108" t="s">
        <v>39</v>
      </c>
      <c r="AA108" t="s">
        <v>3359</v>
      </c>
      <c r="AB108" t="s">
        <v>41</v>
      </c>
      <c r="AC108">
        <f t="shared" si="1"/>
        <v>5</v>
      </c>
    </row>
    <row r="109" spans="1:29" x14ac:dyDescent="0.3">
      <c r="A109">
        <v>2372059</v>
      </c>
      <c r="B109" t="s">
        <v>762</v>
      </c>
      <c r="C109" t="s">
        <v>29</v>
      </c>
      <c r="D109" t="s">
        <v>763</v>
      </c>
      <c r="E109" t="s">
        <v>764</v>
      </c>
      <c r="F109" s="1">
        <v>46120.654895833337</v>
      </c>
      <c r="G109" t="s">
        <v>56</v>
      </c>
      <c r="H109">
        <v>0</v>
      </c>
      <c r="I109">
        <v>121</v>
      </c>
      <c r="J109">
        <v>172</v>
      </c>
      <c r="K109">
        <v>293</v>
      </c>
      <c r="L109">
        <v>445</v>
      </c>
      <c r="M109">
        <v>538</v>
      </c>
      <c r="N109">
        <v>783</v>
      </c>
      <c r="O109">
        <v>3</v>
      </c>
      <c r="P109">
        <v>4</v>
      </c>
      <c r="Q109">
        <v>4</v>
      </c>
      <c r="R109" t="s">
        <v>765</v>
      </c>
      <c r="S109" t="s">
        <v>766</v>
      </c>
      <c r="T109" t="s">
        <v>767</v>
      </c>
      <c r="U109" t="s">
        <v>768</v>
      </c>
      <c r="V109" t="s">
        <v>769</v>
      </c>
      <c r="W109" t="s">
        <v>770</v>
      </c>
      <c r="X109" t="s">
        <v>38</v>
      </c>
      <c r="Y109" t="b">
        <v>0</v>
      </c>
      <c r="Z109" t="s">
        <v>39</v>
      </c>
      <c r="AA109" t="s">
        <v>771</v>
      </c>
      <c r="AB109" t="s">
        <v>41</v>
      </c>
      <c r="AC109">
        <f t="shared" si="1"/>
        <v>4</v>
      </c>
    </row>
    <row r="110" spans="1:29" x14ac:dyDescent="0.3">
      <c r="A110">
        <v>2372059</v>
      </c>
      <c r="B110" t="s">
        <v>1232</v>
      </c>
      <c r="C110" t="s">
        <v>29</v>
      </c>
      <c r="D110" t="s">
        <v>1233</v>
      </c>
      <c r="E110" t="s">
        <v>1234</v>
      </c>
      <c r="F110" s="1">
        <v>46092.649363425917</v>
      </c>
      <c r="G110" t="s">
        <v>31</v>
      </c>
      <c r="H110">
        <v>0</v>
      </c>
      <c r="I110">
        <v>56</v>
      </c>
      <c r="J110">
        <v>13</v>
      </c>
      <c r="K110">
        <v>69</v>
      </c>
      <c r="L110">
        <v>188</v>
      </c>
      <c r="M110">
        <v>31</v>
      </c>
      <c r="N110">
        <v>1348</v>
      </c>
      <c r="O110">
        <v>3</v>
      </c>
      <c r="P110">
        <v>2</v>
      </c>
      <c r="Q110">
        <v>2</v>
      </c>
      <c r="R110" t="s">
        <v>1235</v>
      </c>
      <c r="S110" t="s">
        <v>1236</v>
      </c>
      <c r="T110" t="s">
        <v>1237</v>
      </c>
      <c r="U110" t="s">
        <v>1238</v>
      </c>
      <c r="V110" t="s">
        <v>1239</v>
      </c>
      <c r="W110" t="s">
        <v>1240</v>
      </c>
      <c r="X110" t="s">
        <v>84</v>
      </c>
      <c r="Y110" t="b">
        <v>0</v>
      </c>
      <c r="Z110" t="s">
        <v>39</v>
      </c>
      <c r="AA110" t="s">
        <v>1241</v>
      </c>
      <c r="AB110" t="s">
        <v>41</v>
      </c>
      <c r="AC110">
        <f t="shared" si="1"/>
        <v>3</v>
      </c>
    </row>
    <row r="111" spans="1:29" x14ac:dyDescent="0.3">
      <c r="A111">
        <v>2372059</v>
      </c>
      <c r="B111" t="s">
        <v>1421</v>
      </c>
      <c r="C111" t="s">
        <v>29</v>
      </c>
      <c r="D111" t="s">
        <v>1422</v>
      </c>
      <c r="E111" t="s">
        <v>1423</v>
      </c>
      <c r="F111" s="1">
        <v>46092.555914351848</v>
      </c>
      <c r="G111" t="s">
        <v>31</v>
      </c>
      <c r="H111">
        <v>0</v>
      </c>
      <c r="I111">
        <v>67</v>
      </c>
      <c r="J111">
        <v>10</v>
      </c>
      <c r="K111">
        <v>77</v>
      </c>
      <c r="L111">
        <v>243</v>
      </c>
      <c r="M111">
        <v>30</v>
      </c>
      <c r="N111">
        <v>1535</v>
      </c>
      <c r="O111">
        <v>4</v>
      </c>
      <c r="P111">
        <v>5</v>
      </c>
      <c r="Q111">
        <v>4</v>
      </c>
      <c r="R111" t="s">
        <v>1424</v>
      </c>
      <c r="S111" t="s">
        <v>1425</v>
      </c>
      <c r="T111" t="s">
        <v>1426</v>
      </c>
      <c r="U111" t="s">
        <v>1427</v>
      </c>
      <c r="V111" t="s">
        <v>1428</v>
      </c>
      <c r="W111" t="s">
        <v>1429</v>
      </c>
      <c r="X111" t="s">
        <v>38</v>
      </c>
      <c r="Y111" t="b">
        <v>0</v>
      </c>
      <c r="Z111" t="s">
        <v>39</v>
      </c>
      <c r="AA111" t="s">
        <v>1430</v>
      </c>
      <c r="AB111" t="s">
        <v>41</v>
      </c>
      <c r="AC111">
        <f t="shared" si="1"/>
        <v>4</v>
      </c>
    </row>
    <row r="112" spans="1:29" x14ac:dyDescent="0.3">
      <c r="A112">
        <v>2372059</v>
      </c>
      <c r="B112" t="s">
        <v>2193</v>
      </c>
      <c r="C112" t="s">
        <v>29</v>
      </c>
      <c r="D112" t="s">
        <v>2194</v>
      </c>
      <c r="E112" t="s">
        <v>2195</v>
      </c>
      <c r="F112" s="1">
        <v>46092.663414351853</v>
      </c>
      <c r="G112" t="s">
        <v>31</v>
      </c>
      <c r="H112">
        <v>0</v>
      </c>
      <c r="I112">
        <v>56</v>
      </c>
      <c r="J112">
        <v>22</v>
      </c>
      <c r="K112">
        <v>78</v>
      </c>
      <c r="L112">
        <v>223</v>
      </c>
      <c r="M112">
        <v>113</v>
      </c>
      <c r="N112">
        <v>2531</v>
      </c>
      <c r="O112">
        <v>4</v>
      </c>
      <c r="P112">
        <v>5</v>
      </c>
      <c r="Q112">
        <v>4</v>
      </c>
      <c r="R112" t="s">
        <v>139</v>
      </c>
      <c r="S112" t="s">
        <v>2196</v>
      </c>
      <c r="T112" t="s">
        <v>1499</v>
      </c>
      <c r="U112" t="s">
        <v>657</v>
      </c>
      <c r="V112" t="s">
        <v>2197</v>
      </c>
      <c r="W112" t="s">
        <v>231</v>
      </c>
      <c r="X112" t="s">
        <v>38</v>
      </c>
      <c r="Y112" t="b">
        <v>0</v>
      </c>
      <c r="Z112" t="s">
        <v>39</v>
      </c>
      <c r="AA112" t="s">
        <v>2198</v>
      </c>
      <c r="AB112" t="s">
        <v>41</v>
      </c>
      <c r="AC112">
        <f t="shared" si="1"/>
        <v>4</v>
      </c>
    </row>
    <row r="113" spans="1:29" x14ac:dyDescent="0.3">
      <c r="A113">
        <v>2372059</v>
      </c>
      <c r="B113" t="s">
        <v>3500</v>
      </c>
      <c r="C113" t="s">
        <v>29</v>
      </c>
      <c r="D113" t="s">
        <v>3501</v>
      </c>
      <c r="E113" t="s">
        <v>3502</v>
      </c>
      <c r="F113" s="1">
        <v>46078.705925925933</v>
      </c>
      <c r="G113" t="s">
        <v>67</v>
      </c>
      <c r="H113">
        <v>0</v>
      </c>
      <c r="I113">
        <v>35</v>
      </c>
      <c r="J113">
        <v>414</v>
      </c>
      <c r="K113">
        <v>449</v>
      </c>
      <c r="L113">
        <v>134</v>
      </c>
      <c r="M113">
        <v>1237</v>
      </c>
      <c r="N113">
        <v>4005</v>
      </c>
      <c r="O113">
        <v>3</v>
      </c>
      <c r="P113">
        <v>4</v>
      </c>
      <c r="Q113">
        <v>3</v>
      </c>
      <c r="R113" t="s">
        <v>1164</v>
      </c>
      <c r="S113" t="s">
        <v>3503</v>
      </c>
      <c r="T113" t="s">
        <v>3504</v>
      </c>
      <c r="U113" t="s">
        <v>3505</v>
      </c>
      <c r="V113" t="s">
        <v>3506</v>
      </c>
      <c r="W113" t="s">
        <v>221</v>
      </c>
      <c r="X113" t="s">
        <v>38</v>
      </c>
      <c r="Y113" t="b">
        <v>0</v>
      </c>
      <c r="Z113" t="s">
        <v>39</v>
      </c>
      <c r="AA113" t="s">
        <v>3507</v>
      </c>
      <c r="AB113" t="s">
        <v>41</v>
      </c>
      <c r="AC113">
        <f t="shared" si="1"/>
        <v>4</v>
      </c>
    </row>
    <row r="114" spans="1:29" x14ac:dyDescent="0.3">
      <c r="A114">
        <v>2372059</v>
      </c>
      <c r="B114" t="s">
        <v>3773</v>
      </c>
      <c r="C114" t="s">
        <v>29</v>
      </c>
      <c r="D114" t="s">
        <v>3774</v>
      </c>
      <c r="E114" t="s">
        <v>3775</v>
      </c>
      <c r="F114" s="1">
        <v>46092.656886574077</v>
      </c>
      <c r="G114" t="s">
        <v>31</v>
      </c>
      <c r="H114">
        <v>0</v>
      </c>
      <c r="I114">
        <v>54</v>
      </c>
      <c r="J114">
        <v>14</v>
      </c>
      <c r="K114">
        <v>68</v>
      </c>
      <c r="L114">
        <v>214</v>
      </c>
      <c r="M114">
        <v>50</v>
      </c>
      <c r="N114">
        <v>4330</v>
      </c>
      <c r="O114">
        <v>4</v>
      </c>
      <c r="P114">
        <v>5</v>
      </c>
      <c r="Q114">
        <v>4</v>
      </c>
      <c r="R114" t="s">
        <v>139</v>
      </c>
      <c r="S114" t="s">
        <v>3776</v>
      </c>
      <c r="T114" t="s">
        <v>2797</v>
      </c>
      <c r="U114" t="s">
        <v>3777</v>
      </c>
      <c r="V114" t="s">
        <v>3778</v>
      </c>
      <c r="W114" t="s">
        <v>3779</v>
      </c>
      <c r="X114" t="s">
        <v>38</v>
      </c>
      <c r="Y114" t="b">
        <v>0</v>
      </c>
      <c r="Z114" t="s">
        <v>39</v>
      </c>
      <c r="AA114" t="s">
        <v>3780</v>
      </c>
      <c r="AB114" t="s">
        <v>41</v>
      </c>
      <c r="AC114">
        <f t="shared" si="1"/>
        <v>4</v>
      </c>
    </row>
    <row r="115" spans="1:29" x14ac:dyDescent="0.3">
      <c r="A115">
        <v>2372062</v>
      </c>
      <c r="B115" t="s">
        <v>3264</v>
      </c>
      <c r="C115" t="s">
        <v>29</v>
      </c>
      <c r="D115" t="s">
        <v>3265</v>
      </c>
      <c r="E115" t="s">
        <v>3266</v>
      </c>
      <c r="F115" s="1">
        <v>46085.62908564815</v>
      </c>
      <c r="G115" t="s">
        <v>177</v>
      </c>
      <c r="H115">
        <v>0</v>
      </c>
      <c r="I115">
        <v>52</v>
      </c>
      <c r="J115">
        <v>92</v>
      </c>
      <c r="K115">
        <v>144</v>
      </c>
      <c r="L115">
        <v>205</v>
      </c>
      <c r="M115">
        <v>328</v>
      </c>
      <c r="N115">
        <v>3713</v>
      </c>
      <c r="O115">
        <v>4</v>
      </c>
      <c r="P115">
        <v>5</v>
      </c>
      <c r="Q115">
        <v>4</v>
      </c>
      <c r="R115" t="s">
        <v>3267</v>
      </c>
      <c r="S115" t="s">
        <v>3268</v>
      </c>
      <c r="T115" t="s">
        <v>3269</v>
      </c>
      <c r="U115" t="s">
        <v>3270</v>
      </c>
      <c r="V115" t="s">
        <v>3271</v>
      </c>
      <c r="W115" t="s">
        <v>3272</v>
      </c>
      <c r="X115" t="s">
        <v>38</v>
      </c>
      <c r="Y115" t="b">
        <v>0</v>
      </c>
      <c r="Z115" t="s">
        <v>39</v>
      </c>
      <c r="AA115" t="s">
        <v>3273</v>
      </c>
      <c r="AB115" t="s">
        <v>41</v>
      </c>
      <c r="AC115">
        <f t="shared" si="1"/>
        <v>4</v>
      </c>
    </row>
    <row r="116" spans="1:29" x14ac:dyDescent="0.3">
      <c r="A116">
        <v>2372062</v>
      </c>
      <c r="B116" t="s">
        <v>4121</v>
      </c>
      <c r="C116" t="s">
        <v>29</v>
      </c>
      <c r="D116" t="s">
        <v>4122</v>
      </c>
      <c r="E116" t="s">
        <v>4122</v>
      </c>
      <c r="F116" s="1">
        <v>46092.549363425933</v>
      </c>
      <c r="G116" t="s">
        <v>31</v>
      </c>
      <c r="H116">
        <v>0</v>
      </c>
      <c r="I116">
        <v>39</v>
      </c>
      <c r="J116">
        <v>125</v>
      </c>
      <c r="K116">
        <v>164</v>
      </c>
      <c r="L116">
        <v>150</v>
      </c>
      <c r="M116">
        <v>466</v>
      </c>
      <c r="N116">
        <v>4815</v>
      </c>
      <c r="O116">
        <v>4</v>
      </c>
      <c r="P116">
        <v>5</v>
      </c>
      <c r="Q116">
        <v>5</v>
      </c>
      <c r="R116" t="s">
        <v>4123</v>
      </c>
      <c r="S116" t="s">
        <v>3913</v>
      </c>
      <c r="T116" t="s">
        <v>4124</v>
      </c>
      <c r="U116" t="s">
        <v>782</v>
      </c>
      <c r="V116" t="s">
        <v>4125</v>
      </c>
      <c r="W116" t="s">
        <v>4126</v>
      </c>
      <c r="X116" t="s">
        <v>154</v>
      </c>
      <c r="Y116" t="b">
        <v>0</v>
      </c>
      <c r="Z116" t="s">
        <v>39</v>
      </c>
      <c r="AA116" t="s">
        <v>4127</v>
      </c>
      <c r="AB116" t="s">
        <v>41</v>
      </c>
      <c r="AC116">
        <f t="shared" si="1"/>
        <v>5</v>
      </c>
    </row>
    <row r="117" spans="1:29" x14ac:dyDescent="0.3">
      <c r="A117">
        <v>2372063</v>
      </c>
      <c r="B117" t="s">
        <v>64</v>
      </c>
      <c r="C117" t="s">
        <v>29</v>
      </c>
      <c r="D117" t="s">
        <v>65</v>
      </c>
      <c r="E117" t="s">
        <v>66</v>
      </c>
      <c r="F117" s="1">
        <v>46078.683020833327</v>
      </c>
      <c r="G117" t="s">
        <v>67</v>
      </c>
      <c r="H117">
        <v>0</v>
      </c>
      <c r="I117">
        <v>908</v>
      </c>
      <c r="J117">
        <v>258</v>
      </c>
      <c r="K117">
        <v>1166</v>
      </c>
      <c r="L117">
        <v>3364</v>
      </c>
      <c r="M117">
        <v>805</v>
      </c>
      <c r="N117">
        <v>75</v>
      </c>
      <c r="O117">
        <v>3</v>
      </c>
      <c r="P117">
        <v>4</v>
      </c>
      <c r="Q117">
        <v>4</v>
      </c>
      <c r="R117" t="s">
        <v>68</v>
      </c>
      <c r="S117" t="s">
        <v>69</v>
      </c>
      <c r="T117" t="s">
        <v>70</v>
      </c>
      <c r="U117" t="s">
        <v>71</v>
      </c>
      <c r="V117" t="s">
        <v>72</v>
      </c>
      <c r="W117" t="s">
        <v>73</v>
      </c>
      <c r="X117" t="s">
        <v>38</v>
      </c>
      <c r="Y117" t="b">
        <v>0</v>
      </c>
      <c r="Z117" t="s">
        <v>39</v>
      </c>
      <c r="AA117" t="s">
        <v>74</v>
      </c>
      <c r="AB117" t="s">
        <v>41</v>
      </c>
      <c r="AC117">
        <f t="shared" si="1"/>
        <v>4</v>
      </c>
    </row>
    <row r="118" spans="1:29" x14ac:dyDescent="0.3">
      <c r="A118">
        <v>2372063</v>
      </c>
      <c r="B118" t="s">
        <v>195</v>
      </c>
      <c r="C118" t="s">
        <v>29</v>
      </c>
      <c r="D118" t="s">
        <v>196</v>
      </c>
      <c r="E118" t="s">
        <v>196</v>
      </c>
      <c r="F118" s="1">
        <v>46092.548055555562</v>
      </c>
      <c r="G118" t="s">
        <v>31</v>
      </c>
      <c r="H118">
        <v>0</v>
      </c>
      <c r="I118">
        <v>39</v>
      </c>
      <c r="J118">
        <v>75</v>
      </c>
      <c r="K118">
        <v>114</v>
      </c>
      <c r="L118">
        <v>118</v>
      </c>
      <c r="M118">
        <v>297</v>
      </c>
      <c r="N118">
        <v>219</v>
      </c>
      <c r="O118">
        <v>4</v>
      </c>
      <c r="P118">
        <v>5</v>
      </c>
      <c r="Q118">
        <v>5</v>
      </c>
      <c r="R118" t="s">
        <v>197</v>
      </c>
      <c r="S118" t="s">
        <v>198</v>
      </c>
      <c r="T118" t="s">
        <v>199</v>
      </c>
      <c r="U118" t="s">
        <v>200</v>
      </c>
      <c r="V118" t="s">
        <v>201</v>
      </c>
      <c r="W118" t="s">
        <v>202</v>
      </c>
      <c r="X118" t="s">
        <v>154</v>
      </c>
      <c r="Y118" t="b">
        <v>0</v>
      </c>
      <c r="Z118" t="s">
        <v>39</v>
      </c>
      <c r="AA118" t="s">
        <v>203</v>
      </c>
      <c r="AB118" t="s">
        <v>41</v>
      </c>
      <c r="AC118">
        <f t="shared" si="1"/>
        <v>5</v>
      </c>
    </row>
    <row r="119" spans="1:29" x14ac:dyDescent="0.3">
      <c r="A119">
        <v>2372063</v>
      </c>
      <c r="B119" t="s">
        <v>3485</v>
      </c>
      <c r="C119" t="s">
        <v>29</v>
      </c>
      <c r="D119" t="s">
        <v>3486</v>
      </c>
      <c r="E119" t="s">
        <v>3487</v>
      </c>
      <c r="F119" s="1">
        <v>46078.672719907408</v>
      </c>
      <c r="G119" t="s">
        <v>67</v>
      </c>
      <c r="H119">
        <v>0</v>
      </c>
      <c r="I119">
        <v>43</v>
      </c>
      <c r="J119">
        <v>320</v>
      </c>
      <c r="K119">
        <v>363</v>
      </c>
      <c r="L119">
        <v>158</v>
      </c>
      <c r="M119">
        <v>1307</v>
      </c>
      <c r="N119">
        <v>3998</v>
      </c>
      <c r="O119">
        <v>3</v>
      </c>
      <c r="P119">
        <v>4</v>
      </c>
      <c r="Q119">
        <v>4</v>
      </c>
      <c r="R119" t="s">
        <v>1164</v>
      </c>
      <c r="S119" t="s">
        <v>3488</v>
      </c>
      <c r="T119" t="s">
        <v>3489</v>
      </c>
      <c r="U119" t="s">
        <v>3490</v>
      </c>
      <c r="V119" t="s">
        <v>3491</v>
      </c>
      <c r="W119" t="s">
        <v>1169</v>
      </c>
      <c r="X119" t="s">
        <v>38</v>
      </c>
      <c r="Y119" t="b">
        <v>0</v>
      </c>
      <c r="Z119" t="s">
        <v>39</v>
      </c>
      <c r="AA119" t="s">
        <v>3492</v>
      </c>
      <c r="AB119" t="s">
        <v>41</v>
      </c>
      <c r="AC119">
        <f t="shared" si="1"/>
        <v>4</v>
      </c>
    </row>
    <row r="120" spans="1:29" x14ac:dyDescent="0.3">
      <c r="A120">
        <v>2372063</v>
      </c>
      <c r="B120" t="s">
        <v>3971</v>
      </c>
      <c r="C120" t="s">
        <v>29</v>
      </c>
      <c r="D120" t="s">
        <v>3972</v>
      </c>
      <c r="E120" t="s">
        <v>3972</v>
      </c>
      <c r="F120" s="1">
        <v>46092.550787037027</v>
      </c>
      <c r="G120" t="s">
        <v>31</v>
      </c>
      <c r="H120">
        <v>0</v>
      </c>
      <c r="I120">
        <v>55</v>
      </c>
      <c r="J120">
        <v>60</v>
      </c>
      <c r="K120">
        <v>115</v>
      </c>
      <c r="L120">
        <v>177</v>
      </c>
      <c r="M120">
        <v>255</v>
      </c>
      <c r="N120">
        <v>4657</v>
      </c>
      <c r="O120">
        <v>4</v>
      </c>
      <c r="P120">
        <v>5</v>
      </c>
      <c r="Q120">
        <v>5</v>
      </c>
      <c r="R120" t="s">
        <v>3973</v>
      </c>
      <c r="S120" t="s">
        <v>3974</v>
      </c>
      <c r="T120" t="s">
        <v>3975</v>
      </c>
      <c r="U120" t="s">
        <v>125</v>
      </c>
      <c r="V120" t="s">
        <v>3976</v>
      </c>
      <c r="W120" t="s">
        <v>143</v>
      </c>
      <c r="X120" t="s">
        <v>154</v>
      </c>
      <c r="Y120" t="b">
        <v>0</v>
      </c>
      <c r="Z120" t="s">
        <v>39</v>
      </c>
      <c r="AA120" t="s">
        <v>3977</v>
      </c>
      <c r="AB120" t="s">
        <v>41</v>
      </c>
      <c r="AC120">
        <f t="shared" si="1"/>
        <v>5</v>
      </c>
    </row>
    <row r="121" spans="1:29" x14ac:dyDescent="0.3">
      <c r="A121">
        <v>2372902</v>
      </c>
      <c r="B121" t="s">
        <v>2566</v>
      </c>
      <c r="C121" t="s">
        <v>29</v>
      </c>
      <c r="D121" t="s">
        <v>2567</v>
      </c>
      <c r="E121" t="s">
        <v>2567</v>
      </c>
      <c r="F121" s="1">
        <v>46085.629317129627</v>
      </c>
      <c r="G121" t="s">
        <v>177</v>
      </c>
      <c r="H121">
        <v>0</v>
      </c>
      <c r="I121">
        <v>41</v>
      </c>
      <c r="J121">
        <v>300</v>
      </c>
      <c r="K121">
        <v>341</v>
      </c>
      <c r="L121">
        <v>155</v>
      </c>
      <c r="M121">
        <v>994</v>
      </c>
      <c r="N121">
        <v>2892</v>
      </c>
      <c r="O121">
        <v>3</v>
      </c>
      <c r="P121">
        <v>4</v>
      </c>
      <c r="Q121">
        <v>3</v>
      </c>
      <c r="R121" t="s">
        <v>2568</v>
      </c>
      <c r="S121" t="s">
        <v>2569</v>
      </c>
      <c r="T121" t="s">
        <v>2570</v>
      </c>
      <c r="U121" t="s">
        <v>2571</v>
      </c>
      <c r="V121" t="s">
        <v>2572</v>
      </c>
      <c r="W121" t="s">
        <v>2573</v>
      </c>
      <c r="X121" t="s">
        <v>38</v>
      </c>
      <c r="Y121" t="b">
        <v>0</v>
      </c>
      <c r="Z121" t="s">
        <v>39</v>
      </c>
      <c r="AA121" t="s">
        <v>2574</v>
      </c>
      <c r="AB121" t="s">
        <v>41</v>
      </c>
      <c r="AC121">
        <f t="shared" si="1"/>
        <v>4</v>
      </c>
    </row>
    <row r="122" spans="1:29" x14ac:dyDescent="0.3">
      <c r="A122">
        <v>2372902</v>
      </c>
      <c r="B122" t="s">
        <v>3256</v>
      </c>
      <c r="C122" t="s">
        <v>29</v>
      </c>
      <c r="D122" t="s">
        <v>3257</v>
      </c>
      <c r="E122" t="s">
        <v>3257</v>
      </c>
      <c r="F122" s="1">
        <v>46127.597141203703</v>
      </c>
      <c r="G122" t="s">
        <v>45</v>
      </c>
      <c r="H122">
        <v>0</v>
      </c>
      <c r="I122">
        <v>167</v>
      </c>
      <c r="J122">
        <v>1061</v>
      </c>
      <c r="K122">
        <v>1228</v>
      </c>
      <c r="L122">
        <v>613</v>
      </c>
      <c r="M122">
        <v>3797</v>
      </c>
      <c r="N122">
        <v>3685</v>
      </c>
      <c r="O122">
        <v>4</v>
      </c>
      <c r="P122">
        <v>5</v>
      </c>
      <c r="Q122">
        <v>4</v>
      </c>
      <c r="R122" t="s">
        <v>3258</v>
      </c>
      <c r="S122" t="s">
        <v>1012</v>
      </c>
      <c r="T122" t="s">
        <v>3259</v>
      </c>
      <c r="U122" t="s">
        <v>3260</v>
      </c>
      <c r="V122" t="s">
        <v>3261</v>
      </c>
      <c r="W122" t="s">
        <v>3262</v>
      </c>
      <c r="X122" t="s">
        <v>38</v>
      </c>
      <c r="Y122" t="b">
        <v>0</v>
      </c>
      <c r="Z122" t="s">
        <v>39</v>
      </c>
      <c r="AA122" t="s">
        <v>3263</v>
      </c>
      <c r="AB122" t="s">
        <v>41</v>
      </c>
      <c r="AC122">
        <f t="shared" si="1"/>
        <v>4</v>
      </c>
    </row>
    <row r="123" spans="1:29" x14ac:dyDescent="0.3">
      <c r="A123">
        <v>2372902</v>
      </c>
      <c r="B123" t="s">
        <v>3897</v>
      </c>
      <c r="C123" t="s">
        <v>29</v>
      </c>
      <c r="D123" t="s">
        <v>3898</v>
      </c>
      <c r="E123" t="s">
        <v>3898</v>
      </c>
      <c r="F123" s="1">
        <v>46078.663530092592</v>
      </c>
      <c r="G123" t="s">
        <v>67</v>
      </c>
      <c r="H123">
        <v>0</v>
      </c>
      <c r="I123">
        <v>34</v>
      </c>
      <c r="J123">
        <v>598</v>
      </c>
      <c r="K123">
        <v>632</v>
      </c>
      <c r="L123">
        <v>156</v>
      </c>
      <c r="M123">
        <v>2312</v>
      </c>
      <c r="N123">
        <v>4521</v>
      </c>
      <c r="O123">
        <v>4</v>
      </c>
      <c r="P123">
        <v>5</v>
      </c>
      <c r="Q123">
        <v>5</v>
      </c>
      <c r="R123" t="s">
        <v>3899</v>
      </c>
      <c r="S123" t="s">
        <v>252</v>
      </c>
      <c r="T123" t="s">
        <v>3900</v>
      </c>
      <c r="U123" t="s">
        <v>3529</v>
      </c>
      <c r="V123" t="s">
        <v>3901</v>
      </c>
      <c r="W123" t="s">
        <v>3902</v>
      </c>
      <c r="X123" t="s">
        <v>154</v>
      </c>
      <c r="Y123" t="b">
        <v>0</v>
      </c>
      <c r="Z123" t="s">
        <v>39</v>
      </c>
      <c r="AA123" t="s">
        <v>3903</v>
      </c>
      <c r="AB123" t="s">
        <v>41</v>
      </c>
      <c r="AC123">
        <f t="shared" si="1"/>
        <v>5</v>
      </c>
    </row>
    <row r="124" spans="1:29" x14ac:dyDescent="0.3">
      <c r="A124">
        <v>2472001</v>
      </c>
      <c r="B124" t="s">
        <v>418</v>
      </c>
      <c r="C124" t="s">
        <v>29</v>
      </c>
      <c r="D124" t="s">
        <v>419</v>
      </c>
      <c r="E124" t="s">
        <v>419</v>
      </c>
      <c r="F124" s="1">
        <v>46126.414803240739</v>
      </c>
      <c r="G124" t="s">
        <v>45</v>
      </c>
      <c r="H124">
        <v>0</v>
      </c>
      <c r="I124">
        <v>28</v>
      </c>
      <c r="J124">
        <v>115</v>
      </c>
      <c r="K124">
        <v>143</v>
      </c>
      <c r="L124">
        <v>120</v>
      </c>
      <c r="M124">
        <v>424</v>
      </c>
      <c r="N124">
        <v>417</v>
      </c>
      <c r="O124">
        <v>3</v>
      </c>
      <c r="P124">
        <v>4</v>
      </c>
      <c r="Q124">
        <v>4</v>
      </c>
      <c r="R124" t="s">
        <v>420</v>
      </c>
      <c r="S124" t="s">
        <v>421</v>
      </c>
      <c r="T124" t="s">
        <v>422</v>
      </c>
      <c r="U124" t="s">
        <v>423</v>
      </c>
      <c r="V124" t="s">
        <v>424</v>
      </c>
      <c r="W124" t="s">
        <v>425</v>
      </c>
      <c r="X124" t="s">
        <v>38</v>
      </c>
      <c r="Y124" t="b">
        <v>0</v>
      </c>
      <c r="Z124" t="s">
        <v>39</v>
      </c>
      <c r="AA124" t="s">
        <v>426</v>
      </c>
      <c r="AB124" t="s">
        <v>41</v>
      </c>
      <c r="AC124">
        <f t="shared" si="1"/>
        <v>4</v>
      </c>
    </row>
    <row r="125" spans="1:29" x14ac:dyDescent="0.3">
      <c r="A125">
        <v>2472001</v>
      </c>
      <c r="B125" t="s">
        <v>1669</v>
      </c>
      <c r="C125" t="s">
        <v>29</v>
      </c>
      <c r="D125" t="s">
        <v>1670</v>
      </c>
      <c r="E125" t="s">
        <v>1670</v>
      </c>
      <c r="F125" s="1">
        <v>46091.404907407406</v>
      </c>
      <c r="G125" t="s">
        <v>31</v>
      </c>
      <c r="H125">
        <v>0</v>
      </c>
      <c r="I125">
        <v>28</v>
      </c>
      <c r="J125">
        <v>136</v>
      </c>
      <c r="K125">
        <v>164</v>
      </c>
      <c r="L125">
        <v>115</v>
      </c>
      <c r="M125">
        <v>502</v>
      </c>
      <c r="N125">
        <v>1878</v>
      </c>
      <c r="O125">
        <v>4</v>
      </c>
      <c r="P125">
        <v>5</v>
      </c>
      <c r="Q125">
        <v>4</v>
      </c>
      <c r="R125" t="s">
        <v>1671</v>
      </c>
      <c r="S125" t="s">
        <v>1672</v>
      </c>
      <c r="T125" t="s">
        <v>1673</v>
      </c>
      <c r="U125" t="s">
        <v>208</v>
      </c>
      <c r="V125" t="s">
        <v>1674</v>
      </c>
      <c r="W125" t="s">
        <v>1675</v>
      </c>
      <c r="X125" t="s">
        <v>38</v>
      </c>
      <c r="Y125" t="b">
        <v>0</v>
      </c>
      <c r="Z125" t="s">
        <v>39</v>
      </c>
      <c r="AA125" t="s">
        <v>1676</v>
      </c>
      <c r="AB125" t="s">
        <v>41</v>
      </c>
      <c r="AC125">
        <f t="shared" si="1"/>
        <v>4</v>
      </c>
    </row>
    <row r="126" spans="1:29" x14ac:dyDescent="0.3">
      <c r="A126">
        <v>2472001</v>
      </c>
      <c r="B126" t="s">
        <v>1741</v>
      </c>
      <c r="C126" t="s">
        <v>29</v>
      </c>
      <c r="D126" t="s">
        <v>1742</v>
      </c>
      <c r="E126" t="s">
        <v>1742</v>
      </c>
      <c r="F126" s="1">
        <v>46126.417384259257</v>
      </c>
      <c r="G126" t="s">
        <v>45</v>
      </c>
      <c r="H126">
        <v>0</v>
      </c>
      <c r="I126">
        <v>24</v>
      </c>
      <c r="J126">
        <v>83</v>
      </c>
      <c r="K126">
        <v>107</v>
      </c>
      <c r="L126">
        <v>116</v>
      </c>
      <c r="M126">
        <v>316</v>
      </c>
      <c r="N126">
        <v>1949</v>
      </c>
      <c r="O126">
        <v>4</v>
      </c>
      <c r="P126">
        <v>5</v>
      </c>
      <c r="Q126">
        <v>5</v>
      </c>
      <c r="R126" t="s">
        <v>813</v>
      </c>
      <c r="S126" t="s">
        <v>1040</v>
      </c>
      <c r="T126" t="s">
        <v>1743</v>
      </c>
      <c r="U126" t="s">
        <v>1744</v>
      </c>
      <c r="V126" t="s">
        <v>1745</v>
      </c>
      <c r="W126" t="s">
        <v>1746</v>
      </c>
      <c r="X126" t="s">
        <v>154</v>
      </c>
      <c r="Y126" t="b">
        <v>0</v>
      </c>
      <c r="Z126" t="s">
        <v>39</v>
      </c>
      <c r="AA126" t="s">
        <v>1747</v>
      </c>
      <c r="AB126" t="s">
        <v>41</v>
      </c>
      <c r="AC126">
        <f t="shared" si="1"/>
        <v>5</v>
      </c>
    </row>
    <row r="127" spans="1:29" x14ac:dyDescent="0.3">
      <c r="A127">
        <v>2472001</v>
      </c>
      <c r="B127" t="s">
        <v>1806</v>
      </c>
      <c r="C127" t="s">
        <v>29</v>
      </c>
      <c r="D127" t="s">
        <v>1807</v>
      </c>
      <c r="E127" t="s">
        <v>1808</v>
      </c>
      <c r="F127" s="1">
        <v>46126.444976851853</v>
      </c>
      <c r="G127" t="s">
        <v>45</v>
      </c>
      <c r="H127">
        <v>0</v>
      </c>
      <c r="I127">
        <v>40</v>
      </c>
      <c r="J127">
        <v>146</v>
      </c>
      <c r="K127">
        <v>186</v>
      </c>
      <c r="L127">
        <v>141</v>
      </c>
      <c r="M127">
        <v>460</v>
      </c>
      <c r="N127">
        <v>2009</v>
      </c>
      <c r="O127">
        <v>4</v>
      </c>
      <c r="P127">
        <v>5</v>
      </c>
      <c r="Q127">
        <v>5</v>
      </c>
      <c r="R127" t="s">
        <v>1809</v>
      </c>
      <c r="S127" t="s">
        <v>1810</v>
      </c>
      <c r="T127" t="s">
        <v>1811</v>
      </c>
      <c r="U127" t="s">
        <v>270</v>
      </c>
      <c r="V127" t="s">
        <v>1812</v>
      </c>
      <c r="W127" t="s">
        <v>1813</v>
      </c>
      <c r="X127" t="s">
        <v>154</v>
      </c>
      <c r="Y127" t="b">
        <v>0</v>
      </c>
      <c r="Z127" t="s">
        <v>39</v>
      </c>
      <c r="AA127" t="s">
        <v>1814</v>
      </c>
      <c r="AB127" t="s">
        <v>41</v>
      </c>
      <c r="AC127">
        <f t="shared" si="1"/>
        <v>5</v>
      </c>
    </row>
    <row r="128" spans="1:29" x14ac:dyDescent="0.3">
      <c r="A128">
        <v>2472001</v>
      </c>
      <c r="B128" t="s">
        <v>2017</v>
      </c>
      <c r="C128" t="s">
        <v>29</v>
      </c>
      <c r="D128" t="s">
        <v>2018</v>
      </c>
      <c r="E128" t="s">
        <v>2018</v>
      </c>
      <c r="F128" s="1">
        <v>46126.412233796298</v>
      </c>
      <c r="G128" t="s">
        <v>45</v>
      </c>
      <c r="H128">
        <v>0</v>
      </c>
      <c r="I128">
        <v>33</v>
      </c>
      <c r="J128">
        <v>81</v>
      </c>
      <c r="K128">
        <v>114</v>
      </c>
      <c r="L128">
        <v>125</v>
      </c>
      <c r="M128">
        <v>319</v>
      </c>
      <c r="N128">
        <v>2342</v>
      </c>
      <c r="O128">
        <v>4</v>
      </c>
      <c r="P128">
        <v>5</v>
      </c>
      <c r="Q128">
        <v>5</v>
      </c>
      <c r="R128" t="s">
        <v>2019</v>
      </c>
      <c r="S128" t="s">
        <v>2020</v>
      </c>
      <c r="T128" t="s">
        <v>2021</v>
      </c>
      <c r="U128" t="s">
        <v>200</v>
      </c>
      <c r="V128" t="s">
        <v>2022</v>
      </c>
      <c r="W128" t="s">
        <v>1712</v>
      </c>
      <c r="X128" t="s">
        <v>154</v>
      </c>
      <c r="Y128" t="b">
        <v>0</v>
      </c>
      <c r="Z128" t="s">
        <v>39</v>
      </c>
      <c r="AA128" t="s">
        <v>2023</v>
      </c>
      <c r="AB128" t="s">
        <v>41</v>
      </c>
      <c r="AC128">
        <f t="shared" si="1"/>
        <v>5</v>
      </c>
    </row>
    <row r="129" spans="1:29" x14ac:dyDescent="0.3">
      <c r="A129">
        <v>2472001</v>
      </c>
      <c r="B129" t="s">
        <v>2502</v>
      </c>
      <c r="C129" t="s">
        <v>29</v>
      </c>
      <c r="D129" t="s">
        <v>2503</v>
      </c>
      <c r="E129" t="s">
        <v>2503</v>
      </c>
      <c r="F129" s="1">
        <v>46126.40347222222</v>
      </c>
      <c r="G129" t="s">
        <v>45</v>
      </c>
      <c r="H129">
        <v>0</v>
      </c>
      <c r="I129">
        <v>52</v>
      </c>
      <c r="J129">
        <v>110</v>
      </c>
      <c r="K129">
        <v>162</v>
      </c>
      <c r="L129">
        <v>189</v>
      </c>
      <c r="M129">
        <v>389</v>
      </c>
      <c r="N129">
        <v>2816</v>
      </c>
      <c r="O129">
        <v>3</v>
      </c>
      <c r="P129">
        <v>4</v>
      </c>
      <c r="Q129">
        <v>4</v>
      </c>
      <c r="R129" t="s">
        <v>2504</v>
      </c>
      <c r="S129" t="s">
        <v>124</v>
      </c>
      <c r="T129" t="s">
        <v>2505</v>
      </c>
      <c r="U129" t="s">
        <v>2506</v>
      </c>
      <c r="V129" t="s">
        <v>2507</v>
      </c>
      <c r="W129" t="s">
        <v>2508</v>
      </c>
      <c r="X129" t="s">
        <v>38</v>
      </c>
      <c r="Y129" t="b">
        <v>0</v>
      </c>
      <c r="Z129" t="s">
        <v>39</v>
      </c>
      <c r="AA129" t="s">
        <v>2509</v>
      </c>
      <c r="AB129" t="s">
        <v>41</v>
      </c>
      <c r="AC129">
        <f t="shared" si="1"/>
        <v>4</v>
      </c>
    </row>
    <row r="130" spans="1:29" x14ac:dyDescent="0.3">
      <c r="A130">
        <v>2472001</v>
      </c>
      <c r="B130" t="s">
        <v>2760</v>
      </c>
      <c r="C130" t="s">
        <v>29</v>
      </c>
      <c r="D130" t="s">
        <v>2761</v>
      </c>
      <c r="E130" t="s">
        <v>2762</v>
      </c>
      <c r="F130" s="1">
        <v>46112.486018518517</v>
      </c>
      <c r="G130" t="s">
        <v>304</v>
      </c>
      <c r="H130">
        <v>0</v>
      </c>
      <c r="I130">
        <v>38</v>
      </c>
      <c r="J130">
        <v>146</v>
      </c>
      <c r="K130">
        <v>184</v>
      </c>
      <c r="L130">
        <v>130</v>
      </c>
      <c r="M130">
        <v>400</v>
      </c>
      <c r="N130">
        <v>3120</v>
      </c>
      <c r="O130">
        <v>4</v>
      </c>
      <c r="P130">
        <v>5</v>
      </c>
      <c r="Q130">
        <v>5</v>
      </c>
      <c r="R130" t="s">
        <v>2763</v>
      </c>
      <c r="S130" t="s">
        <v>2764</v>
      </c>
      <c r="T130" t="s">
        <v>2765</v>
      </c>
      <c r="U130" t="s">
        <v>2766</v>
      </c>
      <c r="V130" t="s">
        <v>2767</v>
      </c>
      <c r="W130" t="s">
        <v>2768</v>
      </c>
      <c r="X130" t="s">
        <v>154</v>
      </c>
      <c r="Y130" t="b">
        <v>0</v>
      </c>
      <c r="Z130" t="s">
        <v>39</v>
      </c>
      <c r="AA130" t="s">
        <v>2769</v>
      </c>
      <c r="AB130" t="s">
        <v>41</v>
      </c>
      <c r="AC130">
        <f t="shared" si="1"/>
        <v>5</v>
      </c>
    </row>
    <row r="131" spans="1:29" x14ac:dyDescent="0.3">
      <c r="A131">
        <v>2472001</v>
      </c>
      <c r="B131" t="s">
        <v>3659</v>
      </c>
      <c r="C131" t="s">
        <v>29</v>
      </c>
      <c r="D131" t="s">
        <v>3660</v>
      </c>
      <c r="E131" t="s">
        <v>3661</v>
      </c>
      <c r="F131" s="1">
        <v>46091.531655092593</v>
      </c>
      <c r="G131" t="s">
        <v>31</v>
      </c>
      <c r="H131">
        <v>0</v>
      </c>
      <c r="I131">
        <v>42</v>
      </c>
      <c r="J131">
        <v>39</v>
      </c>
      <c r="K131">
        <v>81</v>
      </c>
      <c r="L131">
        <v>186</v>
      </c>
      <c r="M131">
        <v>183</v>
      </c>
      <c r="N131">
        <v>4199</v>
      </c>
      <c r="O131">
        <v>4</v>
      </c>
      <c r="P131">
        <v>5</v>
      </c>
      <c r="Q131">
        <v>5</v>
      </c>
      <c r="R131" t="s">
        <v>139</v>
      </c>
      <c r="S131" t="s">
        <v>2094</v>
      </c>
      <c r="T131" t="s">
        <v>190</v>
      </c>
      <c r="U131" t="s">
        <v>125</v>
      </c>
      <c r="V131" t="s">
        <v>3662</v>
      </c>
      <c r="W131" t="s">
        <v>791</v>
      </c>
      <c r="X131" t="s">
        <v>154</v>
      </c>
      <c r="Y131" t="b">
        <v>0</v>
      </c>
      <c r="Z131" t="s">
        <v>39</v>
      </c>
      <c r="AA131" t="s">
        <v>3663</v>
      </c>
      <c r="AB131" t="s">
        <v>41</v>
      </c>
      <c r="AC131">
        <f t="shared" ref="AC131:AC194" si="2">IF(LOWER(TRIM(X131))="excellent",5,
 IF(LOWER(TRIM(X131))="good",4,
 IF(LOWER(TRIM(X131))="fair",3,
 IF(LOWER(TRIM(X131))="poor",2,
 IF(LOWER(TRIM(X131))="weak",1,0)))))</f>
        <v>5</v>
      </c>
    </row>
    <row r="132" spans="1:29" x14ac:dyDescent="0.3">
      <c r="A132">
        <v>2472001</v>
      </c>
      <c r="B132" t="s">
        <v>3871</v>
      </c>
      <c r="C132" t="s">
        <v>29</v>
      </c>
      <c r="D132" t="s">
        <v>3872</v>
      </c>
      <c r="E132" t="s">
        <v>3873</v>
      </c>
      <c r="F132" s="1">
        <v>46098.517800925933</v>
      </c>
      <c r="G132" t="s">
        <v>138</v>
      </c>
      <c r="H132">
        <v>0</v>
      </c>
      <c r="I132">
        <v>42</v>
      </c>
      <c r="J132">
        <v>103</v>
      </c>
      <c r="K132">
        <v>145</v>
      </c>
      <c r="L132">
        <v>158</v>
      </c>
      <c r="M132">
        <v>421</v>
      </c>
      <c r="N132">
        <v>4499</v>
      </c>
      <c r="O132">
        <v>4</v>
      </c>
      <c r="P132">
        <v>5</v>
      </c>
      <c r="Q132">
        <v>4</v>
      </c>
      <c r="R132" t="s">
        <v>139</v>
      </c>
      <c r="S132" t="s">
        <v>387</v>
      </c>
      <c r="T132" t="s">
        <v>3874</v>
      </c>
      <c r="U132" t="s">
        <v>1091</v>
      </c>
      <c r="V132" t="s">
        <v>3875</v>
      </c>
      <c r="W132" t="s">
        <v>183</v>
      </c>
      <c r="X132" t="s">
        <v>38</v>
      </c>
      <c r="Y132" t="b">
        <v>0</v>
      </c>
      <c r="Z132" t="s">
        <v>39</v>
      </c>
      <c r="AA132" t="s">
        <v>3876</v>
      </c>
      <c r="AB132" t="s">
        <v>41</v>
      </c>
      <c r="AC132">
        <f t="shared" si="2"/>
        <v>4</v>
      </c>
    </row>
    <row r="133" spans="1:29" x14ac:dyDescent="0.3">
      <c r="A133">
        <v>2472001</v>
      </c>
      <c r="B133" t="s">
        <v>3919</v>
      </c>
      <c r="C133" t="s">
        <v>29</v>
      </c>
      <c r="D133" t="s">
        <v>3920</v>
      </c>
      <c r="E133" t="s">
        <v>3921</v>
      </c>
      <c r="F133" s="1">
        <v>46112.487511574072</v>
      </c>
      <c r="G133" t="s">
        <v>304</v>
      </c>
      <c r="H133">
        <v>0</v>
      </c>
      <c r="I133">
        <v>143</v>
      </c>
      <c r="J133">
        <v>213</v>
      </c>
      <c r="K133">
        <v>356</v>
      </c>
      <c r="L133">
        <v>416</v>
      </c>
      <c r="M133">
        <v>590</v>
      </c>
      <c r="N133">
        <v>4535</v>
      </c>
      <c r="O133">
        <v>3</v>
      </c>
      <c r="P133">
        <v>4</v>
      </c>
      <c r="Q133">
        <v>4</v>
      </c>
      <c r="R133" t="s">
        <v>3922</v>
      </c>
      <c r="S133" t="s">
        <v>3923</v>
      </c>
      <c r="T133" t="s">
        <v>3924</v>
      </c>
      <c r="U133" t="s">
        <v>935</v>
      </c>
      <c r="V133" t="s">
        <v>3925</v>
      </c>
      <c r="W133" t="s">
        <v>3926</v>
      </c>
      <c r="X133" t="s">
        <v>38</v>
      </c>
      <c r="Y133" t="b">
        <v>0</v>
      </c>
      <c r="Z133" t="s">
        <v>39</v>
      </c>
      <c r="AA133" t="s">
        <v>3927</v>
      </c>
      <c r="AB133" t="s">
        <v>41</v>
      </c>
      <c r="AC133">
        <f t="shared" si="2"/>
        <v>4</v>
      </c>
    </row>
    <row r="134" spans="1:29" x14ac:dyDescent="0.3">
      <c r="A134">
        <v>2472001</v>
      </c>
      <c r="B134" t="s">
        <v>4171</v>
      </c>
      <c r="C134" t="s">
        <v>29</v>
      </c>
      <c r="D134" t="s">
        <v>4172</v>
      </c>
      <c r="E134" t="s">
        <v>4173</v>
      </c>
      <c r="F134" s="1">
        <v>46112.482638888891</v>
      </c>
      <c r="G134" t="s">
        <v>304</v>
      </c>
      <c r="H134">
        <v>0</v>
      </c>
      <c r="I134">
        <v>38</v>
      </c>
      <c r="J134">
        <v>110</v>
      </c>
      <c r="K134">
        <v>148</v>
      </c>
      <c r="L134">
        <v>153</v>
      </c>
      <c r="M134">
        <v>338</v>
      </c>
      <c r="N134">
        <v>4892</v>
      </c>
      <c r="O134">
        <v>4</v>
      </c>
      <c r="P134">
        <v>4</v>
      </c>
      <c r="Q134">
        <v>4</v>
      </c>
      <c r="R134" t="s">
        <v>4174</v>
      </c>
      <c r="S134" t="s">
        <v>4175</v>
      </c>
      <c r="T134" t="s">
        <v>4176</v>
      </c>
      <c r="U134" t="s">
        <v>4177</v>
      </c>
      <c r="V134" t="s">
        <v>4178</v>
      </c>
      <c r="W134" t="s">
        <v>4179</v>
      </c>
      <c r="X134" t="s">
        <v>38</v>
      </c>
      <c r="Y134" t="b">
        <v>0</v>
      </c>
      <c r="Z134" t="s">
        <v>39</v>
      </c>
      <c r="AA134" t="s">
        <v>4180</v>
      </c>
      <c r="AB134" t="s">
        <v>41</v>
      </c>
      <c r="AC134">
        <f t="shared" si="2"/>
        <v>4</v>
      </c>
    </row>
    <row r="135" spans="1:29" x14ac:dyDescent="0.3">
      <c r="A135">
        <v>2472003</v>
      </c>
      <c r="B135" t="s">
        <v>3109</v>
      </c>
      <c r="C135" t="s">
        <v>29</v>
      </c>
      <c r="D135" t="s">
        <v>3110</v>
      </c>
      <c r="E135" t="s">
        <v>3111</v>
      </c>
      <c r="F135" s="1">
        <v>46091.507372685177</v>
      </c>
      <c r="G135" t="s">
        <v>31</v>
      </c>
      <c r="H135">
        <v>0</v>
      </c>
      <c r="I135">
        <v>41</v>
      </c>
      <c r="J135">
        <v>150</v>
      </c>
      <c r="K135">
        <v>191</v>
      </c>
      <c r="L135">
        <v>127</v>
      </c>
      <c r="M135">
        <v>475</v>
      </c>
      <c r="N135">
        <v>3557</v>
      </c>
      <c r="O135">
        <v>4</v>
      </c>
      <c r="P135">
        <v>5</v>
      </c>
      <c r="Q135">
        <v>5</v>
      </c>
      <c r="R135" t="s">
        <v>139</v>
      </c>
      <c r="S135" t="s">
        <v>252</v>
      </c>
      <c r="T135" t="s">
        <v>3112</v>
      </c>
      <c r="U135" t="s">
        <v>125</v>
      </c>
      <c r="V135" t="s">
        <v>3113</v>
      </c>
      <c r="W135" t="s">
        <v>1486</v>
      </c>
      <c r="X135" t="s">
        <v>154</v>
      </c>
      <c r="Y135" t="b">
        <v>0</v>
      </c>
      <c r="Z135" t="s">
        <v>39</v>
      </c>
      <c r="AA135" t="s">
        <v>3114</v>
      </c>
      <c r="AB135" t="s">
        <v>41</v>
      </c>
      <c r="AC135">
        <f t="shared" si="2"/>
        <v>5</v>
      </c>
    </row>
    <row r="136" spans="1:29" x14ac:dyDescent="0.3">
      <c r="A136">
        <v>2472003</v>
      </c>
      <c r="B136" t="s">
        <v>3806</v>
      </c>
      <c r="C136" t="s">
        <v>29</v>
      </c>
      <c r="D136" t="s">
        <v>3807</v>
      </c>
      <c r="E136" t="s">
        <v>3808</v>
      </c>
      <c r="F136" s="1">
        <v>46112.503240740742</v>
      </c>
      <c r="G136" t="s">
        <v>304</v>
      </c>
      <c r="H136">
        <v>0</v>
      </c>
      <c r="I136">
        <v>30</v>
      </c>
      <c r="J136">
        <v>431</v>
      </c>
      <c r="K136">
        <v>461</v>
      </c>
      <c r="L136">
        <v>123</v>
      </c>
      <c r="M136">
        <v>1458</v>
      </c>
      <c r="N136">
        <v>4397</v>
      </c>
      <c r="O136">
        <v>4</v>
      </c>
      <c r="P136">
        <v>5</v>
      </c>
      <c r="Q136">
        <v>4</v>
      </c>
      <c r="R136" t="s">
        <v>3809</v>
      </c>
      <c r="S136" t="s">
        <v>1040</v>
      </c>
      <c r="T136" t="s">
        <v>3810</v>
      </c>
      <c r="U136" t="s">
        <v>441</v>
      </c>
      <c r="V136" t="s">
        <v>3811</v>
      </c>
      <c r="W136" t="s">
        <v>1446</v>
      </c>
      <c r="X136" t="s">
        <v>38</v>
      </c>
      <c r="Y136" t="b">
        <v>0</v>
      </c>
      <c r="Z136" t="s">
        <v>39</v>
      </c>
      <c r="AA136" t="s">
        <v>3812</v>
      </c>
      <c r="AB136" t="s">
        <v>41</v>
      </c>
      <c r="AC136">
        <f t="shared" si="2"/>
        <v>4</v>
      </c>
    </row>
    <row r="137" spans="1:29" x14ac:dyDescent="0.3">
      <c r="A137">
        <v>2472005</v>
      </c>
      <c r="B137" t="s">
        <v>1275</v>
      </c>
      <c r="C137" t="s">
        <v>29</v>
      </c>
      <c r="D137" t="s">
        <v>1276</v>
      </c>
      <c r="E137" t="s">
        <v>1277</v>
      </c>
      <c r="F137" s="1">
        <v>46126.45753472222</v>
      </c>
      <c r="G137" t="s">
        <v>45</v>
      </c>
      <c r="H137">
        <v>0</v>
      </c>
      <c r="I137">
        <v>39</v>
      </c>
      <c r="J137">
        <v>1051</v>
      </c>
      <c r="K137">
        <v>1090</v>
      </c>
      <c r="L137">
        <v>129</v>
      </c>
      <c r="M137">
        <v>3773</v>
      </c>
      <c r="N137">
        <v>1420</v>
      </c>
      <c r="O137">
        <v>3</v>
      </c>
      <c r="P137">
        <v>2</v>
      </c>
      <c r="Q137">
        <v>2</v>
      </c>
      <c r="R137" t="s">
        <v>1278</v>
      </c>
      <c r="S137" t="s">
        <v>1279</v>
      </c>
      <c r="T137" t="s">
        <v>1280</v>
      </c>
      <c r="U137" t="s">
        <v>1281</v>
      </c>
      <c r="V137" t="s">
        <v>1282</v>
      </c>
      <c r="W137" t="s">
        <v>1283</v>
      </c>
      <c r="X137" t="s">
        <v>84</v>
      </c>
      <c r="Y137" t="b">
        <v>0</v>
      </c>
      <c r="Z137" t="s">
        <v>39</v>
      </c>
      <c r="AA137" t="s">
        <v>1284</v>
      </c>
      <c r="AB137" t="s">
        <v>41</v>
      </c>
      <c r="AC137">
        <f t="shared" si="2"/>
        <v>3</v>
      </c>
    </row>
    <row r="138" spans="1:29" x14ac:dyDescent="0.3">
      <c r="A138">
        <v>2472005</v>
      </c>
      <c r="B138" t="s">
        <v>1330</v>
      </c>
      <c r="C138" t="s">
        <v>29</v>
      </c>
      <c r="D138" t="s">
        <v>1331</v>
      </c>
      <c r="E138" t="s">
        <v>1332</v>
      </c>
      <c r="F138" s="1">
        <v>46126.462326388893</v>
      </c>
      <c r="G138" t="s">
        <v>45</v>
      </c>
      <c r="H138">
        <v>0</v>
      </c>
      <c r="I138">
        <v>45</v>
      </c>
      <c r="J138">
        <v>1050</v>
      </c>
      <c r="K138">
        <v>1095</v>
      </c>
      <c r="L138">
        <v>164</v>
      </c>
      <c r="M138">
        <v>3873</v>
      </c>
      <c r="N138">
        <v>1483</v>
      </c>
      <c r="O138">
        <v>3</v>
      </c>
      <c r="P138">
        <v>2</v>
      </c>
      <c r="Q138">
        <v>2</v>
      </c>
      <c r="R138" t="s">
        <v>1333</v>
      </c>
      <c r="S138" t="s">
        <v>1334</v>
      </c>
      <c r="T138" t="s">
        <v>1335</v>
      </c>
      <c r="U138" t="s">
        <v>1336</v>
      </c>
      <c r="V138" t="s">
        <v>1337</v>
      </c>
      <c r="W138" t="s">
        <v>1338</v>
      </c>
      <c r="X138" t="s">
        <v>126</v>
      </c>
      <c r="Y138" t="b">
        <v>0</v>
      </c>
      <c r="Z138" t="s">
        <v>39</v>
      </c>
      <c r="AA138" t="s">
        <v>1339</v>
      </c>
      <c r="AB138" t="s">
        <v>41</v>
      </c>
      <c r="AC138">
        <f t="shared" si="2"/>
        <v>1</v>
      </c>
    </row>
    <row r="139" spans="1:29" x14ac:dyDescent="0.3">
      <c r="A139">
        <v>2472005</v>
      </c>
      <c r="B139" t="s">
        <v>1828</v>
      </c>
      <c r="C139" t="s">
        <v>29</v>
      </c>
      <c r="D139" t="s">
        <v>1829</v>
      </c>
      <c r="E139" t="s">
        <v>1830</v>
      </c>
      <c r="F139" s="1">
        <v>46119.528506944444</v>
      </c>
      <c r="G139" t="s">
        <v>56</v>
      </c>
      <c r="H139">
        <v>0</v>
      </c>
      <c r="I139">
        <v>43</v>
      </c>
      <c r="J139">
        <v>456</v>
      </c>
      <c r="K139">
        <v>499</v>
      </c>
      <c r="L139">
        <v>157</v>
      </c>
      <c r="M139">
        <v>1607</v>
      </c>
      <c r="N139">
        <v>2029</v>
      </c>
      <c r="O139">
        <v>4</v>
      </c>
      <c r="P139">
        <v>4</v>
      </c>
      <c r="Q139">
        <v>4</v>
      </c>
      <c r="R139" t="s">
        <v>1831</v>
      </c>
      <c r="S139" t="s">
        <v>1040</v>
      </c>
      <c r="T139" t="s">
        <v>1832</v>
      </c>
      <c r="U139" t="s">
        <v>1833</v>
      </c>
      <c r="V139" t="s">
        <v>1834</v>
      </c>
      <c r="W139" t="s">
        <v>1835</v>
      </c>
      <c r="X139" t="s">
        <v>38</v>
      </c>
      <c r="Y139" t="b">
        <v>0</v>
      </c>
      <c r="Z139" t="s">
        <v>39</v>
      </c>
      <c r="AA139" t="s">
        <v>1836</v>
      </c>
      <c r="AB139" t="s">
        <v>41</v>
      </c>
      <c r="AC139">
        <f t="shared" si="2"/>
        <v>4</v>
      </c>
    </row>
    <row r="140" spans="1:29" x14ac:dyDescent="0.3">
      <c r="A140">
        <v>2472005</v>
      </c>
      <c r="B140" t="s">
        <v>2584</v>
      </c>
      <c r="C140" t="s">
        <v>29</v>
      </c>
      <c r="D140" t="s">
        <v>2585</v>
      </c>
      <c r="E140" t="s">
        <v>2586</v>
      </c>
      <c r="F140" s="1">
        <v>46091.462048611109</v>
      </c>
      <c r="G140" t="s">
        <v>31</v>
      </c>
      <c r="H140">
        <v>0</v>
      </c>
      <c r="I140">
        <v>41</v>
      </c>
      <c r="J140">
        <v>15</v>
      </c>
      <c r="K140">
        <v>56</v>
      </c>
      <c r="L140">
        <v>179</v>
      </c>
      <c r="M140">
        <v>57</v>
      </c>
      <c r="N140">
        <v>2910</v>
      </c>
      <c r="O140">
        <v>4</v>
      </c>
      <c r="P140">
        <v>4</v>
      </c>
      <c r="Q140">
        <v>4</v>
      </c>
      <c r="R140" t="s">
        <v>2587</v>
      </c>
      <c r="S140" t="s">
        <v>580</v>
      </c>
      <c r="T140" t="s">
        <v>2588</v>
      </c>
      <c r="U140" t="s">
        <v>181</v>
      </c>
      <c r="V140" t="s">
        <v>2589</v>
      </c>
      <c r="W140" t="s">
        <v>2590</v>
      </c>
      <c r="X140" t="s">
        <v>38</v>
      </c>
      <c r="Y140" t="b">
        <v>0</v>
      </c>
      <c r="Z140" t="s">
        <v>39</v>
      </c>
      <c r="AA140" t="s">
        <v>2591</v>
      </c>
      <c r="AB140" t="s">
        <v>41</v>
      </c>
      <c r="AC140">
        <f t="shared" si="2"/>
        <v>4</v>
      </c>
    </row>
    <row r="141" spans="1:29" x14ac:dyDescent="0.3">
      <c r="A141">
        <v>2472005</v>
      </c>
      <c r="B141" t="s">
        <v>3240</v>
      </c>
      <c r="C141" t="s">
        <v>29</v>
      </c>
      <c r="D141" t="s">
        <v>3241</v>
      </c>
      <c r="E141" t="s">
        <v>3241</v>
      </c>
      <c r="F141" s="1">
        <v>46126.41128472222</v>
      </c>
      <c r="G141" t="s">
        <v>45</v>
      </c>
      <c r="H141">
        <v>0</v>
      </c>
      <c r="I141">
        <v>41</v>
      </c>
      <c r="J141">
        <v>3</v>
      </c>
      <c r="K141">
        <v>44</v>
      </c>
      <c r="L141">
        <v>128</v>
      </c>
      <c r="M141">
        <v>11</v>
      </c>
      <c r="N141">
        <v>3656</v>
      </c>
      <c r="O141">
        <v>3</v>
      </c>
      <c r="P141">
        <v>3</v>
      </c>
      <c r="Q141">
        <v>3</v>
      </c>
      <c r="R141" t="s">
        <v>3242</v>
      </c>
      <c r="S141" t="s">
        <v>3243</v>
      </c>
      <c r="T141" t="s">
        <v>3244</v>
      </c>
      <c r="U141" t="s">
        <v>3245</v>
      </c>
      <c r="V141" t="s">
        <v>3246</v>
      </c>
      <c r="W141" t="s">
        <v>3247</v>
      </c>
      <c r="X141" t="s">
        <v>84</v>
      </c>
      <c r="Y141" t="b">
        <v>0</v>
      </c>
      <c r="Z141" t="s">
        <v>39</v>
      </c>
      <c r="AA141" t="s">
        <v>3248</v>
      </c>
      <c r="AB141" t="s">
        <v>41</v>
      </c>
      <c r="AC141">
        <f t="shared" si="2"/>
        <v>3</v>
      </c>
    </row>
    <row r="142" spans="1:29" x14ac:dyDescent="0.3">
      <c r="A142">
        <v>2472007</v>
      </c>
      <c r="B142" t="s">
        <v>348</v>
      </c>
      <c r="C142" t="s">
        <v>29</v>
      </c>
      <c r="D142" t="s">
        <v>349</v>
      </c>
      <c r="E142" t="s">
        <v>349</v>
      </c>
      <c r="F142" s="1">
        <v>46091.503032407411</v>
      </c>
      <c r="G142" t="s">
        <v>31</v>
      </c>
      <c r="H142">
        <v>0</v>
      </c>
      <c r="I142">
        <v>51</v>
      </c>
      <c r="J142">
        <v>144</v>
      </c>
      <c r="K142">
        <v>195</v>
      </c>
      <c r="L142">
        <v>191</v>
      </c>
      <c r="M142">
        <v>479</v>
      </c>
      <c r="N142">
        <v>363</v>
      </c>
      <c r="O142">
        <v>4</v>
      </c>
      <c r="P142">
        <v>5</v>
      </c>
      <c r="Q142">
        <v>5</v>
      </c>
      <c r="R142" t="s">
        <v>350</v>
      </c>
      <c r="S142" t="s">
        <v>351</v>
      </c>
      <c r="T142" t="s">
        <v>352</v>
      </c>
      <c r="U142" t="s">
        <v>353</v>
      </c>
      <c r="V142" t="s">
        <v>354</v>
      </c>
      <c r="W142" t="s">
        <v>355</v>
      </c>
      <c r="X142" t="s">
        <v>154</v>
      </c>
      <c r="Y142" t="b">
        <v>0</v>
      </c>
      <c r="Z142" t="s">
        <v>39</v>
      </c>
      <c r="AA142" t="s">
        <v>356</v>
      </c>
      <c r="AB142" t="s">
        <v>41</v>
      </c>
      <c r="AC142">
        <f t="shared" si="2"/>
        <v>5</v>
      </c>
    </row>
    <row r="143" spans="1:29" x14ac:dyDescent="0.3">
      <c r="A143">
        <v>2472007</v>
      </c>
      <c r="B143" t="s">
        <v>594</v>
      </c>
      <c r="C143" t="s">
        <v>29</v>
      </c>
      <c r="D143" t="s">
        <v>595</v>
      </c>
      <c r="E143" t="s">
        <v>595</v>
      </c>
      <c r="F143" s="1">
        <v>46119.540381944447</v>
      </c>
      <c r="G143" t="s">
        <v>56</v>
      </c>
      <c r="H143">
        <v>0</v>
      </c>
      <c r="I143">
        <v>475</v>
      </c>
      <c r="J143">
        <v>439</v>
      </c>
      <c r="K143">
        <v>914</v>
      </c>
      <c r="L143">
        <v>1731</v>
      </c>
      <c r="M143">
        <v>1470</v>
      </c>
      <c r="N143">
        <v>575</v>
      </c>
      <c r="O143">
        <v>4</v>
      </c>
      <c r="P143">
        <v>5</v>
      </c>
      <c r="Q143">
        <v>5</v>
      </c>
      <c r="R143" t="s">
        <v>32</v>
      </c>
      <c r="S143" t="s">
        <v>33</v>
      </c>
      <c r="T143" t="s">
        <v>596</v>
      </c>
      <c r="U143" t="s">
        <v>270</v>
      </c>
      <c r="V143" t="s">
        <v>597</v>
      </c>
      <c r="W143" t="s">
        <v>598</v>
      </c>
      <c r="X143" t="s">
        <v>154</v>
      </c>
      <c r="Y143" t="b">
        <v>0</v>
      </c>
      <c r="Z143" t="s">
        <v>39</v>
      </c>
      <c r="AA143" t="s">
        <v>599</v>
      </c>
      <c r="AB143" t="s">
        <v>41</v>
      </c>
      <c r="AC143">
        <f t="shared" si="2"/>
        <v>5</v>
      </c>
    </row>
    <row r="144" spans="1:29" x14ac:dyDescent="0.3">
      <c r="A144">
        <v>2472007</v>
      </c>
      <c r="B144" t="s">
        <v>660</v>
      </c>
      <c r="C144" t="s">
        <v>29</v>
      </c>
      <c r="D144" t="s">
        <v>661</v>
      </c>
      <c r="E144" t="s">
        <v>661</v>
      </c>
      <c r="F144" s="1">
        <v>46084.498657407406</v>
      </c>
      <c r="G144" t="s">
        <v>177</v>
      </c>
      <c r="H144">
        <v>0</v>
      </c>
      <c r="I144">
        <v>74</v>
      </c>
      <c r="J144">
        <v>326</v>
      </c>
      <c r="K144">
        <v>400</v>
      </c>
      <c r="L144">
        <v>326</v>
      </c>
      <c r="M144">
        <v>1180</v>
      </c>
      <c r="N144">
        <v>646</v>
      </c>
      <c r="O144">
        <v>4</v>
      </c>
      <c r="P144">
        <v>5</v>
      </c>
      <c r="Q144">
        <v>4</v>
      </c>
      <c r="R144" t="s">
        <v>662</v>
      </c>
      <c r="S144" t="s">
        <v>663</v>
      </c>
      <c r="T144" t="s">
        <v>664</v>
      </c>
      <c r="U144" t="s">
        <v>665</v>
      </c>
      <c r="V144" t="s">
        <v>666</v>
      </c>
      <c r="W144" t="s">
        <v>667</v>
      </c>
      <c r="X144" t="s">
        <v>38</v>
      </c>
      <c r="Y144" t="b">
        <v>0</v>
      </c>
      <c r="Z144" t="s">
        <v>39</v>
      </c>
      <c r="AA144" t="s">
        <v>668</v>
      </c>
      <c r="AB144" t="s">
        <v>41</v>
      </c>
      <c r="AC144">
        <f t="shared" si="2"/>
        <v>4</v>
      </c>
    </row>
    <row r="145" spans="1:29" x14ac:dyDescent="0.3">
      <c r="A145">
        <v>2472007</v>
      </c>
      <c r="B145" t="s">
        <v>725</v>
      </c>
      <c r="C145" t="s">
        <v>29</v>
      </c>
      <c r="D145" t="s">
        <v>726</v>
      </c>
      <c r="E145" t="s">
        <v>727</v>
      </c>
      <c r="F145" s="1">
        <v>46126.444872685177</v>
      </c>
      <c r="G145" t="s">
        <v>45</v>
      </c>
      <c r="H145">
        <v>0</v>
      </c>
      <c r="I145">
        <v>687</v>
      </c>
      <c r="J145">
        <v>545</v>
      </c>
      <c r="K145">
        <v>1232</v>
      </c>
      <c r="L145">
        <v>2236</v>
      </c>
      <c r="M145">
        <v>1935</v>
      </c>
      <c r="N145">
        <v>760</v>
      </c>
      <c r="O145">
        <v>4</v>
      </c>
      <c r="P145">
        <v>5</v>
      </c>
      <c r="Q145">
        <v>5</v>
      </c>
      <c r="R145" t="s">
        <v>728</v>
      </c>
      <c r="S145" t="s">
        <v>729</v>
      </c>
      <c r="T145" t="s">
        <v>730</v>
      </c>
      <c r="U145" t="s">
        <v>270</v>
      </c>
      <c r="V145" t="s">
        <v>731</v>
      </c>
      <c r="W145" t="s">
        <v>732</v>
      </c>
      <c r="X145" t="s">
        <v>154</v>
      </c>
      <c r="Y145" t="b">
        <v>0</v>
      </c>
      <c r="Z145" t="s">
        <v>39</v>
      </c>
      <c r="AA145" t="s">
        <v>733</v>
      </c>
      <c r="AB145" t="s">
        <v>41</v>
      </c>
      <c r="AC145">
        <f t="shared" si="2"/>
        <v>5</v>
      </c>
    </row>
    <row r="146" spans="1:29" x14ac:dyDescent="0.3">
      <c r="A146">
        <v>2472007</v>
      </c>
      <c r="B146" t="s">
        <v>1069</v>
      </c>
      <c r="C146" t="s">
        <v>29</v>
      </c>
      <c r="D146" t="s">
        <v>1070</v>
      </c>
      <c r="E146" t="s">
        <v>1070</v>
      </c>
      <c r="F146" s="1">
        <v>46091.518958333327</v>
      </c>
      <c r="G146" t="s">
        <v>31</v>
      </c>
      <c r="H146">
        <v>0</v>
      </c>
      <c r="I146">
        <v>66</v>
      </c>
      <c r="J146">
        <v>167</v>
      </c>
      <c r="K146">
        <v>233</v>
      </c>
      <c r="L146">
        <v>312</v>
      </c>
      <c r="M146">
        <v>676</v>
      </c>
      <c r="N146">
        <v>1049</v>
      </c>
      <c r="O146">
        <v>4</v>
      </c>
      <c r="P146">
        <v>5</v>
      </c>
      <c r="Q146">
        <v>4</v>
      </c>
      <c r="R146" t="s">
        <v>359</v>
      </c>
      <c r="S146" t="s">
        <v>1071</v>
      </c>
      <c r="T146" t="s">
        <v>1072</v>
      </c>
      <c r="U146" t="s">
        <v>125</v>
      </c>
      <c r="V146" t="s">
        <v>1073</v>
      </c>
      <c r="W146" t="s">
        <v>143</v>
      </c>
      <c r="X146" t="s">
        <v>154</v>
      </c>
      <c r="Y146" t="b">
        <v>0</v>
      </c>
      <c r="Z146" t="s">
        <v>39</v>
      </c>
      <c r="AA146" t="s">
        <v>1074</v>
      </c>
      <c r="AB146" t="s">
        <v>41</v>
      </c>
      <c r="AC146">
        <f t="shared" si="2"/>
        <v>5</v>
      </c>
    </row>
    <row r="147" spans="1:29" x14ac:dyDescent="0.3">
      <c r="A147">
        <v>2472007</v>
      </c>
      <c r="B147" t="s">
        <v>1397</v>
      </c>
      <c r="C147" t="s">
        <v>29</v>
      </c>
      <c r="D147" t="s">
        <v>1398</v>
      </c>
      <c r="E147" t="s">
        <v>1398</v>
      </c>
      <c r="F147" s="1">
        <v>46091.510231481479</v>
      </c>
      <c r="G147" t="s">
        <v>31</v>
      </c>
      <c r="H147">
        <v>0</v>
      </c>
      <c r="I147">
        <v>47</v>
      </c>
      <c r="J147">
        <v>375</v>
      </c>
      <c r="K147">
        <v>422</v>
      </c>
      <c r="L147">
        <v>192</v>
      </c>
      <c r="M147">
        <v>1179</v>
      </c>
      <c r="N147">
        <v>1520</v>
      </c>
      <c r="O147">
        <v>4</v>
      </c>
      <c r="P147">
        <v>5</v>
      </c>
      <c r="Q147">
        <v>4</v>
      </c>
      <c r="R147" t="s">
        <v>1399</v>
      </c>
      <c r="S147" t="s">
        <v>387</v>
      </c>
      <c r="T147" t="s">
        <v>1400</v>
      </c>
      <c r="U147" t="s">
        <v>441</v>
      </c>
      <c r="V147" t="s">
        <v>1401</v>
      </c>
      <c r="W147" t="s">
        <v>1402</v>
      </c>
      <c r="X147" t="s">
        <v>38</v>
      </c>
      <c r="Y147" t="b">
        <v>0</v>
      </c>
      <c r="Z147" t="s">
        <v>39</v>
      </c>
      <c r="AA147" t="s">
        <v>1403</v>
      </c>
      <c r="AB147" t="s">
        <v>41</v>
      </c>
      <c r="AC147">
        <f t="shared" si="2"/>
        <v>4</v>
      </c>
    </row>
    <row r="148" spans="1:29" x14ac:dyDescent="0.3">
      <c r="A148">
        <v>2472007</v>
      </c>
      <c r="B148" t="s">
        <v>2091</v>
      </c>
      <c r="C148" t="s">
        <v>29</v>
      </c>
      <c r="D148" t="s">
        <v>2092</v>
      </c>
      <c r="E148" t="s">
        <v>2092</v>
      </c>
      <c r="F148" s="1">
        <v>46091.535613425927</v>
      </c>
      <c r="G148" t="s">
        <v>31</v>
      </c>
      <c r="H148">
        <v>0</v>
      </c>
      <c r="I148">
        <v>50</v>
      </c>
      <c r="J148">
        <v>169</v>
      </c>
      <c r="K148">
        <v>219</v>
      </c>
      <c r="L148">
        <v>161</v>
      </c>
      <c r="M148">
        <v>516</v>
      </c>
      <c r="N148">
        <v>2392</v>
      </c>
      <c r="O148">
        <v>4</v>
      </c>
      <c r="P148">
        <v>5</v>
      </c>
      <c r="Q148">
        <v>4</v>
      </c>
      <c r="R148" t="s">
        <v>2093</v>
      </c>
      <c r="S148" t="s">
        <v>2094</v>
      </c>
      <c r="T148" t="s">
        <v>2095</v>
      </c>
      <c r="U148" t="s">
        <v>170</v>
      </c>
      <c r="V148" t="s">
        <v>2096</v>
      </c>
      <c r="W148" t="s">
        <v>247</v>
      </c>
      <c r="X148" t="s">
        <v>38</v>
      </c>
      <c r="Y148" t="b">
        <v>0</v>
      </c>
      <c r="Z148" t="s">
        <v>39</v>
      </c>
      <c r="AA148" t="s">
        <v>2097</v>
      </c>
      <c r="AB148" t="s">
        <v>41</v>
      </c>
      <c r="AC148">
        <f t="shared" si="2"/>
        <v>4</v>
      </c>
    </row>
    <row r="149" spans="1:29" x14ac:dyDescent="0.3">
      <c r="A149">
        <v>2472007</v>
      </c>
      <c r="B149" t="s">
        <v>2146</v>
      </c>
      <c r="C149" t="s">
        <v>29</v>
      </c>
      <c r="D149" t="s">
        <v>2147</v>
      </c>
      <c r="E149" t="s">
        <v>2147</v>
      </c>
      <c r="F149" s="1">
        <v>46126.474016203712</v>
      </c>
      <c r="G149" t="s">
        <v>45</v>
      </c>
      <c r="H149">
        <v>0</v>
      </c>
      <c r="I149">
        <v>299</v>
      </c>
      <c r="J149">
        <v>234</v>
      </c>
      <c r="K149">
        <v>533</v>
      </c>
      <c r="L149">
        <v>965</v>
      </c>
      <c r="M149">
        <v>789</v>
      </c>
      <c r="N149">
        <v>2461</v>
      </c>
      <c r="O149">
        <v>4</v>
      </c>
      <c r="P149">
        <v>4</v>
      </c>
      <c r="Q149">
        <v>4</v>
      </c>
      <c r="R149" t="s">
        <v>2148</v>
      </c>
      <c r="S149" t="s">
        <v>2149</v>
      </c>
      <c r="T149" t="s">
        <v>2150</v>
      </c>
      <c r="U149" t="s">
        <v>2151</v>
      </c>
      <c r="V149" t="s">
        <v>2152</v>
      </c>
      <c r="W149" t="s">
        <v>2153</v>
      </c>
      <c r="X149" t="s">
        <v>38</v>
      </c>
      <c r="Y149" t="b">
        <v>0</v>
      </c>
      <c r="Z149" t="s">
        <v>39</v>
      </c>
      <c r="AA149" t="s">
        <v>2154</v>
      </c>
      <c r="AB149" t="s">
        <v>41</v>
      </c>
      <c r="AC149">
        <f t="shared" si="2"/>
        <v>4</v>
      </c>
    </row>
    <row r="150" spans="1:29" x14ac:dyDescent="0.3">
      <c r="A150">
        <v>2472007</v>
      </c>
      <c r="B150" t="s">
        <v>2442</v>
      </c>
      <c r="C150" t="s">
        <v>29</v>
      </c>
      <c r="D150" t="s">
        <v>2443</v>
      </c>
      <c r="E150" t="s">
        <v>2443</v>
      </c>
      <c r="F150" s="1">
        <v>46098.543379629627</v>
      </c>
      <c r="G150" t="s">
        <v>138</v>
      </c>
      <c r="H150">
        <v>0</v>
      </c>
      <c r="I150">
        <v>94</v>
      </c>
      <c r="J150">
        <v>126</v>
      </c>
      <c r="K150">
        <v>220</v>
      </c>
      <c r="L150">
        <v>331</v>
      </c>
      <c r="M150">
        <v>404</v>
      </c>
      <c r="N150">
        <v>2743</v>
      </c>
      <c r="O150">
        <v>4</v>
      </c>
      <c r="P150">
        <v>5</v>
      </c>
      <c r="Q150">
        <v>5</v>
      </c>
      <c r="R150" t="s">
        <v>32</v>
      </c>
      <c r="S150" t="s">
        <v>2444</v>
      </c>
      <c r="T150" t="s">
        <v>2445</v>
      </c>
      <c r="U150" t="s">
        <v>270</v>
      </c>
      <c r="V150" t="s">
        <v>2446</v>
      </c>
      <c r="W150" t="s">
        <v>542</v>
      </c>
      <c r="X150" t="s">
        <v>154</v>
      </c>
      <c r="Y150" t="b">
        <v>0</v>
      </c>
      <c r="Z150" t="s">
        <v>39</v>
      </c>
      <c r="AA150" t="s">
        <v>2447</v>
      </c>
      <c r="AB150" t="s">
        <v>41</v>
      </c>
      <c r="AC150">
        <f t="shared" si="2"/>
        <v>5</v>
      </c>
    </row>
    <row r="151" spans="1:29" x14ac:dyDescent="0.3">
      <c r="A151">
        <v>2472007</v>
      </c>
      <c r="B151" t="s">
        <v>2670</v>
      </c>
      <c r="C151" t="s">
        <v>29</v>
      </c>
      <c r="D151" t="s">
        <v>2671</v>
      </c>
      <c r="E151" t="s">
        <v>2671</v>
      </c>
      <c r="F151" s="1">
        <v>46126.470127314817</v>
      </c>
      <c r="G151" t="s">
        <v>45</v>
      </c>
      <c r="H151">
        <v>0</v>
      </c>
      <c r="I151">
        <v>901</v>
      </c>
      <c r="J151">
        <v>253</v>
      </c>
      <c r="K151">
        <v>1154</v>
      </c>
      <c r="L151">
        <v>2132</v>
      </c>
      <c r="M151">
        <v>820</v>
      </c>
      <c r="N151">
        <v>3011</v>
      </c>
      <c r="O151">
        <v>4</v>
      </c>
      <c r="P151">
        <v>4</v>
      </c>
      <c r="Q151">
        <v>4</v>
      </c>
      <c r="R151" t="s">
        <v>2672</v>
      </c>
      <c r="S151" t="s">
        <v>2673</v>
      </c>
      <c r="T151" t="s">
        <v>2674</v>
      </c>
      <c r="U151" t="s">
        <v>2675</v>
      </c>
      <c r="V151" t="s">
        <v>2676</v>
      </c>
      <c r="W151" t="s">
        <v>2677</v>
      </c>
      <c r="X151" t="s">
        <v>38</v>
      </c>
      <c r="Y151" t="b">
        <v>0</v>
      </c>
      <c r="Z151" t="s">
        <v>39</v>
      </c>
      <c r="AA151" t="s">
        <v>2678</v>
      </c>
      <c r="AB151" t="s">
        <v>41</v>
      </c>
      <c r="AC151">
        <f t="shared" si="2"/>
        <v>4</v>
      </c>
    </row>
    <row r="152" spans="1:29" x14ac:dyDescent="0.3">
      <c r="A152">
        <v>2472007</v>
      </c>
      <c r="B152" t="s">
        <v>2726</v>
      </c>
      <c r="C152" t="s">
        <v>29</v>
      </c>
      <c r="D152" t="s">
        <v>2727</v>
      </c>
      <c r="E152" t="s">
        <v>2727</v>
      </c>
      <c r="F152" s="1">
        <v>46112.492025462961</v>
      </c>
      <c r="G152" t="s">
        <v>304</v>
      </c>
      <c r="H152">
        <v>0</v>
      </c>
      <c r="I152">
        <v>280</v>
      </c>
      <c r="J152">
        <v>1134</v>
      </c>
      <c r="K152">
        <v>1414</v>
      </c>
      <c r="L152">
        <v>1081</v>
      </c>
      <c r="M152">
        <v>3604</v>
      </c>
      <c r="N152">
        <v>3081</v>
      </c>
      <c r="O152">
        <v>4</v>
      </c>
      <c r="P152">
        <v>5</v>
      </c>
      <c r="Q152">
        <v>5</v>
      </c>
      <c r="R152" t="s">
        <v>2728</v>
      </c>
      <c r="S152" t="s">
        <v>1040</v>
      </c>
      <c r="T152" t="s">
        <v>2729</v>
      </c>
      <c r="U152" t="s">
        <v>2730</v>
      </c>
      <c r="V152" t="s">
        <v>2731</v>
      </c>
      <c r="W152" t="s">
        <v>2732</v>
      </c>
      <c r="X152" t="s">
        <v>154</v>
      </c>
      <c r="Y152" t="b">
        <v>0</v>
      </c>
      <c r="Z152" t="s">
        <v>39</v>
      </c>
      <c r="AA152" t="s">
        <v>2733</v>
      </c>
      <c r="AB152" t="s">
        <v>41</v>
      </c>
      <c r="AC152">
        <f t="shared" si="2"/>
        <v>5</v>
      </c>
    </row>
    <row r="153" spans="1:29" x14ac:dyDescent="0.3">
      <c r="A153">
        <v>2472007</v>
      </c>
      <c r="B153" t="s">
        <v>2873</v>
      </c>
      <c r="C153" t="s">
        <v>29</v>
      </c>
      <c r="D153" t="s">
        <v>2874</v>
      </c>
      <c r="E153" t="s">
        <v>2874</v>
      </c>
      <c r="F153" s="1">
        <v>46098.512835648151</v>
      </c>
      <c r="G153" t="s">
        <v>138</v>
      </c>
      <c r="H153">
        <v>0</v>
      </c>
      <c r="I153">
        <v>46</v>
      </c>
      <c r="J153">
        <v>189</v>
      </c>
      <c r="K153">
        <v>235</v>
      </c>
      <c r="L153">
        <v>174</v>
      </c>
      <c r="M153">
        <v>722</v>
      </c>
      <c r="N153">
        <v>3299</v>
      </c>
      <c r="O153">
        <v>4</v>
      </c>
      <c r="P153">
        <v>5</v>
      </c>
      <c r="Q153">
        <v>5</v>
      </c>
      <c r="R153" t="s">
        <v>139</v>
      </c>
      <c r="S153" t="s">
        <v>580</v>
      </c>
      <c r="T153" t="s">
        <v>1020</v>
      </c>
      <c r="U153" t="s">
        <v>125</v>
      </c>
      <c r="V153" t="s">
        <v>2875</v>
      </c>
      <c r="W153" t="s">
        <v>2876</v>
      </c>
      <c r="X153" t="s">
        <v>154</v>
      </c>
      <c r="Y153" t="b">
        <v>0</v>
      </c>
      <c r="Z153" t="s">
        <v>39</v>
      </c>
      <c r="AA153" t="s">
        <v>2877</v>
      </c>
      <c r="AB153" t="s">
        <v>41</v>
      </c>
      <c r="AC153">
        <f t="shared" si="2"/>
        <v>5</v>
      </c>
    </row>
    <row r="154" spans="1:29" x14ac:dyDescent="0.3">
      <c r="A154">
        <v>2472007</v>
      </c>
      <c r="B154" t="s">
        <v>3177</v>
      </c>
      <c r="C154" t="s">
        <v>29</v>
      </c>
      <c r="D154" t="s">
        <v>3178</v>
      </c>
      <c r="E154" t="s">
        <v>3178</v>
      </c>
      <c r="F154" s="1">
        <v>46098.533900462957</v>
      </c>
      <c r="G154" t="s">
        <v>138</v>
      </c>
      <c r="H154">
        <v>0</v>
      </c>
      <c r="I154">
        <v>54</v>
      </c>
      <c r="J154">
        <v>361</v>
      </c>
      <c r="K154">
        <v>415</v>
      </c>
      <c r="L154">
        <v>217</v>
      </c>
      <c r="M154">
        <v>1273</v>
      </c>
      <c r="N154">
        <v>3601</v>
      </c>
      <c r="O154">
        <v>4</v>
      </c>
      <c r="P154">
        <v>5</v>
      </c>
      <c r="Q154">
        <v>5</v>
      </c>
      <c r="R154" t="s">
        <v>3179</v>
      </c>
      <c r="S154" t="s">
        <v>1040</v>
      </c>
      <c r="T154" t="s">
        <v>3180</v>
      </c>
      <c r="U154" t="s">
        <v>3181</v>
      </c>
      <c r="V154" t="s">
        <v>3182</v>
      </c>
      <c r="W154" t="s">
        <v>3183</v>
      </c>
      <c r="X154" t="s">
        <v>154</v>
      </c>
      <c r="Y154" t="b">
        <v>0</v>
      </c>
      <c r="Z154" t="s">
        <v>39</v>
      </c>
      <c r="AA154" t="s">
        <v>3184</v>
      </c>
      <c r="AB154" t="s">
        <v>41</v>
      </c>
      <c r="AC154">
        <f t="shared" si="2"/>
        <v>5</v>
      </c>
    </row>
    <row r="155" spans="1:29" x14ac:dyDescent="0.3">
      <c r="A155">
        <v>2472007</v>
      </c>
      <c r="B155" t="s">
        <v>3820</v>
      </c>
      <c r="C155" t="s">
        <v>29</v>
      </c>
      <c r="D155" t="s">
        <v>3821</v>
      </c>
      <c r="E155" t="s">
        <v>3821</v>
      </c>
      <c r="F155" s="1">
        <v>46119.506863425922</v>
      </c>
      <c r="G155" t="s">
        <v>56</v>
      </c>
      <c r="H155">
        <v>0</v>
      </c>
      <c r="I155">
        <v>923</v>
      </c>
      <c r="J155">
        <v>445</v>
      </c>
      <c r="K155">
        <v>1368</v>
      </c>
      <c r="L155">
        <v>3430</v>
      </c>
      <c r="M155">
        <v>1309</v>
      </c>
      <c r="N155">
        <v>4419</v>
      </c>
      <c r="O155">
        <v>4</v>
      </c>
      <c r="P155">
        <v>5</v>
      </c>
      <c r="Q155">
        <v>5</v>
      </c>
      <c r="R155" t="s">
        <v>3822</v>
      </c>
      <c r="S155" t="s">
        <v>1919</v>
      </c>
      <c r="T155" t="s">
        <v>3823</v>
      </c>
      <c r="U155" t="s">
        <v>151</v>
      </c>
      <c r="V155" t="s">
        <v>3824</v>
      </c>
      <c r="W155" t="s">
        <v>3825</v>
      </c>
      <c r="X155" t="s">
        <v>154</v>
      </c>
      <c r="Y155" t="b">
        <v>0</v>
      </c>
      <c r="Z155" t="s">
        <v>39</v>
      </c>
      <c r="AA155" t="s">
        <v>3826</v>
      </c>
      <c r="AB155" t="s">
        <v>41</v>
      </c>
      <c r="AC155">
        <f t="shared" si="2"/>
        <v>5</v>
      </c>
    </row>
    <row r="156" spans="1:29" x14ac:dyDescent="0.3">
      <c r="A156">
        <v>2472007</v>
      </c>
      <c r="B156" t="s">
        <v>4144</v>
      </c>
      <c r="C156" t="s">
        <v>29</v>
      </c>
      <c r="D156" t="s">
        <v>4145</v>
      </c>
      <c r="E156" t="s">
        <v>4146</v>
      </c>
      <c r="F156" s="1">
        <v>46126.442071759258</v>
      </c>
      <c r="G156" t="s">
        <v>45</v>
      </c>
      <c r="H156">
        <v>0</v>
      </c>
      <c r="I156">
        <v>582</v>
      </c>
      <c r="J156">
        <v>116</v>
      </c>
      <c r="K156">
        <v>698</v>
      </c>
      <c r="L156">
        <v>2302</v>
      </c>
      <c r="M156">
        <v>367</v>
      </c>
      <c r="N156">
        <v>4834</v>
      </c>
      <c r="O156">
        <v>4</v>
      </c>
      <c r="P156">
        <v>5</v>
      </c>
      <c r="Q156">
        <v>5</v>
      </c>
      <c r="R156" t="s">
        <v>4147</v>
      </c>
      <c r="S156" t="s">
        <v>523</v>
      </c>
      <c r="T156" t="s">
        <v>4148</v>
      </c>
      <c r="U156" t="s">
        <v>125</v>
      </c>
      <c r="V156" t="s">
        <v>4149</v>
      </c>
      <c r="W156" t="s">
        <v>3189</v>
      </c>
      <c r="X156" t="s">
        <v>154</v>
      </c>
      <c r="Y156" t="b">
        <v>0</v>
      </c>
      <c r="Z156" t="s">
        <v>39</v>
      </c>
      <c r="AA156" t="s">
        <v>4150</v>
      </c>
      <c r="AB156" t="s">
        <v>41</v>
      </c>
      <c r="AC156">
        <f t="shared" si="2"/>
        <v>5</v>
      </c>
    </row>
    <row r="157" spans="1:29" x14ac:dyDescent="0.3">
      <c r="A157">
        <v>2472008</v>
      </c>
      <c r="B157" t="s">
        <v>311</v>
      </c>
      <c r="C157" t="s">
        <v>29</v>
      </c>
      <c r="D157" t="s">
        <v>312</v>
      </c>
      <c r="E157" t="s">
        <v>313</v>
      </c>
      <c r="F157" s="1">
        <v>46077.55777777778</v>
      </c>
      <c r="G157" t="s">
        <v>67</v>
      </c>
      <c r="H157">
        <v>0</v>
      </c>
      <c r="I157">
        <v>213</v>
      </c>
      <c r="J157">
        <v>40</v>
      </c>
      <c r="K157">
        <v>253</v>
      </c>
      <c r="L157">
        <v>917</v>
      </c>
      <c r="M157">
        <v>166</v>
      </c>
      <c r="N157">
        <v>322</v>
      </c>
      <c r="O157">
        <v>3</v>
      </c>
      <c r="P157">
        <v>4</v>
      </c>
      <c r="Q157">
        <v>4</v>
      </c>
      <c r="R157" t="s">
        <v>314</v>
      </c>
      <c r="S157" t="s">
        <v>315</v>
      </c>
      <c r="T157" t="s">
        <v>316</v>
      </c>
      <c r="U157" t="s">
        <v>317</v>
      </c>
      <c r="V157" t="s">
        <v>318</v>
      </c>
      <c r="W157" t="s">
        <v>319</v>
      </c>
      <c r="X157" t="s">
        <v>38</v>
      </c>
      <c r="Y157" t="b">
        <v>0</v>
      </c>
      <c r="Z157" t="s">
        <v>39</v>
      </c>
      <c r="AA157" t="s">
        <v>320</v>
      </c>
      <c r="AB157" t="s">
        <v>41</v>
      </c>
      <c r="AC157">
        <f t="shared" si="2"/>
        <v>4</v>
      </c>
    </row>
    <row r="158" spans="1:29" x14ac:dyDescent="0.3">
      <c r="A158">
        <v>2472008</v>
      </c>
      <c r="B158" t="s">
        <v>331</v>
      </c>
      <c r="C158" t="s">
        <v>29</v>
      </c>
      <c r="D158" t="s">
        <v>332</v>
      </c>
      <c r="E158" t="s">
        <v>332</v>
      </c>
      <c r="F158" s="1">
        <v>46077.642314814817</v>
      </c>
      <c r="G158" t="s">
        <v>67</v>
      </c>
      <c r="H158">
        <v>0</v>
      </c>
      <c r="I158">
        <v>189</v>
      </c>
      <c r="J158">
        <v>124</v>
      </c>
      <c r="K158">
        <v>313</v>
      </c>
      <c r="L158">
        <v>761</v>
      </c>
      <c r="M158">
        <v>447</v>
      </c>
      <c r="N158">
        <v>351</v>
      </c>
      <c r="O158">
        <v>4</v>
      </c>
      <c r="P158">
        <v>5</v>
      </c>
      <c r="Q158">
        <v>4</v>
      </c>
      <c r="R158" t="s">
        <v>333</v>
      </c>
      <c r="S158" t="s">
        <v>334</v>
      </c>
      <c r="T158" t="s">
        <v>335</v>
      </c>
      <c r="U158" t="s">
        <v>125</v>
      </c>
      <c r="V158" t="s">
        <v>336</v>
      </c>
      <c r="W158" t="s">
        <v>337</v>
      </c>
      <c r="X158" t="s">
        <v>38</v>
      </c>
      <c r="Y158" t="b">
        <v>0</v>
      </c>
      <c r="Z158" t="s">
        <v>39</v>
      </c>
      <c r="AA158" t="s">
        <v>338</v>
      </c>
      <c r="AB158" t="s">
        <v>41</v>
      </c>
      <c r="AC158">
        <f t="shared" si="2"/>
        <v>4</v>
      </c>
    </row>
    <row r="159" spans="1:29" x14ac:dyDescent="0.3">
      <c r="A159">
        <v>2472008</v>
      </c>
      <c r="B159" t="s">
        <v>375</v>
      </c>
      <c r="C159" t="s">
        <v>29</v>
      </c>
      <c r="D159" t="s">
        <v>376</v>
      </c>
      <c r="E159" t="s">
        <v>376</v>
      </c>
      <c r="F159" s="1">
        <v>46126.446319444447</v>
      </c>
      <c r="G159" t="s">
        <v>45</v>
      </c>
      <c r="H159">
        <v>0</v>
      </c>
      <c r="I159">
        <v>323</v>
      </c>
      <c r="J159">
        <v>256</v>
      </c>
      <c r="K159">
        <v>579</v>
      </c>
      <c r="L159">
        <v>1238</v>
      </c>
      <c r="M159">
        <v>833</v>
      </c>
      <c r="N159">
        <v>388</v>
      </c>
      <c r="O159">
        <v>4</v>
      </c>
      <c r="P159">
        <v>5</v>
      </c>
      <c r="Q159">
        <v>5</v>
      </c>
      <c r="R159" t="s">
        <v>377</v>
      </c>
      <c r="S159" t="s">
        <v>378</v>
      </c>
      <c r="T159" t="s">
        <v>379</v>
      </c>
      <c r="U159" t="s">
        <v>380</v>
      </c>
      <c r="V159" t="s">
        <v>381</v>
      </c>
      <c r="W159" t="s">
        <v>382</v>
      </c>
      <c r="X159" t="s">
        <v>154</v>
      </c>
      <c r="Y159" t="b">
        <v>0</v>
      </c>
      <c r="Z159" t="s">
        <v>39</v>
      </c>
      <c r="AA159" t="s">
        <v>383</v>
      </c>
      <c r="AB159" t="s">
        <v>41</v>
      </c>
      <c r="AC159">
        <f t="shared" si="2"/>
        <v>5</v>
      </c>
    </row>
    <row r="160" spans="1:29" x14ac:dyDescent="0.3">
      <c r="A160">
        <v>2472008</v>
      </c>
      <c r="B160" t="s">
        <v>427</v>
      </c>
      <c r="C160" t="s">
        <v>29</v>
      </c>
      <c r="D160" t="s">
        <v>428</v>
      </c>
      <c r="E160" t="s">
        <v>428</v>
      </c>
      <c r="F160" s="1">
        <v>46077.562835648147</v>
      </c>
      <c r="G160" t="s">
        <v>67</v>
      </c>
      <c r="H160">
        <v>0</v>
      </c>
      <c r="I160">
        <v>417</v>
      </c>
      <c r="J160">
        <v>514</v>
      </c>
      <c r="K160">
        <v>931</v>
      </c>
      <c r="L160">
        <v>1479</v>
      </c>
      <c r="M160">
        <v>1967</v>
      </c>
      <c r="N160">
        <v>419</v>
      </c>
      <c r="O160">
        <v>4</v>
      </c>
      <c r="P160">
        <v>5</v>
      </c>
      <c r="Q160">
        <v>5</v>
      </c>
      <c r="R160" t="s">
        <v>429</v>
      </c>
      <c r="S160" t="s">
        <v>430</v>
      </c>
      <c r="T160" t="s">
        <v>431</v>
      </c>
      <c r="U160" t="s">
        <v>432</v>
      </c>
      <c r="V160" t="s">
        <v>433</v>
      </c>
      <c r="W160" t="s">
        <v>434</v>
      </c>
      <c r="X160" t="s">
        <v>154</v>
      </c>
      <c r="Y160" t="b">
        <v>0</v>
      </c>
      <c r="Z160" t="s">
        <v>39</v>
      </c>
      <c r="AA160" t="s">
        <v>435</v>
      </c>
      <c r="AB160" t="s">
        <v>41</v>
      </c>
      <c r="AC160">
        <f t="shared" si="2"/>
        <v>5</v>
      </c>
    </row>
    <row r="161" spans="1:29" x14ac:dyDescent="0.3">
      <c r="A161">
        <v>2472008</v>
      </c>
      <c r="B161" t="s">
        <v>436</v>
      </c>
      <c r="C161" t="s">
        <v>29</v>
      </c>
      <c r="D161" t="s">
        <v>437</v>
      </c>
      <c r="E161" t="s">
        <v>437</v>
      </c>
      <c r="F161" s="1">
        <v>46119.553865740738</v>
      </c>
      <c r="G161" t="s">
        <v>56</v>
      </c>
      <c r="H161">
        <v>0</v>
      </c>
      <c r="I161">
        <v>349</v>
      </c>
      <c r="J161">
        <v>379</v>
      </c>
      <c r="K161">
        <v>728</v>
      </c>
      <c r="L161">
        <v>1130</v>
      </c>
      <c r="M161">
        <v>1354</v>
      </c>
      <c r="N161">
        <v>422</v>
      </c>
      <c r="O161">
        <v>4</v>
      </c>
      <c r="P161">
        <v>5</v>
      </c>
      <c r="Q161">
        <v>4</v>
      </c>
      <c r="R161" t="s">
        <v>438</v>
      </c>
      <c r="S161" t="s">
        <v>439</v>
      </c>
      <c r="T161" t="s">
        <v>440</v>
      </c>
      <c r="U161" t="s">
        <v>441</v>
      </c>
      <c r="V161" t="s">
        <v>442</v>
      </c>
      <c r="W161" t="s">
        <v>443</v>
      </c>
      <c r="X161" t="s">
        <v>38</v>
      </c>
      <c r="Y161" t="b">
        <v>0</v>
      </c>
      <c r="Z161" t="s">
        <v>39</v>
      </c>
      <c r="AA161" t="s">
        <v>444</v>
      </c>
      <c r="AB161" t="s">
        <v>41</v>
      </c>
      <c r="AC161">
        <f t="shared" si="2"/>
        <v>4</v>
      </c>
    </row>
    <row r="162" spans="1:29" x14ac:dyDescent="0.3">
      <c r="A162">
        <v>2472008</v>
      </c>
      <c r="B162" t="s">
        <v>1512</v>
      </c>
      <c r="C162" t="s">
        <v>29</v>
      </c>
      <c r="D162" t="s">
        <v>1513</v>
      </c>
      <c r="E162" t="s">
        <v>1513</v>
      </c>
      <c r="F162" s="1">
        <v>46091.40115740741</v>
      </c>
      <c r="G162" t="s">
        <v>31</v>
      </c>
      <c r="H162">
        <v>0</v>
      </c>
      <c r="I162">
        <v>159</v>
      </c>
      <c r="J162">
        <v>84</v>
      </c>
      <c r="K162">
        <v>243</v>
      </c>
      <c r="L162">
        <v>521</v>
      </c>
      <c r="M162">
        <v>302</v>
      </c>
      <c r="N162">
        <v>1661</v>
      </c>
      <c r="O162">
        <v>4</v>
      </c>
      <c r="P162">
        <v>5</v>
      </c>
      <c r="Q162">
        <v>4</v>
      </c>
      <c r="R162" t="s">
        <v>1514</v>
      </c>
      <c r="S162" t="s">
        <v>1515</v>
      </c>
      <c r="T162" t="s">
        <v>1516</v>
      </c>
      <c r="U162" t="s">
        <v>1517</v>
      </c>
      <c r="V162" t="s">
        <v>1518</v>
      </c>
      <c r="W162" t="s">
        <v>1519</v>
      </c>
      <c r="X162" t="s">
        <v>38</v>
      </c>
      <c r="Y162" t="b">
        <v>0</v>
      </c>
      <c r="Z162" t="s">
        <v>39</v>
      </c>
      <c r="AA162" t="s">
        <v>1520</v>
      </c>
      <c r="AB162" t="s">
        <v>41</v>
      </c>
      <c r="AC162">
        <f t="shared" si="2"/>
        <v>4</v>
      </c>
    </row>
    <row r="163" spans="1:29" x14ac:dyDescent="0.3">
      <c r="A163">
        <v>2472008</v>
      </c>
      <c r="B163" t="s">
        <v>1873</v>
      </c>
      <c r="C163" t="s">
        <v>29</v>
      </c>
      <c r="D163" t="s">
        <v>1874</v>
      </c>
      <c r="E163" t="s">
        <v>1874</v>
      </c>
      <c r="F163" s="1">
        <v>46126.417037037027</v>
      </c>
      <c r="G163" t="s">
        <v>45</v>
      </c>
      <c r="H163">
        <v>0</v>
      </c>
      <c r="I163">
        <v>449</v>
      </c>
      <c r="J163">
        <v>487</v>
      </c>
      <c r="K163">
        <v>936</v>
      </c>
      <c r="L163">
        <v>1177</v>
      </c>
      <c r="M163">
        <v>1448</v>
      </c>
      <c r="N163">
        <v>2094</v>
      </c>
      <c r="O163">
        <v>3</v>
      </c>
      <c r="P163">
        <v>4</v>
      </c>
      <c r="Q163">
        <v>3</v>
      </c>
      <c r="R163" t="s">
        <v>1875</v>
      </c>
      <c r="S163" t="s">
        <v>1876</v>
      </c>
      <c r="T163" t="s">
        <v>1877</v>
      </c>
      <c r="U163" t="s">
        <v>1878</v>
      </c>
      <c r="V163" t="s">
        <v>1879</v>
      </c>
      <c r="W163" t="s">
        <v>1880</v>
      </c>
      <c r="X163" t="s">
        <v>38</v>
      </c>
      <c r="Y163" t="b">
        <v>0</v>
      </c>
      <c r="Z163" t="s">
        <v>39</v>
      </c>
      <c r="AA163" t="s">
        <v>1881</v>
      </c>
      <c r="AB163" t="s">
        <v>41</v>
      </c>
      <c r="AC163">
        <f t="shared" si="2"/>
        <v>4</v>
      </c>
    </row>
    <row r="164" spans="1:29" x14ac:dyDescent="0.3">
      <c r="A164">
        <v>2472008</v>
      </c>
      <c r="B164" t="s">
        <v>1890</v>
      </c>
      <c r="C164" t="s">
        <v>29</v>
      </c>
      <c r="D164" t="s">
        <v>1891</v>
      </c>
      <c r="E164" t="s">
        <v>1891</v>
      </c>
      <c r="F164" s="1">
        <v>46119.56890046296</v>
      </c>
      <c r="G164" t="s">
        <v>56</v>
      </c>
      <c r="H164">
        <v>0</v>
      </c>
      <c r="I164">
        <v>404</v>
      </c>
      <c r="J164">
        <v>228</v>
      </c>
      <c r="K164">
        <v>632</v>
      </c>
      <c r="L164">
        <v>1324</v>
      </c>
      <c r="M164">
        <v>734</v>
      </c>
      <c r="N164">
        <v>2142</v>
      </c>
      <c r="O164">
        <v>4</v>
      </c>
      <c r="P164">
        <v>5</v>
      </c>
      <c r="Q164">
        <v>5</v>
      </c>
      <c r="R164" t="s">
        <v>32</v>
      </c>
      <c r="S164" t="s">
        <v>1892</v>
      </c>
      <c r="T164" t="s">
        <v>1893</v>
      </c>
      <c r="U164" t="s">
        <v>1704</v>
      </c>
      <c r="V164" t="s">
        <v>1894</v>
      </c>
      <c r="W164" t="s">
        <v>1895</v>
      </c>
      <c r="X164" t="s">
        <v>154</v>
      </c>
      <c r="Y164" t="b">
        <v>0</v>
      </c>
      <c r="Z164" t="s">
        <v>39</v>
      </c>
      <c r="AA164" t="s">
        <v>1896</v>
      </c>
      <c r="AB164" t="s">
        <v>41</v>
      </c>
      <c r="AC164">
        <f t="shared" si="2"/>
        <v>5</v>
      </c>
    </row>
    <row r="165" spans="1:29" x14ac:dyDescent="0.3">
      <c r="A165">
        <v>2472008</v>
      </c>
      <c r="B165" t="s">
        <v>1915</v>
      </c>
      <c r="C165" t="s">
        <v>29</v>
      </c>
      <c r="D165" t="s">
        <v>1916</v>
      </c>
      <c r="E165" t="s">
        <v>1917</v>
      </c>
      <c r="F165" s="1">
        <v>46077.634988425933</v>
      </c>
      <c r="G165" t="s">
        <v>67</v>
      </c>
      <c r="H165">
        <v>0</v>
      </c>
      <c r="I165">
        <v>550</v>
      </c>
      <c r="J165">
        <v>72</v>
      </c>
      <c r="K165">
        <v>622</v>
      </c>
      <c r="L165">
        <v>2304</v>
      </c>
      <c r="M165">
        <v>225</v>
      </c>
      <c r="N165">
        <v>2174</v>
      </c>
      <c r="O165">
        <v>4</v>
      </c>
      <c r="P165">
        <v>5</v>
      </c>
      <c r="Q165">
        <v>4</v>
      </c>
      <c r="R165" t="s">
        <v>1918</v>
      </c>
      <c r="S165" t="s">
        <v>1919</v>
      </c>
      <c r="T165" t="s">
        <v>1920</v>
      </c>
      <c r="U165" t="s">
        <v>1157</v>
      </c>
      <c r="V165" t="s">
        <v>1921</v>
      </c>
      <c r="W165" t="s">
        <v>1159</v>
      </c>
      <c r="X165" t="s">
        <v>38</v>
      </c>
      <c r="Y165" t="b">
        <v>0</v>
      </c>
      <c r="Z165" t="s">
        <v>39</v>
      </c>
      <c r="AA165" t="s">
        <v>1922</v>
      </c>
      <c r="AB165" t="s">
        <v>41</v>
      </c>
      <c r="AC165">
        <f t="shared" si="2"/>
        <v>4</v>
      </c>
    </row>
    <row r="166" spans="1:29" x14ac:dyDescent="0.3">
      <c r="A166">
        <v>2472008</v>
      </c>
      <c r="B166" t="s">
        <v>1977</v>
      </c>
      <c r="C166" t="s">
        <v>29</v>
      </c>
      <c r="D166" t="s">
        <v>1978</v>
      </c>
      <c r="E166" t="s">
        <v>1978</v>
      </c>
      <c r="F166" s="1">
        <v>46126.458668981482</v>
      </c>
      <c r="G166" t="s">
        <v>45</v>
      </c>
      <c r="H166">
        <v>0</v>
      </c>
      <c r="I166">
        <v>580</v>
      </c>
      <c r="J166">
        <v>934</v>
      </c>
      <c r="K166">
        <v>1514</v>
      </c>
      <c r="L166">
        <v>2318</v>
      </c>
      <c r="M166">
        <v>3318</v>
      </c>
      <c r="N166">
        <v>2294</v>
      </c>
      <c r="O166">
        <v>4</v>
      </c>
      <c r="P166">
        <v>5</v>
      </c>
      <c r="Q166">
        <v>5</v>
      </c>
      <c r="R166" t="s">
        <v>1979</v>
      </c>
      <c r="S166" t="s">
        <v>1980</v>
      </c>
      <c r="T166" t="s">
        <v>237</v>
      </c>
      <c r="U166" t="s">
        <v>1123</v>
      </c>
      <c r="V166" t="s">
        <v>1981</v>
      </c>
      <c r="W166" t="s">
        <v>1982</v>
      </c>
      <c r="X166" t="s">
        <v>154</v>
      </c>
      <c r="Y166" t="b">
        <v>0</v>
      </c>
      <c r="Z166" t="s">
        <v>39</v>
      </c>
      <c r="AA166" t="s">
        <v>1983</v>
      </c>
      <c r="AB166" t="s">
        <v>41</v>
      </c>
      <c r="AC166">
        <f t="shared" si="2"/>
        <v>5</v>
      </c>
    </row>
    <row r="167" spans="1:29" x14ac:dyDescent="0.3">
      <c r="A167">
        <v>2472008</v>
      </c>
      <c r="B167" t="s">
        <v>2039</v>
      </c>
      <c r="C167" t="s">
        <v>29</v>
      </c>
      <c r="D167" t="s">
        <v>2040</v>
      </c>
      <c r="E167" t="s">
        <v>2040</v>
      </c>
      <c r="F167" s="1">
        <v>46112.496365740742</v>
      </c>
      <c r="G167" t="s">
        <v>304</v>
      </c>
      <c r="H167">
        <v>0</v>
      </c>
      <c r="I167">
        <v>455</v>
      </c>
      <c r="J167">
        <v>489</v>
      </c>
      <c r="K167">
        <v>944</v>
      </c>
      <c r="L167">
        <v>1277</v>
      </c>
      <c r="M167">
        <v>1687</v>
      </c>
      <c r="N167">
        <v>2352</v>
      </c>
      <c r="O167">
        <v>4</v>
      </c>
      <c r="P167">
        <v>5</v>
      </c>
      <c r="Q167">
        <v>5</v>
      </c>
      <c r="R167" t="s">
        <v>2041</v>
      </c>
      <c r="S167" t="s">
        <v>2042</v>
      </c>
      <c r="T167" t="s">
        <v>2043</v>
      </c>
      <c r="U167" t="s">
        <v>254</v>
      </c>
      <c r="V167" t="s">
        <v>2044</v>
      </c>
      <c r="W167" t="s">
        <v>2045</v>
      </c>
      <c r="X167" t="s">
        <v>154</v>
      </c>
      <c r="Y167" t="b">
        <v>0</v>
      </c>
      <c r="Z167" t="s">
        <v>39</v>
      </c>
      <c r="AA167" t="s">
        <v>2046</v>
      </c>
      <c r="AB167" t="s">
        <v>41</v>
      </c>
      <c r="AC167">
        <f t="shared" si="2"/>
        <v>5</v>
      </c>
    </row>
    <row r="168" spans="1:29" x14ac:dyDescent="0.3">
      <c r="A168">
        <v>2472008</v>
      </c>
      <c r="B168" t="s">
        <v>2712</v>
      </c>
      <c r="C168" t="s">
        <v>29</v>
      </c>
      <c r="D168" t="s">
        <v>2713</v>
      </c>
      <c r="E168" t="s">
        <v>2713</v>
      </c>
      <c r="F168" s="1">
        <v>46091.534201388888</v>
      </c>
      <c r="G168" t="s">
        <v>31</v>
      </c>
      <c r="H168">
        <v>0</v>
      </c>
      <c r="I168">
        <v>352</v>
      </c>
      <c r="J168">
        <v>610</v>
      </c>
      <c r="K168">
        <v>962</v>
      </c>
      <c r="L168">
        <v>1109</v>
      </c>
      <c r="M168">
        <v>2041</v>
      </c>
      <c r="N168">
        <v>3070</v>
      </c>
      <c r="O168">
        <v>4</v>
      </c>
      <c r="P168">
        <v>5</v>
      </c>
      <c r="Q168">
        <v>4</v>
      </c>
      <c r="R168" t="s">
        <v>2714</v>
      </c>
      <c r="S168" t="s">
        <v>2715</v>
      </c>
      <c r="T168" t="s">
        <v>2716</v>
      </c>
      <c r="U168" t="s">
        <v>441</v>
      </c>
      <c r="V168" t="s">
        <v>2717</v>
      </c>
      <c r="W168" t="s">
        <v>1402</v>
      </c>
      <c r="X168" t="s">
        <v>38</v>
      </c>
      <c r="Y168" t="b">
        <v>0</v>
      </c>
      <c r="Z168" t="s">
        <v>39</v>
      </c>
      <c r="AA168" t="s">
        <v>2718</v>
      </c>
      <c r="AB168" t="s">
        <v>41</v>
      </c>
      <c r="AC168">
        <f t="shared" si="2"/>
        <v>4</v>
      </c>
    </row>
    <row r="169" spans="1:29" x14ac:dyDescent="0.3">
      <c r="A169">
        <v>2472008</v>
      </c>
      <c r="B169" t="s">
        <v>2778</v>
      </c>
      <c r="C169" t="s">
        <v>29</v>
      </c>
      <c r="D169" t="s">
        <v>2779</v>
      </c>
      <c r="E169" t="s">
        <v>2779</v>
      </c>
      <c r="F169" s="1">
        <v>46098.558275462958</v>
      </c>
      <c r="G169" t="s">
        <v>138</v>
      </c>
      <c r="H169">
        <v>0</v>
      </c>
      <c r="I169">
        <v>325</v>
      </c>
      <c r="J169">
        <v>487</v>
      </c>
      <c r="K169">
        <v>812</v>
      </c>
      <c r="L169">
        <v>1243</v>
      </c>
      <c r="M169">
        <v>1739</v>
      </c>
      <c r="N169">
        <v>3138</v>
      </c>
      <c r="O169">
        <v>4</v>
      </c>
      <c r="P169">
        <v>5</v>
      </c>
      <c r="Q169">
        <v>5</v>
      </c>
      <c r="R169" t="s">
        <v>2780</v>
      </c>
      <c r="S169" t="s">
        <v>140</v>
      </c>
      <c r="T169" t="s">
        <v>2781</v>
      </c>
      <c r="U169" t="s">
        <v>2782</v>
      </c>
      <c r="V169" t="s">
        <v>2783</v>
      </c>
      <c r="W169" t="s">
        <v>2784</v>
      </c>
      <c r="X169" t="s">
        <v>154</v>
      </c>
      <c r="Y169" t="b">
        <v>0</v>
      </c>
      <c r="Z169" t="s">
        <v>39</v>
      </c>
      <c r="AA169" t="s">
        <v>2785</v>
      </c>
      <c r="AB169" t="s">
        <v>41</v>
      </c>
      <c r="AC169">
        <f t="shared" si="2"/>
        <v>5</v>
      </c>
    </row>
    <row r="170" spans="1:29" x14ac:dyDescent="0.3">
      <c r="A170">
        <v>2472008</v>
      </c>
      <c r="B170" t="s">
        <v>2815</v>
      </c>
      <c r="C170" t="s">
        <v>29</v>
      </c>
      <c r="D170" t="s">
        <v>2816</v>
      </c>
      <c r="E170" t="s">
        <v>2816</v>
      </c>
      <c r="F170" s="1">
        <v>46084.514421296299</v>
      </c>
      <c r="G170" t="s">
        <v>177</v>
      </c>
      <c r="H170">
        <v>0</v>
      </c>
      <c r="I170">
        <v>226</v>
      </c>
      <c r="J170">
        <v>130</v>
      </c>
      <c r="K170">
        <v>356</v>
      </c>
      <c r="L170">
        <v>785</v>
      </c>
      <c r="M170">
        <v>583</v>
      </c>
      <c r="N170">
        <v>3211</v>
      </c>
      <c r="O170">
        <v>4</v>
      </c>
      <c r="P170">
        <v>5</v>
      </c>
      <c r="Q170">
        <v>4</v>
      </c>
      <c r="R170" t="s">
        <v>333</v>
      </c>
      <c r="S170" t="s">
        <v>2817</v>
      </c>
      <c r="T170" t="s">
        <v>2818</v>
      </c>
      <c r="U170" t="s">
        <v>125</v>
      </c>
      <c r="V170" t="s">
        <v>2819</v>
      </c>
      <c r="W170" t="s">
        <v>143</v>
      </c>
      <c r="X170" t="s">
        <v>38</v>
      </c>
      <c r="Y170" t="b">
        <v>0</v>
      </c>
      <c r="Z170" t="s">
        <v>39</v>
      </c>
      <c r="AA170" t="s">
        <v>2820</v>
      </c>
      <c r="AB170" t="s">
        <v>41</v>
      </c>
      <c r="AC170">
        <f t="shared" si="2"/>
        <v>4</v>
      </c>
    </row>
    <row r="171" spans="1:29" x14ac:dyDescent="0.3">
      <c r="A171">
        <v>2472009</v>
      </c>
      <c r="B171" t="s">
        <v>635</v>
      </c>
      <c r="C171" t="s">
        <v>29</v>
      </c>
      <c r="D171" t="s">
        <v>636</v>
      </c>
      <c r="E171" t="s">
        <v>637</v>
      </c>
      <c r="F171" s="1">
        <v>46092.654502314806</v>
      </c>
      <c r="G171" t="s">
        <v>31</v>
      </c>
      <c r="H171">
        <v>0</v>
      </c>
      <c r="I171">
        <v>68</v>
      </c>
      <c r="J171">
        <v>12</v>
      </c>
      <c r="K171">
        <v>80</v>
      </c>
      <c r="L171">
        <v>236</v>
      </c>
      <c r="M171">
        <v>41</v>
      </c>
      <c r="N171">
        <v>612</v>
      </c>
      <c r="O171">
        <v>4</v>
      </c>
      <c r="P171">
        <v>5</v>
      </c>
      <c r="Q171">
        <v>4</v>
      </c>
      <c r="R171" t="s">
        <v>638</v>
      </c>
      <c r="S171" t="s">
        <v>639</v>
      </c>
      <c r="T171" t="s">
        <v>640</v>
      </c>
      <c r="U171" t="s">
        <v>641</v>
      </c>
      <c r="V171" t="s">
        <v>642</v>
      </c>
      <c r="W171" t="s">
        <v>643</v>
      </c>
      <c r="X171" t="s">
        <v>38</v>
      </c>
      <c r="Y171" t="b">
        <v>0</v>
      </c>
      <c r="Z171" t="s">
        <v>39</v>
      </c>
      <c r="AA171" t="s">
        <v>644</v>
      </c>
      <c r="AB171" t="s">
        <v>41</v>
      </c>
      <c r="AC171">
        <f t="shared" si="2"/>
        <v>4</v>
      </c>
    </row>
    <row r="172" spans="1:29" x14ac:dyDescent="0.3">
      <c r="A172">
        <v>2472009</v>
      </c>
      <c r="B172" t="s">
        <v>2276</v>
      </c>
      <c r="C172" t="s">
        <v>29</v>
      </c>
      <c r="D172" t="s">
        <v>2277</v>
      </c>
      <c r="E172" t="s">
        <v>2278</v>
      </c>
      <c r="F172" s="1">
        <v>46078.697476851848</v>
      </c>
      <c r="G172" t="s">
        <v>67</v>
      </c>
      <c r="H172">
        <v>0</v>
      </c>
      <c r="I172">
        <v>96</v>
      </c>
      <c r="J172">
        <v>476</v>
      </c>
      <c r="K172">
        <v>572</v>
      </c>
      <c r="L172">
        <v>338</v>
      </c>
      <c r="M172">
        <v>1744</v>
      </c>
      <c r="N172">
        <v>2593</v>
      </c>
      <c r="O172">
        <v>4</v>
      </c>
      <c r="P172">
        <v>5</v>
      </c>
      <c r="Q172">
        <v>5</v>
      </c>
      <c r="R172" t="s">
        <v>2279</v>
      </c>
      <c r="S172" t="s">
        <v>2280</v>
      </c>
      <c r="T172" t="s">
        <v>2281</v>
      </c>
      <c r="U172" t="s">
        <v>2282</v>
      </c>
      <c r="V172" t="s">
        <v>2283</v>
      </c>
      <c r="W172" t="s">
        <v>391</v>
      </c>
      <c r="X172" t="s">
        <v>154</v>
      </c>
      <c r="Y172" t="b">
        <v>0</v>
      </c>
      <c r="Z172" t="s">
        <v>39</v>
      </c>
      <c r="AA172" t="s">
        <v>2284</v>
      </c>
      <c r="AB172" t="s">
        <v>41</v>
      </c>
      <c r="AC172">
        <f t="shared" si="2"/>
        <v>5</v>
      </c>
    </row>
    <row r="173" spans="1:29" x14ac:dyDescent="0.3">
      <c r="A173">
        <v>2472009</v>
      </c>
      <c r="B173" t="s">
        <v>2618</v>
      </c>
      <c r="C173" t="s">
        <v>29</v>
      </c>
      <c r="D173" t="s">
        <v>2585</v>
      </c>
      <c r="E173" t="s">
        <v>2586</v>
      </c>
      <c r="F173" s="1">
        <v>46092.635740740741</v>
      </c>
      <c r="G173" t="s">
        <v>31</v>
      </c>
      <c r="H173">
        <v>0</v>
      </c>
      <c r="I173">
        <v>72</v>
      </c>
      <c r="J173">
        <v>15</v>
      </c>
      <c r="K173">
        <v>87</v>
      </c>
      <c r="L173">
        <v>284</v>
      </c>
      <c r="M173">
        <v>57</v>
      </c>
      <c r="N173">
        <v>2928</v>
      </c>
      <c r="O173">
        <v>4</v>
      </c>
      <c r="P173">
        <v>5</v>
      </c>
      <c r="Q173">
        <v>4</v>
      </c>
      <c r="R173" t="s">
        <v>1130</v>
      </c>
      <c r="S173" t="s">
        <v>1498</v>
      </c>
      <c r="T173" t="s">
        <v>2619</v>
      </c>
      <c r="U173" t="s">
        <v>2620</v>
      </c>
      <c r="V173" t="s">
        <v>2621</v>
      </c>
      <c r="W173" t="s">
        <v>2622</v>
      </c>
      <c r="X173" t="s">
        <v>38</v>
      </c>
      <c r="Y173" t="b">
        <v>0</v>
      </c>
      <c r="Z173" t="s">
        <v>39</v>
      </c>
      <c r="AA173" t="s">
        <v>2623</v>
      </c>
      <c r="AB173" t="s">
        <v>41</v>
      </c>
      <c r="AC173">
        <f t="shared" si="2"/>
        <v>4</v>
      </c>
    </row>
    <row r="174" spans="1:29" x14ac:dyDescent="0.3">
      <c r="A174">
        <v>2472009</v>
      </c>
      <c r="B174" t="s">
        <v>3138</v>
      </c>
      <c r="C174" t="s">
        <v>29</v>
      </c>
      <c r="D174" t="s">
        <v>3139</v>
      </c>
      <c r="E174" t="s">
        <v>3140</v>
      </c>
      <c r="F174" s="1">
        <v>46113.618136574078</v>
      </c>
      <c r="G174" t="s">
        <v>304</v>
      </c>
      <c r="H174">
        <v>0</v>
      </c>
      <c r="I174">
        <v>39</v>
      </c>
      <c r="J174">
        <v>23</v>
      </c>
      <c r="K174">
        <v>62</v>
      </c>
      <c r="L174">
        <v>119</v>
      </c>
      <c r="M174">
        <v>82</v>
      </c>
      <c r="N174">
        <v>3577</v>
      </c>
      <c r="O174">
        <v>4</v>
      </c>
      <c r="P174">
        <v>5</v>
      </c>
      <c r="Q174">
        <v>4</v>
      </c>
      <c r="R174" t="s">
        <v>3141</v>
      </c>
      <c r="S174" t="s">
        <v>3142</v>
      </c>
      <c r="T174" t="s">
        <v>3143</v>
      </c>
      <c r="U174" t="s">
        <v>181</v>
      </c>
      <c r="V174" t="s">
        <v>3144</v>
      </c>
      <c r="W174" t="s">
        <v>825</v>
      </c>
      <c r="X174" t="s">
        <v>38</v>
      </c>
      <c r="Y174" t="b">
        <v>0</v>
      </c>
      <c r="Z174" t="s">
        <v>39</v>
      </c>
      <c r="AA174" t="s">
        <v>3145</v>
      </c>
      <c r="AB174" t="s">
        <v>41</v>
      </c>
      <c r="AC174">
        <f t="shared" si="2"/>
        <v>4</v>
      </c>
    </row>
    <row r="175" spans="1:29" x14ac:dyDescent="0.3">
      <c r="A175">
        <v>2472009</v>
      </c>
      <c r="B175" t="s">
        <v>3377</v>
      </c>
      <c r="C175" t="s">
        <v>29</v>
      </c>
      <c r="D175" t="s">
        <v>1233</v>
      </c>
      <c r="E175" t="s">
        <v>1234</v>
      </c>
      <c r="F175" s="1">
        <v>46092.649189814823</v>
      </c>
      <c r="G175" t="s">
        <v>31</v>
      </c>
      <c r="H175">
        <v>0</v>
      </c>
      <c r="I175">
        <v>66</v>
      </c>
      <c r="J175">
        <v>13</v>
      </c>
      <c r="K175">
        <v>79</v>
      </c>
      <c r="L175">
        <v>212</v>
      </c>
      <c r="M175">
        <v>31</v>
      </c>
      <c r="N175">
        <v>3894</v>
      </c>
      <c r="O175">
        <v>4</v>
      </c>
      <c r="P175">
        <v>3</v>
      </c>
      <c r="Q175">
        <v>3</v>
      </c>
      <c r="R175" t="s">
        <v>3275</v>
      </c>
      <c r="S175" t="s">
        <v>3378</v>
      </c>
      <c r="T175" t="s">
        <v>3379</v>
      </c>
      <c r="U175" t="s">
        <v>3380</v>
      </c>
      <c r="V175" t="s">
        <v>3381</v>
      </c>
      <c r="W175" t="s">
        <v>3382</v>
      </c>
      <c r="X175" t="s">
        <v>84</v>
      </c>
      <c r="Y175" t="b">
        <v>0</v>
      </c>
      <c r="Z175" t="s">
        <v>39</v>
      </c>
      <c r="AA175" t="s">
        <v>3383</v>
      </c>
      <c r="AB175" t="s">
        <v>41</v>
      </c>
      <c r="AC175">
        <f t="shared" si="2"/>
        <v>3</v>
      </c>
    </row>
    <row r="176" spans="1:29" x14ac:dyDescent="0.3">
      <c r="A176">
        <v>2472009</v>
      </c>
      <c r="B176" t="s">
        <v>3549</v>
      </c>
      <c r="C176" t="s">
        <v>29</v>
      </c>
      <c r="D176" t="s">
        <v>3550</v>
      </c>
      <c r="E176" t="s">
        <v>3551</v>
      </c>
      <c r="F176" s="1">
        <v>46078.686273148152</v>
      </c>
      <c r="G176" t="s">
        <v>67</v>
      </c>
      <c r="H176">
        <v>0</v>
      </c>
      <c r="I176">
        <v>64</v>
      </c>
      <c r="J176">
        <v>205</v>
      </c>
      <c r="K176">
        <v>269</v>
      </c>
      <c r="L176">
        <v>157</v>
      </c>
      <c r="M176">
        <v>789</v>
      </c>
      <c r="N176">
        <v>4055</v>
      </c>
      <c r="O176">
        <v>3</v>
      </c>
      <c r="P176">
        <v>5</v>
      </c>
      <c r="Q176">
        <v>4</v>
      </c>
      <c r="R176" t="s">
        <v>3552</v>
      </c>
      <c r="S176" t="s">
        <v>3047</v>
      </c>
      <c r="T176" t="s">
        <v>2634</v>
      </c>
      <c r="U176" t="s">
        <v>208</v>
      </c>
      <c r="V176" t="s">
        <v>3553</v>
      </c>
      <c r="W176" t="s">
        <v>3554</v>
      </c>
      <c r="X176" t="s">
        <v>38</v>
      </c>
      <c r="Y176" t="b">
        <v>0</v>
      </c>
      <c r="Z176" t="s">
        <v>39</v>
      </c>
      <c r="AA176" t="s">
        <v>3555</v>
      </c>
      <c r="AB176" t="s">
        <v>41</v>
      </c>
      <c r="AC176">
        <f t="shared" si="2"/>
        <v>4</v>
      </c>
    </row>
    <row r="177" spans="1:29" x14ac:dyDescent="0.3">
      <c r="A177">
        <v>2472010</v>
      </c>
      <c r="B177" t="s">
        <v>645</v>
      </c>
      <c r="C177" t="s">
        <v>29</v>
      </c>
      <c r="D177" t="s">
        <v>646</v>
      </c>
      <c r="E177" t="s">
        <v>646</v>
      </c>
      <c r="F177" s="1">
        <v>46077.506226851852</v>
      </c>
      <c r="G177" t="s">
        <v>67</v>
      </c>
      <c r="H177">
        <v>0</v>
      </c>
      <c r="I177">
        <v>70</v>
      </c>
      <c r="J177">
        <v>319</v>
      </c>
      <c r="K177">
        <v>389</v>
      </c>
      <c r="L177">
        <v>314</v>
      </c>
      <c r="M177">
        <v>1040</v>
      </c>
      <c r="N177">
        <v>635</v>
      </c>
      <c r="O177">
        <v>4</v>
      </c>
      <c r="P177">
        <v>5</v>
      </c>
      <c r="Q177">
        <v>4</v>
      </c>
      <c r="R177" t="s">
        <v>139</v>
      </c>
      <c r="S177" t="s">
        <v>387</v>
      </c>
      <c r="T177" t="s">
        <v>647</v>
      </c>
      <c r="U177" t="s">
        <v>170</v>
      </c>
      <c r="V177" t="s">
        <v>648</v>
      </c>
      <c r="W177" t="s">
        <v>649</v>
      </c>
      <c r="X177" t="s">
        <v>38</v>
      </c>
      <c r="Y177" t="b">
        <v>0</v>
      </c>
      <c r="Z177" t="s">
        <v>39</v>
      </c>
      <c r="AA177" t="s">
        <v>650</v>
      </c>
      <c r="AB177" t="s">
        <v>41</v>
      </c>
      <c r="AC177">
        <f t="shared" si="2"/>
        <v>4</v>
      </c>
    </row>
    <row r="178" spans="1:29" x14ac:dyDescent="0.3">
      <c r="A178">
        <v>2472010</v>
      </c>
      <c r="B178" t="s">
        <v>675</v>
      </c>
      <c r="C178" t="s">
        <v>29</v>
      </c>
      <c r="D178" t="s">
        <v>676</v>
      </c>
      <c r="E178" t="s">
        <v>676</v>
      </c>
      <c r="F178" s="1">
        <v>46091.473194444443</v>
      </c>
      <c r="G178" t="s">
        <v>31</v>
      </c>
      <c r="H178">
        <v>0</v>
      </c>
      <c r="I178">
        <v>32</v>
      </c>
      <c r="J178">
        <v>107</v>
      </c>
      <c r="K178">
        <v>139</v>
      </c>
      <c r="L178">
        <v>149</v>
      </c>
      <c r="M178">
        <v>407</v>
      </c>
      <c r="N178">
        <v>677</v>
      </c>
      <c r="O178">
        <v>4</v>
      </c>
      <c r="P178">
        <v>5</v>
      </c>
      <c r="Q178">
        <v>4</v>
      </c>
      <c r="R178" t="s">
        <v>402</v>
      </c>
      <c r="S178" t="s">
        <v>677</v>
      </c>
      <c r="T178" t="s">
        <v>621</v>
      </c>
      <c r="U178" t="s">
        <v>125</v>
      </c>
      <c r="V178" t="s">
        <v>678</v>
      </c>
      <c r="W178" t="s">
        <v>143</v>
      </c>
      <c r="X178" t="s">
        <v>154</v>
      </c>
      <c r="Y178" t="b">
        <v>0</v>
      </c>
      <c r="Z178" t="s">
        <v>39</v>
      </c>
      <c r="AA178" t="s">
        <v>679</v>
      </c>
      <c r="AB178" t="s">
        <v>41</v>
      </c>
      <c r="AC178">
        <f t="shared" si="2"/>
        <v>5</v>
      </c>
    </row>
    <row r="179" spans="1:29" x14ac:dyDescent="0.3">
      <c r="A179">
        <v>2472010</v>
      </c>
      <c r="B179" t="s">
        <v>777</v>
      </c>
      <c r="C179" t="s">
        <v>29</v>
      </c>
      <c r="D179" t="s">
        <v>778</v>
      </c>
      <c r="E179" t="s">
        <v>778</v>
      </c>
      <c r="F179" s="1">
        <v>46091.529791666668</v>
      </c>
      <c r="G179" t="s">
        <v>31</v>
      </c>
      <c r="H179">
        <v>0</v>
      </c>
      <c r="I179">
        <v>72</v>
      </c>
      <c r="J179">
        <v>224</v>
      </c>
      <c r="K179">
        <v>296</v>
      </c>
      <c r="L179">
        <v>276</v>
      </c>
      <c r="M179">
        <v>840</v>
      </c>
      <c r="N179">
        <v>796</v>
      </c>
      <c r="O179">
        <v>4</v>
      </c>
      <c r="P179">
        <v>5</v>
      </c>
      <c r="Q179">
        <v>5</v>
      </c>
      <c r="R179" t="s">
        <v>779</v>
      </c>
      <c r="S179" t="s">
        <v>780</v>
      </c>
      <c r="T179" t="s">
        <v>781</v>
      </c>
      <c r="U179" t="s">
        <v>782</v>
      </c>
      <c r="V179" t="s">
        <v>783</v>
      </c>
      <c r="W179" t="s">
        <v>784</v>
      </c>
      <c r="X179" t="s">
        <v>154</v>
      </c>
      <c r="Y179" t="b">
        <v>0</v>
      </c>
      <c r="Z179" t="s">
        <v>39</v>
      </c>
      <c r="AA179" t="s">
        <v>785</v>
      </c>
      <c r="AB179" t="s">
        <v>41</v>
      </c>
      <c r="AC179">
        <f t="shared" si="2"/>
        <v>5</v>
      </c>
    </row>
    <row r="180" spans="1:29" x14ac:dyDescent="0.3">
      <c r="A180">
        <v>2472010</v>
      </c>
      <c r="B180" t="s">
        <v>1046</v>
      </c>
      <c r="C180" t="s">
        <v>29</v>
      </c>
      <c r="D180" t="s">
        <v>1047</v>
      </c>
      <c r="E180" t="s">
        <v>1047</v>
      </c>
      <c r="F180" s="1">
        <v>46126.417268518519</v>
      </c>
      <c r="G180" t="s">
        <v>45</v>
      </c>
      <c r="H180">
        <v>0</v>
      </c>
      <c r="I180">
        <v>40</v>
      </c>
      <c r="J180">
        <v>94</v>
      </c>
      <c r="K180">
        <v>134</v>
      </c>
      <c r="L180">
        <v>131</v>
      </c>
      <c r="M180">
        <v>356</v>
      </c>
      <c r="N180">
        <v>1041</v>
      </c>
      <c r="O180">
        <v>4</v>
      </c>
      <c r="P180">
        <v>5</v>
      </c>
      <c r="Q180">
        <v>5</v>
      </c>
      <c r="R180" t="s">
        <v>305</v>
      </c>
      <c r="S180" t="s">
        <v>268</v>
      </c>
      <c r="T180" t="s">
        <v>1048</v>
      </c>
      <c r="U180" t="s">
        <v>170</v>
      </c>
      <c r="V180" t="s">
        <v>1049</v>
      </c>
      <c r="W180" t="s">
        <v>143</v>
      </c>
      <c r="X180" t="s">
        <v>154</v>
      </c>
      <c r="Y180" t="b">
        <v>0</v>
      </c>
      <c r="Z180" t="s">
        <v>39</v>
      </c>
      <c r="AA180" t="s">
        <v>1050</v>
      </c>
      <c r="AB180" t="s">
        <v>41</v>
      </c>
      <c r="AC180">
        <f t="shared" si="2"/>
        <v>5</v>
      </c>
    </row>
    <row r="181" spans="1:29" x14ac:dyDescent="0.3">
      <c r="A181">
        <v>2472010</v>
      </c>
      <c r="B181" t="s">
        <v>1356</v>
      </c>
      <c r="C181" t="s">
        <v>29</v>
      </c>
      <c r="D181" t="s">
        <v>1357</v>
      </c>
      <c r="E181" t="s">
        <v>1357</v>
      </c>
      <c r="F181" s="1">
        <v>46091.492858796293</v>
      </c>
      <c r="G181" t="s">
        <v>31</v>
      </c>
      <c r="H181">
        <v>0</v>
      </c>
      <c r="I181">
        <v>51</v>
      </c>
      <c r="J181">
        <v>917</v>
      </c>
      <c r="K181">
        <v>968</v>
      </c>
      <c r="L181">
        <v>182</v>
      </c>
      <c r="M181">
        <v>3169</v>
      </c>
      <c r="N181">
        <v>1491</v>
      </c>
      <c r="O181">
        <v>4</v>
      </c>
      <c r="P181">
        <v>5</v>
      </c>
      <c r="Q181">
        <v>5</v>
      </c>
      <c r="R181" t="s">
        <v>1358</v>
      </c>
      <c r="S181" t="s">
        <v>252</v>
      </c>
      <c r="T181" t="s">
        <v>1359</v>
      </c>
      <c r="U181" t="s">
        <v>523</v>
      </c>
      <c r="V181" t="s">
        <v>1360</v>
      </c>
      <c r="W181" t="s">
        <v>1361</v>
      </c>
      <c r="X181" t="s">
        <v>154</v>
      </c>
      <c r="Y181" t="b">
        <v>0</v>
      </c>
      <c r="Z181" t="s">
        <v>39</v>
      </c>
      <c r="AA181" t="s">
        <v>1362</v>
      </c>
      <c r="AB181" t="s">
        <v>41</v>
      </c>
      <c r="AC181">
        <f t="shared" si="2"/>
        <v>5</v>
      </c>
    </row>
    <row r="182" spans="1:29" x14ac:dyDescent="0.3">
      <c r="A182">
        <v>2472010</v>
      </c>
      <c r="B182" t="s">
        <v>1389</v>
      </c>
      <c r="C182" t="s">
        <v>29</v>
      </c>
      <c r="D182" t="s">
        <v>1390</v>
      </c>
      <c r="E182" t="s">
        <v>1390</v>
      </c>
      <c r="F182" s="1">
        <v>46077.533194444448</v>
      </c>
      <c r="G182" t="s">
        <v>67</v>
      </c>
      <c r="H182">
        <v>0</v>
      </c>
      <c r="I182">
        <v>40</v>
      </c>
      <c r="J182">
        <v>596</v>
      </c>
      <c r="K182">
        <v>636</v>
      </c>
      <c r="L182">
        <v>175</v>
      </c>
      <c r="M182">
        <v>2254</v>
      </c>
      <c r="N182">
        <v>1516</v>
      </c>
      <c r="O182">
        <v>4</v>
      </c>
      <c r="P182">
        <v>5</v>
      </c>
      <c r="Q182">
        <v>4</v>
      </c>
      <c r="R182" t="s">
        <v>1391</v>
      </c>
      <c r="S182" t="s">
        <v>1392</v>
      </c>
      <c r="T182" t="s">
        <v>1393</v>
      </c>
      <c r="U182" t="s">
        <v>1394</v>
      </c>
      <c r="V182" t="s">
        <v>1395</v>
      </c>
      <c r="W182" t="s">
        <v>443</v>
      </c>
      <c r="X182" t="s">
        <v>38</v>
      </c>
      <c r="Y182" t="b">
        <v>0</v>
      </c>
      <c r="Z182" t="s">
        <v>39</v>
      </c>
      <c r="AA182" t="s">
        <v>1396</v>
      </c>
      <c r="AB182" t="s">
        <v>41</v>
      </c>
      <c r="AC182">
        <f t="shared" si="2"/>
        <v>4</v>
      </c>
    </row>
    <row r="183" spans="1:29" x14ac:dyDescent="0.3">
      <c r="A183">
        <v>2472010</v>
      </c>
      <c r="B183" t="s">
        <v>1627</v>
      </c>
      <c r="C183" t="s">
        <v>29</v>
      </c>
      <c r="D183" t="s">
        <v>1628</v>
      </c>
      <c r="E183" t="s">
        <v>1628</v>
      </c>
      <c r="F183" s="1">
        <v>46084.502152777779</v>
      </c>
      <c r="G183" t="s">
        <v>177</v>
      </c>
      <c r="H183">
        <v>0</v>
      </c>
      <c r="I183">
        <v>36</v>
      </c>
      <c r="J183">
        <v>308</v>
      </c>
      <c r="K183">
        <v>344</v>
      </c>
      <c r="L183">
        <v>161</v>
      </c>
      <c r="M183">
        <v>1005</v>
      </c>
      <c r="N183">
        <v>1792</v>
      </c>
      <c r="O183">
        <v>4</v>
      </c>
      <c r="P183">
        <v>5</v>
      </c>
      <c r="Q183">
        <v>5</v>
      </c>
      <c r="R183" t="s">
        <v>139</v>
      </c>
      <c r="S183" t="s">
        <v>1629</v>
      </c>
      <c r="T183" t="s">
        <v>1630</v>
      </c>
      <c r="U183" t="s">
        <v>125</v>
      </c>
      <c r="V183" t="s">
        <v>1631</v>
      </c>
      <c r="W183" t="s">
        <v>239</v>
      </c>
      <c r="X183" t="s">
        <v>154</v>
      </c>
      <c r="Y183" t="b">
        <v>0</v>
      </c>
      <c r="Z183" t="s">
        <v>39</v>
      </c>
      <c r="AA183" t="s">
        <v>1632</v>
      </c>
      <c r="AB183" t="s">
        <v>41</v>
      </c>
      <c r="AC183">
        <f t="shared" si="2"/>
        <v>5</v>
      </c>
    </row>
    <row r="184" spans="1:29" x14ac:dyDescent="0.3">
      <c r="A184">
        <v>2472010</v>
      </c>
      <c r="B184" t="s">
        <v>2734</v>
      </c>
      <c r="C184" t="s">
        <v>29</v>
      </c>
      <c r="D184" t="s">
        <v>2735</v>
      </c>
      <c r="E184" t="s">
        <v>2735</v>
      </c>
      <c r="F184" s="1">
        <v>46091.510347222233</v>
      </c>
      <c r="G184" t="s">
        <v>31</v>
      </c>
      <c r="H184">
        <v>0</v>
      </c>
      <c r="I184">
        <v>43</v>
      </c>
      <c r="J184">
        <v>111</v>
      </c>
      <c r="K184">
        <v>154</v>
      </c>
      <c r="L184">
        <v>159</v>
      </c>
      <c r="M184">
        <v>382</v>
      </c>
      <c r="N184">
        <v>3086</v>
      </c>
      <c r="O184">
        <v>4</v>
      </c>
      <c r="P184">
        <v>5</v>
      </c>
      <c r="Q184">
        <v>5</v>
      </c>
      <c r="R184" t="s">
        <v>2736</v>
      </c>
      <c r="S184" t="s">
        <v>2737</v>
      </c>
      <c r="T184" t="s">
        <v>2738</v>
      </c>
      <c r="U184" t="s">
        <v>270</v>
      </c>
      <c r="V184" t="s">
        <v>2739</v>
      </c>
      <c r="W184" t="s">
        <v>2740</v>
      </c>
      <c r="X184" t="s">
        <v>154</v>
      </c>
      <c r="Y184" t="b">
        <v>0</v>
      </c>
      <c r="Z184" t="s">
        <v>39</v>
      </c>
      <c r="AA184" t="s">
        <v>2741</v>
      </c>
      <c r="AB184" t="s">
        <v>41</v>
      </c>
      <c r="AC184">
        <f t="shared" si="2"/>
        <v>5</v>
      </c>
    </row>
    <row r="185" spans="1:29" x14ac:dyDescent="0.3">
      <c r="A185">
        <v>2472010</v>
      </c>
      <c r="B185" t="s">
        <v>3542</v>
      </c>
      <c r="C185" t="s">
        <v>29</v>
      </c>
      <c r="D185" t="s">
        <v>3543</v>
      </c>
      <c r="E185" t="s">
        <v>3543</v>
      </c>
      <c r="F185" s="1">
        <v>46091.448564814818</v>
      </c>
      <c r="G185" t="s">
        <v>31</v>
      </c>
      <c r="H185">
        <v>0</v>
      </c>
      <c r="I185">
        <v>51</v>
      </c>
      <c r="J185">
        <v>114</v>
      </c>
      <c r="K185">
        <v>165</v>
      </c>
      <c r="L185">
        <v>161</v>
      </c>
      <c r="M185">
        <v>320</v>
      </c>
      <c r="N185">
        <v>4054</v>
      </c>
      <c r="O185">
        <v>4</v>
      </c>
      <c r="P185">
        <v>5</v>
      </c>
      <c r="Q185">
        <v>4</v>
      </c>
      <c r="R185" t="s">
        <v>139</v>
      </c>
      <c r="S185" t="s">
        <v>3378</v>
      </c>
      <c r="T185" t="s">
        <v>3544</v>
      </c>
      <c r="U185" t="s">
        <v>3545</v>
      </c>
      <c r="V185" t="s">
        <v>3546</v>
      </c>
      <c r="W185" t="s">
        <v>3547</v>
      </c>
      <c r="X185" t="s">
        <v>38</v>
      </c>
      <c r="Y185" t="b">
        <v>0</v>
      </c>
      <c r="Z185" t="s">
        <v>39</v>
      </c>
      <c r="AA185" t="s">
        <v>3548</v>
      </c>
      <c r="AB185" t="s">
        <v>41</v>
      </c>
      <c r="AC185">
        <f t="shared" si="2"/>
        <v>4</v>
      </c>
    </row>
    <row r="186" spans="1:29" x14ac:dyDescent="0.3">
      <c r="A186">
        <v>2472010</v>
      </c>
      <c r="B186" t="s">
        <v>3852</v>
      </c>
      <c r="C186" t="s">
        <v>29</v>
      </c>
      <c r="D186" t="s">
        <v>3853</v>
      </c>
      <c r="E186" t="s">
        <v>3853</v>
      </c>
      <c r="F186" s="1">
        <v>46126.406712962962</v>
      </c>
      <c r="G186" t="s">
        <v>45</v>
      </c>
      <c r="H186">
        <v>0</v>
      </c>
      <c r="I186">
        <v>49</v>
      </c>
      <c r="J186">
        <v>126</v>
      </c>
      <c r="K186">
        <v>175</v>
      </c>
      <c r="L186">
        <v>153</v>
      </c>
      <c r="M186">
        <v>433</v>
      </c>
      <c r="N186">
        <v>4447</v>
      </c>
      <c r="O186">
        <v>4</v>
      </c>
      <c r="P186">
        <v>5</v>
      </c>
      <c r="Q186">
        <v>5</v>
      </c>
      <c r="R186" t="s">
        <v>305</v>
      </c>
      <c r="S186" t="s">
        <v>2860</v>
      </c>
      <c r="T186" t="s">
        <v>3854</v>
      </c>
      <c r="U186" t="s">
        <v>170</v>
      </c>
      <c r="V186" t="s">
        <v>3855</v>
      </c>
      <c r="W186" t="s">
        <v>143</v>
      </c>
      <c r="X186" t="s">
        <v>154</v>
      </c>
      <c r="Y186" t="b">
        <v>0</v>
      </c>
      <c r="Z186" t="s">
        <v>39</v>
      </c>
      <c r="AA186" t="s">
        <v>3856</v>
      </c>
      <c r="AB186" t="s">
        <v>41</v>
      </c>
      <c r="AC186">
        <f t="shared" si="2"/>
        <v>5</v>
      </c>
    </row>
    <row r="187" spans="1:29" x14ac:dyDescent="0.3">
      <c r="A187">
        <v>2472010</v>
      </c>
      <c r="B187" t="s">
        <v>3911</v>
      </c>
      <c r="C187" t="s">
        <v>29</v>
      </c>
      <c r="D187" t="s">
        <v>3912</v>
      </c>
      <c r="E187" t="s">
        <v>3912</v>
      </c>
      <c r="F187" s="1">
        <v>46091.436354166668</v>
      </c>
      <c r="G187" t="s">
        <v>31</v>
      </c>
      <c r="H187">
        <v>0</v>
      </c>
      <c r="I187">
        <v>36</v>
      </c>
      <c r="J187">
        <v>274</v>
      </c>
      <c r="K187">
        <v>310</v>
      </c>
      <c r="L187">
        <v>152</v>
      </c>
      <c r="M187">
        <v>990</v>
      </c>
      <c r="N187">
        <v>4533</v>
      </c>
      <c r="O187">
        <v>4</v>
      </c>
      <c r="P187">
        <v>5</v>
      </c>
      <c r="Q187">
        <v>5</v>
      </c>
      <c r="R187" t="s">
        <v>139</v>
      </c>
      <c r="S187" t="s">
        <v>3913</v>
      </c>
      <c r="T187" t="s">
        <v>3914</v>
      </c>
      <c r="U187" t="s">
        <v>3915</v>
      </c>
      <c r="V187" t="s">
        <v>3916</v>
      </c>
      <c r="W187" t="s">
        <v>3917</v>
      </c>
      <c r="X187" t="s">
        <v>154</v>
      </c>
      <c r="Y187" t="b">
        <v>0</v>
      </c>
      <c r="Z187" t="s">
        <v>39</v>
      </c>
      <c r="AA187" t="s">
        <v>3918</v>
      </c>
      <c r="AB187" t="s">
        <v>41</v>
      </c>
      <c r="AC187">
        <f t="shared" si="2"/>
        <v>5</v>
      </c>
    </row>
    <row r="188" spans="1:29" x14ac:dyDescent="0.3">
      <c r="A188">
        <v>2472011</v>
      </c>
      <c r="B188" t="s">
        <v>75</v>
      </c>
      <c r="C188" t="s">
        <v>29</v>
      </c>
      <c r="D188" t="s">
        <v>76</v>
      </c>
      <c r="E188" t="s">
        <v>77</v>
      </c>
      <c r="F188" s="1">
        <v>46092.644756944443</v>
      </c>
      <c r="G188" t="s">
        <v>31</v>
      </c>
      <c r="H188">
        <v>0</v>
      </c>
      <c r="I188">
        <v>39</v>
      </c>
      <c r="J188">
        <v>11</v>
      </c>
      <c r="K188">
        <v>50</v>
      </c>
      <c r="L188">
        <v>114</v>
      </c>
      <c r="M188">
        <v>29</v>
      </c>
      <c r="N188">
        <v>76</v>
      </c>
      <c r="O188">
        <v>3</v>
      </c>
      <c r="P188">
        <v>4</v>
      </c>
      <c r="Q188">
        <v>3</v>
      </c>
      <c r="R188" t="s">
        <v>78</v>
      </c>
      <c r="S188" t="s">
        <v>79</v>
      </c>
      <c r="T188" t="s">
        <v>80</v>
      </c>
      <c r="U188" t="s">
        <v>81</v>
      </c>
      <c r="V188" t="s">
        <v>82</v>
      </c>
      <c r="W188" t="s">
        <v>83</v>
      </c>
      <c r="X188" t="s">
        <v>84</v>
      </c>
      <c r="Y188" t="b">
        <v>0</v>
      </c>
      <c r="Z188" t="s">
        <v>39</v>
      </c>
      <c r="AA188" t="s">
        <v>85</v>
      </c>
      <c r="AB188" t="s">
        <v>41</v>
      </c>
      <c r="AC188">
        <f t="shared" si="2"/>
        <v>3</v>
      </c>
    </row>
    <row r="189" spans="1:29" x14ac:dyDescent="0.3">
      <c r="A189">
        <v>2472011</v>
      </c>
      <c r="B189" t="s">
        <v>96</v>
      </c>
      <c r="C189" t="s">
        <v>29</v>
      </c>
      <c r="D189" t="s">
        <v>97</v>
      </c>
      <c r="E189" t="s">
        <v>97</v>
      </c>
      <c r="F189" s="1">
        <v>46078.669745370367</v>
      </c>
      <c r="G189" t="s">
        <v>67</v>
      </c>
      <c r="H189">
        <v>0</v>
      </c>
      <c r="I189">
        <v>163</v>
      </c>
      <c r="J189">
        <v>360</v>
      </c>
      <c r="K189">
        <v>523</v>
      </c>
      <c r="L189">
        <v>643</v>
      </c>
      <c r="M189">
        <v>1239</v>
      </c>
      <c r="N189">
        <v>97</v>
      </c>
      <c r="O189">
        <v>3</v>
      </c>
      <c r="P189">
        <v>5</v>
      </c>
      <c r="Q189">
        <v>4</v>
      </c>
      <c r="R189" t="s">
        <v>98</v>
      </c>
      <c r="S189" t="s">
        <v>99</v>
      </c>
      <c r="T189" t="s">
        <v>100</v>
      </c>
      <c r="U189" t="s">
        <v>101</v>
      </c>
      <c r="V189" t="s">
        <v>102</v>
      </c>
      <c r="W189" t="s">
        <v>103</v>
      </c>
      <c r="X189" t="s">
        <v>38</v>
      </c>
      <c r="Y189" t="b">
        <v>0</v>
      </c>
      <c r="Z189" t="s">
        <v>39</v>
      </c>
      <c r="AA189" t="s">
        <v>104</v>
      </c>
      <c r="AB189" t="s">
        <v>41</v>
      </c>
      <c r="AC189">
        <f t="shared" si="2"/>
        <v>4</v>
      </c>
    </row>
    <row r="190" spans="1:29" x14ac:dyDescent="0.3">
      <c r="A190">
        <v>2472011</v>
      </c>
      <c r="B190" t="s">
        <v>127</v>
      </c>
      <c r="C190" t="s">
        <v>29</v>
      </c>
      <c r="D190" t="s">
        <v>128</v>
      </c>
      <c r="E190" t="s">
        <v>128</v>
      </c>
      <c r="F190" s="1">
        <v>46127.559930555559</v>
      </c>
      <c r="G190" t="s">
        <v>45</v>
      </c>
      <c r="H190">
        <v>0</v>
      </c>
      <c r="I190">
        <v>32</v>
      </c>
      <c r="J190">
        <v>336</v>
      </c>
      <c r="K190">
        <v>368</v>
      </c>
      <c r="L190">
        <v>118</v>
      </c>
      <c r="M190">
        <v>974</v>
      </c>
      <c r="N190">
        <v>125</v>
      </c>
      <c r="O190">
        <v>3</v>
      </c>
      <c r="P190">
        <v>4</v>
      </c>
      <c r="Q190">
        <v>4</v>
      </c>
      <c r="R190" t="s">
        <v>129</v>
      </c>
      <c r="S190" t="s">
        <v>130</v>
      </c>
      <c r="T190" t="s">
        <v>131</v>
      </c>
      <c r="U190" t="s">
        <v>132</v>
      </c>
      <c r="V190" t="s">
        <v>133</v>
      </c>
      <c r="W190" t="s">
        <v>134</v>
      </c>
      <c r="X190" t="s">
        <v>38</v>
      </c>
      <c r="Y190" t="b">
        <v>0</v>
      </c>
      <c r="Z190" t="s">
        <v>39</v>
      </c>
      <c r="AA190" t="s">
        <v>135</v>
      </c>
      <c r="AB190" t="s">
        <v>41</v>
      </c>
      <c r="AC190">
        <f t="shared" si="2"/>
        <v>4</v>
      </c>
    </row>
    <row r="191" spans="1:29" x14ac:dyDescent="0.3">
      <c r="A191">
        <v>2472011</v>
      </c>
      <c r="B191" t="s">
        <v>544</v>
      </c>
      <c r="C191" t="s">
        <v>29</v>
      </c>
      <c r="D191" t="s">
        <v>545</v>
      </c>
      <c r="E191" t="s">
        <v>545</v>
      </c>
      <c r="F191" s="1">
        <v>46092.552662037036</v>
      </c>
      <c r="G191" t="s">
        <v>31</v>
      </c>
      <c r="H191">
        <v>0</v>
      </c>
      <c r="I191">
        <v>73</v>
      </c>
      <c r="J191">
        <v>91</v>
      </c>
      <c r="K191">
        <v>164</v>
      </c>
      <c r="L191">
        <v>242</v>
      </c>
      <c r="M191">
        <v>343</v>
      </c>
      <c r="N191">
        <v>498</v>
      </c>
      <c r="O191">
        <v>4</v>
      </c>
      <c r="P191">
        <v>5</v>
      </c>
      <c r="Q191">
        <v>4</v>
      </c>
      <c r="R191" t="s">
        <v>546</v>
      </c>
      <c r="S191" t="s">
        <v>132</v>
      </c>
      <c r="T191" t="s">
        <v>547</v>
      </c>
      <c r="U191" t="s">
        <v>170</v>
      </c>
      <c r="V191" t="s">
        <v>548</v>
      </c>
      <c r="W191" t="s">
        <v>143</v>
      </c>
      <c r="X191" t="s">
        <v>38</v>
      </c>
      <c r="Y191" t="b">
        <v>0</v>
      </c>
      <c r="Z191" t="s">
        <v>39</v>
      </c>
      <c r="AA191" t="s">
        <v>549</v>
      </c>
      <c r="AB191" t="s">
        <v>41</v>
      </c>
      <c r="AC191">
        <f t="shared" si="2"/>
        <v>4</v>
      </c>
    </row>
    <row r="192" spans="1:29" x14ac:dyDescent="0.3">
      <c r="A192">
        <v>2472011</v>
      </c>
      <c r="B192" t="s">
        <v>669</v>
      </c>
      <c r="C192" t="s">
        <v>29</v>
      </c>
      <c r="D192" t="s">
        <v>670</v>
      </c>
      <c r="E192" t="s">
        <v>670</v>
      </c>
      <c r="F192" s="1">
        <v>46099.647430555553</v>
      </c>
      <c r="G192" t="s">
        <v>138</v>
      </c>
      <c r="H192">
        <v>0</v>
      </c>
      <c r="I192">
        <v>146</v>
      </c>
      <c r="J192">
        <v>124</v>
      </c>
      <c r="K192">
        <v>270</v>
      </c>
      <c r="L192">
        <v>594</v>
      </c>
      <c r="M192">
        <v>376</v>
      </c>
      <c r="N192">
        <v>675</v>
      </c>
      <c r="O192">
        <v>4</v>
      </c>
      <c r="P192">
        <v>5</v>
      </c>
      <c r="Q192">
        <v>4</v>
      </c>
      <c r="R192" t="s">
        <v>32</v>
      </c>
      <c r="S192" t="s">
        <v>671</v>
      </c>
      <c r="T192" t="s">
        <v>672</v>
      </c>
      <c r="U192" t="s">
        <v>125</v>
      </c>
      <c r="V192" t="s">
        <v>673</v>
      </c>
      <c r="W192" t="s">
        <v>337</v>
      </c>
      <c r="X192" t="s">
        <v>38</v>
      </c>
      <c r="Y192" t="b">
        <v>0</v>
      </c>
      <c r="Z192" t="s">
        <v>39</v>
      </c>
      <c r="AA192" t="s">
        <v>674</v>
      </c>
      <c r="AB192" t="s">
        <v>41</v>
      </c>
      <c r="AC192">
        <f t="shared" si="2"/>
        <v>4</v>
      </c>
    </row>
    <row r="193" spans="1:29" x14ac:dyDescent="0.3">
      <c r="A193">
        <v>2472011</v>
      </c>
      <c r="B193" t="s">
        <v>1179</v>
      </c>
      <c r="C193" t="s">
        <v>29</v>
      </c>
      <c r="D193" t="s">
        <v>1180</v>
      </c>
      <c r="E193" t="s">
        <v>1180</v>
      </c>
      <c r="F193" s="1">
        <v>46078.699513888889</v>
      </c>
      <c r="G193" t="s">
        <v>67</v>
      </c>
      <c r="H193">
        <v>0</v>
      </c>
      <c r="I193">
        <v>35</v>
      </c>
      <c r="J193">
        <v>156</v>
      </c>
      <c r="K193">
        <v>191</v>
      </c>
      <c r="L193">
        <v>138</v>
      </c>
      <c r="M193">
        <v>528</v>
      </c>
      <c r="N193">
        <v>1269</v>
      </c>
      <c r="O193">
        <v>4</v>
      </c>
      <c r="P193">
        <v>5</v>
      </c>
      <c r="Q193">
        <v>5</v>
      </c>
      <c r="R193" t="s">
        <v>1181</v>
      </c>
      <c r="S193" t="s">
        <v>1182</v>
      </c>
      <c r="T193" t="s">
        <v>1183</v>
      </c>
      <c r="U193" t="s">
        <v>270</v>
      </c>
      <c r="V193" t="s">
        <v>1184</v>
      </c>
      <c r="W193" t="s">
        <v>143</v>
      </c>
      <c r="X193" t="s">
        <v>154</v>
      </c>
      <c r="Y193" t="b">
        <v>0</v>
      </c>
      <c r="Z193" t="s">
        <v>39</v>
      </c>
      <c r="AA193" t="s">
        <v>1185</v>
      </c>
      <c r="AB193" t="s">
        <v>41</v>
      </c>
      <c r="AC193">
        <f t="shared" si="2"/>
        <v>5</v>
      </c>
    </row>
    <row r="194" spans="1:29" x14ac:dyDescent="0.3">
      <c r="A194">
        <v>2472011</v>
      </c>
      <c r="B194" t="s">
        <v>2340</v>
      </c>
      <c r="C194" t="s">
        <v>29</v>
      </c>
      <c r="D194" t="s">
        <v>2341</v>
      </c>
      <c r="E194" t="s">
        <v>2341</v>
      </c>
      <c r="F194" s="1">
        <v>46092.556273148148</v>
      </c>
      <c r="G194" t="s">
        <v>31</v>
      </c>
      <c r="H194">
        <v>0</v>
      </c>
      <c r="I194">
        <v>68</v>
      </c>
      <c r="J194">
        <v>61</v>
      </c>
      <c r="K194">
        <v>129</v>
      </c>
      <c r="L194">
        <v>241</v>
      </c>
      <c r="M194">
        <v>231</v>
      </c>
      <c r="N194">
        <v>2668</v>
      </c>
      <c r="O194">
        <v>4</v>
      </c>
      <c r="P194">
        <v>5</v>
      </c>
      <c r="Q194">
        <v>4</v>
      </c>
      <c r="R194" t="s">
        <v>612</v>
      </c>
      <c r="S194" t="s">
        <v>2342</v>
      </c>
      <c r="T194" t="s">
        <v>2343</v>
      </c>
      <c r="U194" t="s">
        <v>125</v>
      </c>
      <c r="V194" t="s">
        <v>2344</v>
      </c>
      <c r="W194" t="s">
        <v>143</v>
      </c>
      <c r="X194" t="s">
        <v>154</v>
      </c>
      <c r="Y194" t="b">
        <v>0</v>
      </c>
      <c r="Z194" t="s">
        <v>39</v>
      </c>
      <c r="AA194" t="s">
        <v>2345</v>
      </c>
      <c r="AB194" t="s">
        <v>41</v>
      </c>
      <c r="AC194">
        <f t="shared" si="2"/>
        <v>5</v>
      </c>
    </row>
    <row r="195" spans="1:29" x14ac:dyDescent="0.3">
      <c r="A195">
        <v>2472011</v>
      </c>
      <c r="B195" t="s">
        <v>2346</v>
      </c>
      <c r="C195" t="s">
        <v>29</v>
      </c>
      <c r="D195" t="s">
        <v>2347</v>
      </c>
      <c r="E195" t="s">
        <v>2348</v>
      </c>
      <c r="F195" s="1">
        <v>46092.643310185187</v>
      </c>
      <c r="G195" t="s">
        <v>31</v>
      </c>
      <c r="H195">
        <v>0</v>
      </c>
      <c r="I195">
        <v>56</v>
      </c>
      <c r="J195">
        <v>13</v>
      </c>
      <c r="K195">
        <v>69</v>
      </c>
      <c r="L195">
        <v>179</v>
      </c>
      <c r="M195">
        <v>31</v>
      </c>
      <c r="N195">
        <v>2676</v>
      </c>
      <c r="O195">
        <v>4</v>
      </c>
      <c r="P195">
        <v>5</v>
      </c>
      <c r="Q195">
        <v>4</v>
      </c>
      <c r="R195" t="s">
        <v>32</v>
      </c>
      <c r="S195" t="s">
        <v>712</v>
      </c>
      <c r="T195" t="s">
        <v>2349</v>
      </c>
      <c r="U195" t="s">
        <v>125</v>
      </c>
      <c r="V195" t="s">
        <v>2350</v>
      </c>
      <c r="W195" t="s">
        <v>1712</v>
      </c>
      <c r="X195" t="s">
        <v>38</v>
      </c>
      <c r="Y195" t="b">
        <v>0</v>
      </c>
      <c r="Z195" t="s">
        <v>39</v>
      </c>
      <c r="AA195" t="s">
        <v>2351</v>
      </c>
      <c r="AB195" t="s">
        <v>41</v>
      </c>
      <c r="AC195">
        <f t="shared" ref="AC195:AC258" si="3">IF(LOWER(TRIM(X195))="excellent",5,
 IF(LOWER(TRIM(X195))="good",4,
 IF(LOWER(TRIM(X195))="fair",3,
 IF(LOWER(TRIM(X195))="poor",2,
 IF(LOWER(TRIM(X195))="weak",1,0)))))</f>
        <v>4</v>
      </c>
    </row>
    <row r="196" spans="1:29" x14ac:dyDescent="0.3">
      <c r="A196">
        <v>2472011</v>
      </c>
      <c r="B196" t="s">
        <v>2518</v>
      </c>
      <c r="C196" t="s">
        <v>29</v>
      </c>
      <c r="D196" t="s">
        <v>2519</v>
      </c>
      <c r="E196" t="s">
        <v>2519</v>
      </c>
      <c r="F196" s="1">
        <v>46127.551446759258</v>
      </c>
      <c r="G196" t="s">
        <v>45</v>
      </c>
      <c r="H196">
        <v>0</v>
      </c>
      <c r="I196">
        <v>209</v>
      </c>
      <c r="J196">
        <v>94</v>
      </c>
      <c r="K196">
        <v>303</v>
      </c>
      <c r="L196">
        <v>656</v>
      </c>
      <c r="M196">
        <v>340</v>
      </c>
      <c r="N196">
        <v>2839</v>
      </c>
      <c r="O196">
        <v>4</v>
      </c>
      <c r="P196">
        <v>5</v>
      </c>
      <c r="Q196">
        <v>4</v>
      </c>
      <c r="R196" t="s">
        <v>2520</v>
      </c>
      <c r="S196" t="s">
        <v>2521</v>
      </c>
      <c r="T196" t="s">
        <v>2522</v>
      </c>
      <c r="U196" t="s">
        <v>2523</v>
      </c>
      <c r="V196" t="s">
        <v>2524</v>
      </c>
      <c r="W196" t="s">
        <v>2525</v>
      </c>
      <c r="X196" t="s">
        <v>38</v>
      </c>
      <c r="Y196" t="b">
        <v>0</v>
      </c>
      <c r="Z196" t="s">
        <v>39</v>
      </c>
      <c r="AA196" t="s">
        <v>2526</v>
      </c>
      <c r="AB196" t="s">
        <v>41</v>
      </c>
      <c r="AC196">
        <f t="shared" si="3"/>
        <v>4</v>
      </c>
    </row>
    <row r="197" spans="1:29" x14ac:dyDescent="0.3">
      <c r="A197">
        <v>2472011</v>
      </c>
      <c r="B197" t="s">
        <v>2608</v>
      </c>
      <c r="C197" t="s">
        <v>29</v>
      </c>
      <c r="D197" t="s">
        <v>2609</v>
      </c>
      <c r="E197" t="s">
        <v>2610</v>
      </c>
      <c r="F197" s="1">
        <v>46092.672129629631</v>
      </c>
      <c r="G197" t="s">
        <v>31</v>
      </c>
      <c r="H197">
        <v>0</v>
      </c>
      <c r="I197">
        <v>79</v>
      </c>
      <c r="J197">
        <v>20</v>
      </c>
      <c r="K197">
        <v>99</v>
      </c>
      <c r="L197">
        <v>233</v>
      </c>
      <c r="M197">
        <v>56</v>
      </c>
      <c r="N197">
        <v>2924</v>
      </c>
      <c r="O197">
        <v>3</v>
      </c>
      <c r="P197">
        <v>5</v>
      </c>
      <c r="Q197">
        <v>4</v>
      </c>
      <c r="R197" t="s">
        <v>2611</v>
      </c>
      <c r="S197" t="s">
        <v>2612</v>
      </c>
      <c r="T197" t="s">
        <v>2613</v>
      </c>
      <c r="U197" t="s">
        <v>2614</v>
      </c>
      <c r="V197" t="s">
        <v>2615</v>
      </c>
      <c r="W197" t="s">
        <v>2616</v>
      </c>
      <c r="X197" t="s">
        <v>38</v>
      </c>
      <c r="Y197" t="b">
        <v>0</v>
      </c>
      <c r="Z197" t="s">
        <v>39</v>
      </c>
      <c r="AA197" t="s">
        <v>2617</v>
      </c>
      <c r="AB197" t="s">
        <v>41</v>
      </c>
      <c r="AC197">
        <f t="shared" si="3"/>
        <v>4</v>
      </c>
    </row>
    <row r="198" spans="1:29" x14ac:dyDescent="0.3">
      <c r="A198">
        <v>2472011</v>
      </c>
      <c r="B198" t="s">
        <v>3405</v>
      </c>
      <c r="C198" t="s">
        <v>29</v>
      </c>
      <c r="D198" t="s">
        <v>3406</v>
      </c>
      <c r="E198" t="s">
        <v>3406</v>
      </c>
      <c r="F198" s="1">
        <v>46099.626493055563</v>
      </c>
      <c r="G198" t="s">
        <v>138</v>
      </c>
      <c r="H198">
        <v>0</v>
      </c>
      <c r="I198">
        <v>87</v>
      </c>
      <c r="J198">
        <v>207</v>
      </c>
      <c r="K198">
        <v>294</v>
      </c>
      <c r="L198">
        <v>262</v>
      </c>
      <c r="M198">
        <v>576</v>
      </c>
      <c r="N198">
        <v>3923</v>
      </c>
      <c r="O198">
        <v>4</v>
      </c>
      <c r="P198">
        <v>5</v>
      </c>
      <c r="Q198">
        <v>5</v>
      </c>
      <c r="R198" t="s">
        <v>926</v>
      </c>
      <c r="S198" t="s">
        <v>1498</v>
      </c>
      <c r="T198" t="s">
        <v>2887</v>
      </c>
      <c r="U198" t="s">
        <v>125</v>
      </c>
      <c r="V198" t="s">
        <v>3407</v>
      </c>
      <c r="W198" t="s">
        <v>239</v>
      </c>
      <c r="X198" t="s">
        <v>154</v>
      </c>
      <c r="Y198" t="b">
        <v>0</v>
      </c>
      <c r="Z198" t="s">
        <v>39</v>
      </c>
      <c r="AA198" t="s">
        <v>3408</v>
      </c>
      <c r="AB198" t="s">
        <v>41</v>
      </c>
      <c r="AC198">
        <f t="shared" si="3"/>
        <v>5</v>
      </c>
    </row>
    <row r="199" spans="1:29" x14ac:dyDescent="0.3">
      <c r="A199">
        <v>2472011</v>
      </c>
      <c r="B199" t="s">
        <v>3904</v>
      </c>
      <c r="C199" t="s">
        <v>29</v>
      </c>
      <c r="D199" t="s">
        <v>3905</v>
      </c>
      <c r="E199" t="s">
        <v>3906</v>
      </c>
      <c r="F199" s="1">
        <v>46120.64135416667</v>
      </c>
      <c r="G199" t="s">
        <v>56</v>
      </c>
      <c r="H199">
        <v>0</v>
      </c>
      <c r="I199">
        <v>749</v>
      </c>
      <c r="J199">
        <v>189</v>
      </c>
      <c r="K199">
        <v>938</v>
      </c>
      <c r="L199">
        <v>2422</v>
      </c>
      <c r="M199">
        <v>630</v>
      </c>
      <c r="N199">
        <v>4532</v>
      </c>
      <c r="O199">
        <v>4</v>
      </c>
      <c r="P199">
        <v>5</v>
      </c>
      <c r="Q199">
        <v>5</v>
      </c>
      <c r="R199" t="s">
        <v>3907</v>
      </c>
      <c r="S199" t="s">
        <v>441</v>
      </c>
      <c r="T199" t="s">
        <v>3908</v>
      </c>
      <c r="U199" t="s">
        <v>270</v>
      </c>
      <c r="V199" t="s">
        <v>3909</v>
      </c>
      <c r="W199" t="s">
        <v>1871</v>
      </c>
      <c r="X199" t="s">
        <v>154</v>
      </c>
      <c r="Y199" t="b">
        <v>0</v>
      </c>
      <c r="Z199" t="s">
        <v>39</v>
      </c>
      <c r="AA199" t="s">
        <v>3910</v>
      </c>
      <c r="AB199" t="s">
        <v>41</v>
      </c>
      <c r="AC199">
        <f t="shared" si="3"/>
        <v>5</v>
      </c>
    </row>
    <row r="200" spans="1:29" x14ac:dyDescent="0.3">
      <c r="A200">
        <v>2472011</v>
      </c>
      <c r="B200" t="s">
        <v>4019</v>
      </c>
      <c r="C200" t="s">
        <v>29</v>
      </c>
      <c r="D200" t="s">
        <v>4020</v>
      </c>
      <c r="E200" t="s">
        <v>4021</v>
      </c>
      <c r="F200" s="1">
        <v>46127.585034722222</v>
      </c>
      <c r="G200" t="s">
        <v>45</v>
      </c>
      <c r="H200">
        <v>0</v>
      </c>
      <c r="I200">
        <v>594</v>
      </c>
      <c r="J200">
        <v>251</v>
      </c>
      <c r="K200">
        <v>845</v>
      </c>
      <c r="L200">
        <v>2367</v>
      </c>
      <c r="M200">
        <v>854</v>
      </c>
      <c r="N200">
        <v>4688</v>
      </c>
      <c r="O200">
        <v>5</v>
      </c>
      <c r="P200">
        <v>5</v>
      </c>
      <c r="Q200">
        <v>5</v>
      </c>
      <c r="R200" t="s">
        <v>4022</v>
      </c>
      <c r="S200" t="s">
        <v>125</v>
      </c>
      <c r="T200" t="s">
        <v>4023</v>
      </c>
      <c r="U200" t="s">
        <v>125</v>
      </c>
      <c r="V200" t="s">
        <v>1608</v>
      </c>
      <c r="W200" t="s">
        <v>1608</v>
      </c>
      <c r="X200" t="s">
        <v>154</v>
      </c>
      <c r="Y200" t="b">
        <v>0</v>
      </c>
      <c r="Z200" t="s">
        <v>39</v>
      </c>
      <c r="AA200" t="s">
        <v>4024</v>
      </c>
      <c r="AB200" t="s">
        <v>41</v>
      </c>
      <c r="AC200">
        <f t="shared" si="3"/>
        <v>5</v>
      </c>
    </row>
    <row r="201" spans="1:29" x14ac:dyDescent="0.3">
      <c r="A201">
        <v>2472011</v>
      </c>
      <c r="B201" t="s">
        <v>4025</v>
      </c>
      <c r="C201" t="s">
        <v>29</v>
      </c>
      <c r="D201" t="s">
        <v>4026</v>
      </c>
      <c r="E201" t="s">
        <v>4026</v>
      </c>
      <c r="F201" s="1">
        <v>46120.668310185189</v>
      </c>
      <c r="G201" t="s">
        <v>56</v>
      </c>
      <c r="H201">
        <v>0</v>
      </c>
      <c r="I201">
        <v>375</v>
      </c>
      <c r="J201">
        <v>280</v>
      </c>
      <c r="K201">
        <v>655</v>
      </c>
      <c r="L201">
        <v>1209</v>
      </c>
      <c r="M201">
        <v>839</v>
      </c>
      <c r="N201">
        <v>4702</v>
      </c>
      <c r="O201">
        <v>4</v>
      </c>
      <c r="P201">
        <v>5</v>
      </c>
      <c r="Q201">
        <v>5</v>
      </c>
      <c r="R201" t="s">
        <v>32</v>
      </c>
      <c r="S201" t="s">
        <v>208</v>
      </c>
      <c r="T201" t="s">
        <v>4027</v>
      </c>
      <c r="U201" t="s">
        <v>125</v>
      </c>
      <c r="V201" t="s">
        <v>4028</v>
      </c>
      <c r="W201" t="s">
        <v>542</v>
      </c>
      <c r="X201" t="s">
        <v>154</v>
      </c>
      <c r="Y201" t="b">
        <v>0</v>
      </c>
      <c r="Z201" t="s">
        <v>39</v>
      </c>
      <c r="AA201" t="s">
        <v>4029</v>
      </c>
      <c r="AB201" t="s">
        <v>41</v>
      </c>
      <c r="AC201">
        <f t="shared" si="3"/>
        <v>5</v>
      </c>
    </row>
    <row r="202" spans="1:29" x14ac:dyDescent="0.3">
      <c r="A202">
        <v>2472011</v>
      </c>
      <c r="B202" t="s">
        <v>4044</v>
      </c>
      <c r="C202" t="s">
        <v>29</v>
      </c>
      <c r="D202" t="s">
        <v>4045</v>
      </c>
      <c r="E202" t="s">
        <v>4045</v>
      </c>
      <c r="F202" s="1">
        <v>46078.657916666663</v>
      </c>
      <c r="G202" t="s">
        <v>67</v>
      </c>
      <c r="H202">
        <v>0</v>
      </c>
      <c r="I202">
        <v>100</v>
      </c>
      <c r="J202">
        <v>206</v>
      </c>
      <c r="K202">
        <v>306</v>
      </c>
      <c r="L202">
        <v>395</v>
      </c>
      <c r="M202">
        <v>734</v>
      </c>
      <c r="N202">
        <v>4709</v>
      </c>
      <c r="O202">
        <v>3</v>
      </c>
      <c r="P202">
        <v>5</v>
      </c>
      <c r="Q202">
        <v>4</v>
      </c>
      <c r="R202" t="s">
        <v>4046</v>
      </c>
      <c r="S202" t="s">
        <v>4047</v>
      </c>
      <c r="T202" t="s">
        <v>4048</v>
      </c>
      <c r="U202" t="s">
        <v>2151</v>
      </c>
      <c r="V202" t="s">
        <v>4049</v>
      </c>
      <c r="W202" t="s">
        <v>256</v>
      </c>
      <c r="X202" t="s">
        <v>38</v>
      </c>
      <c r="Y202" t="b">
        <v>0</v>
      </c>
      <c r="Z202" t="s">
        <v>39</v>
      </c>
      <c r="AA202" t="s">
        <v>4050</v>
      </c>
      <c r="AB202" t="s">
        <v>41</v>
      </c>
      <c r="AC202">
        <f t="shared" si="3"/>
        <v>4</v>
      </c>
    </row>
    <row r="203" spans="1:29" x14ac:dyDescent="0.3">
      <c r="A203">
        <v>2472012</v>
      </c>
      <c r="B203" t="s">
        <v>455</v>
      </c>
      <c r="C203" t="s">
        <v>29</v>
      </c>
      <c r="D203" t="s">
        <v>456</v>
      </c>
      <c r="E203" t="s">
        <v>456</v>
      </c>
      <c r="F203" s="1">
        <v>46098.549490740741</v>
      </c>
      <c r="G203" t="s">
        <v>138</v>
      </c>
      <c r="H203">
        <v>0</v>
      </c>
      <c r="I203">
        <v>90</v>
      </c>
      <c r="J203">
        <v>144</v>
      </c>
      <c r="K203">
        <v>234</v>
      </c>
      <c r="L203">
        <v>296</v>
      </c>
      <c r="M203">
        <v>523</v>
      </c>
      <c r="N203">
        <v>432</v>
      </c>
      <c r="O203">
        <v>3</v>
      </c>
      <c r="P203">
        <v>4</v>
      </c>
      <c r="Q203">
        <v>3</v>
      </c>
      <c r="R203" t="s">
        <v>457</v>
      </c>
      <c r="S203" t="s">
        <v>458</v>
      </c>
      <c r="T203" t="s">
        <v>459</v>
      </c>
      <c r="U203" t="s">
        <v>460</v>
      </c>
      <c r="V203" t="s">
        <v>461</v>
      </c>
      <c r="W203" t="s">
        <v>462</v>
      </c>
      <c r="X203" t="s">
        <v>38</v>
      </c>
      <c r="Y203" t="b">
        <v>0</v>
      </c>
      <c r="Z203" t="s">
        <v>39</v>
      </c>
      <c r="AA203" t="s">
        <v>463</v>
      </c>
      <c r="AB203" t="s">
        <v>41</v>
      </c>
      <c r="AC203">
        <f t="shared" si="3"/>
        <v>4</v>
      </c>
    </row>
    <row r="204" spans="1:29" x14ac:dyDescent="0.3">
      <c r="A204">
        <v>2472012</v>
      </c>
      <c r="B204" t="s">
        <v>1061</v>
      </c>
      <c r="C204" t="s">
        <v>29</v>
      </c>
      <c r="D204" t="s">
        <v>1062</v>
      </c>
      <c r="E204" t="s">
        <v>1062</v>
      </c>
      <c r="F204" s="1">
        <v>46091.502314814818</v>
      </c>
      <c r="G204" t="s">
        <v>31</v>
      </c>
      <c r="H204">
        <v>0</v>
      </c>
      <c r="I204">
        <v>38</v>
      </c>
      <c r="J204">
        <v>93</v>
      </c>
      <c r="K204">
        <v>131</v>
      </c>
      <c r="L204">
        <v>151</v>
      </c>
      <c r="M204">
        <v>304</v>
      </c>
      <c r="N204">
        <v>1048</v>
      </c>
      <c r="O204">
        <v>4</v>
      </c>
      <c r="P204">
        <v>5</v>
      </c>
      <c r="Q204">
        <v>5</v>
      </c>
      <c r="R204" t="s">
        <v>1063</v>
      </c>
      <c r="S204" t="s">
        <v>1064</v>
      </c>
      <c r="T204" t="s">
        <v>1065</v>
      </c>
      <c r="U204" t="s">
        <v>270</v>
      </c>
      <c r="V204" t="s">
        <v>1066</v>
      </c>
      <c r="W204" t="s">
        <v>1067</v>
      </c>
      <c r="X204" t="s">
        <v>154</v>
      </c>
      <c r="Y204" t="b">
        <v>0</v>
      </c>
      <c r="Z204" t="s">
        <v>39</v>
      </c>
      <c r="AA204" t="s">
        <v>1068</v>
      </c>
      <c r="AB204" t="s">
        <v>41</v>
      </c>
      <c r="AC204">
        <f t="shared" si="3"/>
        <v>5</v>
      </c>
    </row>
    <row r="205" spans="1:29" x14ac:dyDescent="0.3">
      <c r="A205">
        <v>2472012</v>
      </c>
      <c r="B205" t="s">
        <v>1714</v>
      </c>
      <c r="C205" t="s">
        <v>29</v>
      </c>
      <c r="D205" t="s">
        <v>1715</v>
      </c>
      <c r="E205" t="s">
        <v>1715</v>
      </c>
      <c r="F205" s="1">
        <v>46077.536215277767</v>
      </c>
      <c r="G205" t="s">
        <v>67</v>
      </c>
      <c r="H205">
        <v>0</v>
      </c>
      <c r="I205">
        <v>51</v>
      </c>
      <c r="J205">
        <v>343</v>
      </c>
      <c r="K205">
        <v>394</v>
      </c>
      <c r="L205">
        <v>277</v>
      </c>
      <c r="M205">
        <v>1381</v>
      </c>
      <c r="N205">
        <v>1926</v>
      </c>
      <c r="O205">
        <v>4</v>
      </c>
      <c r="P205">
        <v>5</v>
      </c>
      <c r="Q205">
        <v>5</v>
      </c>
      <c r="R205" t="s">
        <v>1716</v>
      </c>
      <c r="S205" t="s">
        <v>1717</v>
      </c>
      <c r="T205" t="s">
        <v>1718</v>
      </c>
      <c r="U205" t="s">
        <v>1719</v>
      </c>
      <c r="V205" t="s">
        <v>1720</v>
      </c>
      <c r="W205" t="s">
        <v>1721</v>
      </c>
      <c r="X205" t="s">
        <v>154</v>
      </c>
      <c r="Y205" t="b">
        <v>0</v>
      </c>
      <c r="Z205" t="s">
        <v>39</v>
      </c>
      <c r="AA205" t="s">
        <v>1722</v>
      </c>
      <c r="AB205" t="s">
        <v>41</v>
      </c>
      <c r="AC205">
        <f t="shared" si="3"/>
        <v>5</v>
      </c>
    </row>
    <row r="206" spans="1:29" x14ac:dyDescent="0.3">
      <c r="A206">
        <v>2472012</v>
      </c>
      <c r="B206" t="s">
        <v>2786</v>
      </c>
      <c r="C206" t="s">
        <v>29</v>
      </c>
      <c r="D206" t="s">
        <v>2787</v>
      </c>
      <c r="E206" t="s">
        <v>2788</v>
      </c>
      <c r="F206" s="1">
        <v>46098.496319444443</v>
      </c>
      <c r="G206" t="s">
        <v>138</v>
      </c>
      <c r="H206">
        <v>0</v>
      </c>
      <c r="I206">
        <v>72</v>
      </c>
      <c r="J206">
        <v>768</v>
      </c>
      <c r="K206">
        <v>840</v>
      </c>
      <c r="L206">
        <v>282</v>
      </c>
      <c r="M206">
        <v>2639</v>
      </c>
      <c r="N206">
        <v>3156</v>
      </c>
      <c r="O206">
        <v>4</v>
      </c>
      <c r="P206">
        <v>5</v>
      </c>
      <c r="Q206">
        <v>5</v>
      </c>
      <c r="R206" t="s">
        <v>2789</v>
      </c>
      <c r="S206" t="s">
        <v>2790</v>
      </c>
      <c r="T206" t="s">
        <v>2791</v>
      </c>
      <c r="U206" t="s">
        <v>2792</v>
      </c>
      <c r="V206" t="s">
        <v>2793</v>
      </c>
      <c r="W206" t="s">
        <v>391</v>
      </c>
      <c r="X206" t="s">
        <v>154</v>
      </c>
      <c r="Y206" t="b">
        <v>0</v>
      </c>
      <c r="Z206" t="s">
        <v>39</v>
      </c>
      <c r="AA206" t="s">
        <v>2794</v>
      </c>
      <c r="AB206" t="s">
        <v>41</v>
      </c>
      <c r="AC206">
        <f t="shared" si="3"/>
        <v>5</v>
      </c>
    </row>
    <row r="207" spans="1:29" x14ac:dyDescent="0.3">
      <c r="A207">
        <v>2472012</v>
      </c>
      <c r="B207" t="s">
        <v>2960</v>
      </c>
      <c r="C207" t="s">
        <v>29</v>
      </c>
      <c r="D207" t="s">
        <v>2961</v>
      </c>
      <c r="E207" t="s">
        <v>2961</v>
      </c>
      <c r="F207" s="1">
        <v>46091.500138888892</v>
      </c>
      <c r="G207" t="s">
        <v>31</v>
      </c>
      <c r="H207">
        <v>0</v>
      </c>
      <c r="I207">
        <v>52</v>
      </c>
      <c r="J207">
        <v>273</v>
      </c>
      <c r="K207">
        <v>325</v>
      </c>
      <c r="L207">
        <v>172</v>
      </c>
      <c r="M207">
        <v>756</v>
      </c>
      <c r="N207">
        <v>3405</v>
      </c>
      <c r="O207">
        <v>4</v>
      </c>
      <c r="P207">
        <v>5</v>
      </c>
      <c r="Q207">
        <v>4</v>
      </c>
      <c r="R207" t="s">
        <v>139</v>
      </c>
      <c r="S207" t="s">
        <v>1483</v>
      </c>
      <c r="T207" t="s">
        <v>253</v>
      </c>
      <c r="U207" t="s">
        <v>2962</v>
      </c>
      <c r="V207" t="s">
        <v>2963</v>
      </c>
      <c r="W207" t="s">
        <v>2964</v>
      </c>
      <c r="X207" t="s">
        <v>38</v>
      </c>
      <c r="Y207" t="b">
        <v>0</v>
      </c>
      <c r="Z207" t="s">
        <v>39</v>
      </c>
      <c r="AA207" t="s">
        <v>2965</v>
      </c>
      <c r="AB207" t="s">
        <v>41</v>
      </c>
      <c r="AC207">
        <f t="shared" si="3"/>
        <v>4</v>
      </c>
    </row>
    <row r="208" spans="1:29" x14ac:dyDescent="0.3">
      <c r="A208">
        <v>2472012</v>
      </c>
      <c r="B208" t="s">
        <v>2976</v>
      </c>
      <c r="C208" t="s">
        <v>29</v>
      </c>
      <c r="D208" t="s">
        <v>2977</v>
      </c>
      <c r="E208" t="s">
        <v>2977</v>
      </c>
      <c r="F208" s="1">
        <v>46091.503263888888</v>
      </c>
      <c r="G208" t="s">
        <v>31</v>
      </c>
      <c r="H208">
        <v>0</v>
      </c>
      <c r="I208">
        <v>53</v>
      </c>
      <c r="J208">
        <v>120</v>
      </c>
      <c r="K208">
        <v>173</v>
      </c>
      <c r="L208">
        <v>228</v>
      </c>
      <c r="M208">
        <v>459</v>
      </c>
      <c r="N208">
        <v>3428</v>
      </c>
      <c r="O208">
        <v>4</v>
      </c>
      <c r="P208">
        <v>5</v>
      </c>
      <c r="Q208">
        <v>5</v>
      </c>
      <c r="R208" t="s">
        <v>2978</v>
      </c>
      <c r="S208" t="s">
        <v>2979</v>
      </c>
      <c r="T208" t="s">
        <v>2980</v>
      </c>
      <c r="U208" t="s">
        <v>270</v>
      </c>
      <c r="V208" t="s">
        <v>2981</v>
      </c>
      <c r="W208" t="s">
        <v>2982</v>
      </c>
      <c r="X208" t="s">
        <v>154</v>
      </c>
      <c r="Y208" t="b">
        <v>0</v>
      </c>
      <c r="Z208" t="s">
        <v>39</v>
      </c>
      <c r="AA208" t="s">
        <v>2983</v>
      </c>
      <c r="AB208" t="s">
        <v>41</v>
      </c>
      <c r="AC208">
        <f t="shared" si="3"/>
        <v>5</v>
      </c>
    </row>
    <row r="209" spans="1:29" x14ac:dyDescent="0.3">
      <c r="A209">
        <v>2472013</v>
      </c>
      <c r="B209" t="s">
        <v>2494</v>
      </c>
      <c r="C209" t="s">
        <v>29</v>
      </c>
      <c r="D209" t="s">
        <v>446</v>
      </c>
      <c r="E209" t="s">
        <v>2495</v>
      </c>
      <c r="F209" s="1">
        <v>46127.610497685193</v>
      </c>
      <c r="G209" t="s">
        <v>45</v>
      </c>
      <c r="H209">
        <v>0</v>
      </c>
      <c r="I209">
        <v>84</v>
      </c>
      <c r="J209">
        <v>1061</v>
      </c>
      <c r="K209">
        <v>1145</v>
      </c>
      <c r="L209">
        <v>383</v>
      </c>
      <c r="M209">
        <v>3853</v>
      </c>
      <c r="N209">
        <v>2810</v>
      </c>
      <c r="O209">
        <v>3</v>
      </c>
      <c r="P209">
        <v>2</v>
      </c>
      <c r="Q209">
        <v>2</v>
      </c>
      <c r="R209" t="s">
        <v>2496</v>
      </c>
      <c r="S209" t="s">
        <v>124</v>
      </c>
      <c r="T209" t="s">
        <v>2497</v>
      </c>
      <c r="U209" t="s">
        <v>2498</v>
      </c>
      <c r="V209" t="s">
        <v>2499</v>
      </c>
      <c r="W209" t="s">
        <v>2500</v>
      </c>
      <c r="X209" t="s">
        <v>126</v>
      </c>
      <c r="Y209" t="b">
        <v>0</v>
      </c>
      <c r="Z209" t="s">
        <v>39</v>
      </c>
      <c r="AA209" t="s">
        <v>2501</v>
      </c>
      <c r="AB209" t="s">
        <v>41</v>
      </c>
      <c r="AC209">
        <f t="shared" si="3"/>
        <v>1</v>
      </c>
    </row>
    <row r="210" spans="1:29" x14ac:dyDescent="0.3">
      <c r="A210">
        <v>2472014</v>
      </c>
      <c r="B210" t="s">
        <v>1104</v>
      </c>
      <c r="C210" t="s">
        <v>29</v>
      </c>
      <c r="D210" t="s">
        <v>1105</v>
      </c>
      <c r="E210" t="s">
        <v>1106</v>
      </c>
      <c r="F210" s="1">
        <v>46098.546134259261</v>
      </c>
      <c r="G210" t="s">
        <v>138</v>
      </c>
      <c r="H210">
        <v>0</v>
      </c>
      <c r="I210">
        <v>39</v>
      </c>
      <c r="J210">
        <v>167</v>
      </c>
      <c r="K210">
        <v>206</v>
      </c>
      <c r="L210">
        <v>140</v>
      </c>
      <c r="M210">
        <v>634</v>
      </c>
      <c r="N210">
        <v>1115</v>
      </c>
      <c r="O210">
        <v>4</v>
      </c>
      <c r="P210">
        <v>5</v>
      </c>
      <c r="Q210">
        <v>5</v>
      </c>
      <c r="R210" t="s">
        <v>1107</v>
      </c>
      <c r="S210" t="s">
        <v>1108</v>
      </c>
      <c r="T210" t="s">
        <v>1109</v>
      </c>
      <c r="U210" t="s">
        <v>487</v>
      </c>
      <c r="V210" t="s">
        <v>1110</v>
      </c>
      <c r="W210" t="s">
        <v>1111</v>
      </c>
      <c r="X210" t="s">
        <v>154</v>
      </c>
      <c r="Y210" t="b">
        <v>0</v>
      </c>
      <c r="Z210" t="s">
        <v>39</v>
      </c>
      <c r="AA210" t="s">
        <v>1112</v>
      </c>
      <c r="AB210" t="s">
        <v>41</v>
      </c>
      <c r="AC210">
        <f t="shared" si="3"/>
        <v>5</v>
      </c>
    </row>
    <row r="211" spans="1:29" x14ac:dyDescent="0.3">
      <c r="A211">
        <v>2472014</v>
      </c>
      <c r="B211" t="s">
        <v>2066</v>
      </c>
      <c r="C211" t="s">
        <v>29</v>
      </c>
      <c r="D211" t="s">
        <v>2067</v>
      </c>
      <c r="E211" t="s">
        <v>2067</v>
      </c>
      <c r="F211" s="1">
        <v>46098.530312499999</v>
      </c>
      <c r="G211" t="s">
        <v>138</v>
      </c>
      <c r="H211">
        <v>0</v>
      </c>
      <c r="I211">
        <v>43</v>
      </c>
      <c r="J211">
        <v>235</v>
      </c>
      <c r="K211">
        <v>278</v>
      </c>
      <c r="L211">
        <v>160</v>
      </c>
      <c r="M211">
        <v>775</v>
      </c>
      <c r="N211">
        <v>2361</v>
      </c>
      <c r="O211">
        <v>4</v>
      </c>
      <c r="P211">
        <v>5</v>
      </c>
      <c r="Q211">
        <v>5</v>
      </c>
      <c r="R211" t="s">
        <v>2068</v>
      </c>
      <c r="S211" t="s">
        <v>720</v>
      </c>
      <c r="T211" t="s">
        <v>397</v>
      </c>
      <c r="U211" t="s">
        <v>2069</v>
      </c>
      <c r="V211" t="s">
        <v>2070</v>
      </c>
      <c r="W211" t="s">
        <v>1541</v>
      </c>
      <c r="X211" t="s">
        <v>154</v>
      </c>
      <c r="Y211" t="b">
        <v>0</v>
      </c>
      <c r="Z211" t="s">
        <v>39</v>
      </c>
      <c r="AA211" t="s">
        <v>2071</v>
      </c>
      <c r="AB211" t="s">
        <v>41</v>
      </c>
      <c r="AC211">
        <f t="shared" si="3"/>
        <v>5</v>
      </c>
    </row>
    <row r="212" spans="1:29" x14ac:dyDescent="0.3">
      <c r="A212">
        <v>2472014</v>
      </c>
      <c r="B212" t="s">
        <v>2885</v>
      </c>
      <c r="C212" t="s">
        <v>29</v>
      </c>
      <c r="D212" t="s">
        <v>2886</v>
      </c>
      <c r="E212" t="s">
        <v>2886</v>
      </c>
      <c r="F212" s="1">
        <v>46112.480150462958</v>
      </c>
      <c r="G212" t="s">
        <v>304</v>
      </c>
      <c r="H212">
        <v>0</v>
      </c>
      <c r="I212">
        <v>142</v>
      </c>
      <c r="J212">
        <v>270</v>
      </c>
      <c r="K212">
        <v>412</v>
      </c>
      <c r="L212">
        <v>480</v>
      </c>
      <c r="M212">
        <v>835</v>
      </c>
      <c r="N212">
        <v>3306</v>
      </c>
      <c r="O212">
        <v>4</v>
      </c>
      <c r="P212">
        <v>5</v>
      </c>
      <c r="Q212">
        <v>4</v>
      </c>
      <c r="R212" t="s">
        <v>926</v>
      </c>
      <c r="S212" t="s">
        <v>387</v>
      </c>
      <c r="T212" t="s">
        <v>2887</v>
      </c>
      <c r="U212" t="s">
        <v>2888</v>
      </c>
      <c r="V212" t="s">
        <v>2889</v>
      </c>
      <c r="W212" t="s">
        <v>2890</v>
      </c>
      <c r="X212" t="s">
        <v>38</v>
      </c>
      <c r="Y212" t="b">
        <v>0</v>
      </c>
      <c r="Z212" t="s">
        <v>39</v>
      </c>
      <c r="AA212" t="s">
        <v>2891</v>
      </c>
      <c r="AB212" t="s">
        <v>41</v>
      </c>
      <c r="AC212">
        <f t="shared" si="3"/>
        <v>4</v>
      </c>
    </row>
    <row r="213" spans="1:29" x14ac:dyDescent="0.3">
      <c r="A213">
        <v>2472014</v>
      </c>
      <c r="B213" t="s">
        <v>4151</v>
      </c>
      <c r="C213" t="s">
        <v>29</v>
      </c>
      <c r="D213" t="s">
        <v>4152</v>
      </c>
      <c r="E213" t="s">
        <v>4152</v>
      </c>
      <c r="F213" s="1">
        <v>46098.531134259261</v>
      </c>
      <c r="G213" t="s">
        <v>138</v>
      </c>
      <c r="H213">
        <v>0</v>
      </c>
      <c r="I213">
        <v>48</v>
      </c>
      <c r="J213">
        <v>108</v>
      </c>
      <c r="K213">
        <v>156</v>
      </c>
      <c r="L213">
        <v>186</v>
      </c>
      <c r="M213">
        <v>462</v>
      </c>
      <c r="N213">
        <v>4848</v>
      </c>
      <c r="O213">
        <v>4</v>
      </c>
      <c r="P213">
        <v>5</v>
      </c>
      <c r="Q213">
        <v>4</v>
      </c>
      <c r="R213" t="s">
        <v>4153</v>
      </c>
      <c r="S213" t="s">
        <v>4154</v>
      </c>
      <c r="T213" t="s">
        <v>4155</v>
      </c>
      <c r="U213" t="s">
        <v>4156</v>
      </c>
      <c r="V213" t="s">
        <v>4157</v>
      </c>
      <c r="W213" t="s">
        <v>4158</v>
      </c>
      <c r="X213" t="s">
        <v>38</v>
      </c>
      <c r="Y213" t="b">
        <v>0</v>
      </c>
      <c r="Z213" t="s">
        <v>39</v>
      </c>
      <c r="AA213" t="s">
        <v>4159</v>
      </c>
      <c r="AB213" t="s">
        <v>41</v>
      </c>
      <c r="AC213">
        <f t="shared" si="3"/>
        <v>4</v>
      </c>
    </row>
    <row r="214" spans="1:29" x14ac:dyDescent="0.3">
      <c r="A214">
        <v>2472014</v>
      </c>
      <c r="B214" t="s">
        <v>4181</v>
      </c>
      <c r="C214" t="s">
        <v>29</v>
      </c>
      <c r="D214" t="s">
        <v>4182</v>
      </c>
      <c r="E214" t="s">
        <v>4182</v>
      </c>
      <c r="F214" s="1">
        <v>46126.469664351847</v>
      </c>
      <c r="G214" t="s">
        <v>45</v>
      </c>
      <c r="H214">
        <v>0</v>
      </c>
      <c r="I214">
        <v>427</v>
      </c>
      <c r="J214">
        <v>253</v>
      </c>
      <c r="K214">
        <v>680</v>
      </c>
      <c r="L214">
        <v>1739</v>
      </c>
      <c r="M214">
        <v>847</v>
      </c>
      <c r="N214">
        <v>4893</v>
      </c>
      <c r="O214">
        <v>4</v>
      </c>
      <c r="P214">
        <v>5</v>
      </c>
      <c r="Q214">
        <v>4</v>
      </c>
      <c r="R214" t="s">
        <v>429</v>
      </c>
      <c r="S214" t="s">
        <v>4183</v>
      </c>
      <c r="T214" t="s">
        <v>4184</v>
      </c>
      <c r="U214" t="s">
        <v>4185</v>
      </c>
      <c r="V214" t="s">
        <v>4186</v>
      </c>
      <c r="W214" t="s">
        <v>4187</v>
      </c>
      <c r="X214" t="s">
        <v>38</v>
      </c>
      <c r="Y214" t="b">
        <v>0</v>
      </c>
      <c r="Z214" t="s">
        <v>39</v>
      </c>
      <c r="AA214" t="s">
        <v>4188</v>
      </c>
      <c r="AB214" t="s">
        <v>41</v>
      </c>
      <c r="AC214">
        <f t="shared" si="3"/>
        <v>4</v>
      </c>
    </row>
    <row r="215" spans="1:29" x14ac:dyDescent="0.3">
      <c r="A215">
        <v>2472017</v>
      </c>
      <c r="B215" t="s">
        <v>156</v>
      </c>
      <c r="C215" t="s">
        <v>29</v>
      </c>
      <c r="D215" t="s">
        <v>157</v>
      </c>
      <c r="E215" t="s">
        <v>157</v>
      </c>
      <c r="F215" s="1">
        <v>46127.548506944448</v>
      </c>
      <c r="G215" t="s">
        <v>45</v>
      </c>
      <c r="H215">
        <v>0</v>
      </c>
      <c r="I215">
        <v>33</v>
      </c>
      <c r="J215">
        <v>103</v>
      </c>
      <c r="K215">
        <v>136</v>
      </c>
      <c r="L215">
        <v>116</v>
      </c>
      <c r="M215">
        <v>347</v>
      </c>
      <c r="N215">
        <v>176</v>
      </c>
      <c r="O215">
        <v>3</v>
      </c>
      <c r="P215">
        <v>4</v>
      </c>
      <c r="Q215">
        <v>4</v>
      </c>
      <c r="R215" t="s">
        <v>158</v>
      </c>
      <c r="S215" t="s">
        <v>159</v>
      </c>
      <c r="T215" t="s">
        <v>160</v>
      </c>
      <c r="U215" t="s">
        <v>161</v>
      </c>
      <c r="V215" t="s">
        <v>162</v>
      </c>
      <c r="W215" t="s">
        <v>163</v>
      </c>
      <c r="X215" t="s">
        <v>38</v>
      </c>
      <c r="Y215" t="b">
        <v>0</v>
      </c>
      <c r="Z215" t="s">
        <v>39</v>
      </c>
      <c r="AA215" t="s">
        <v>164</v>
      </c>
      <c r="AB215" t="s">
        <v>41</v>
      </c>
      <c r="AC215">
        <f t="shared" si="3"/>
        <v>4</v>
      </c>
    </row>
    <row r="216" spans="1:29" x14ac:dyDescent="0.3">
      <c r="A216">
        <v>2472017</v>
      </c>
      <c r="B216" t="s">
        <v>321</v>
      </c>
      <c r="C216" t="s">
        <v>29</v>
      </c>
      <c r="D216" t="s">
        <v>322</v>
      </c>
      <c r="E216" t="s">
        <v>323</v>
      </c>
      <c r="F216" s="1">
        <v>46127.591307870367</v>
      </c>
      <c r="G216" t="s">
        <v>45</v>
      </c>
      <c r="H216">
        <v>0</v>
      </c>
      <c r="I216">
        <v>66</v>
      </c>
      <c r="J216">
        <v>145</v>
      </c>
      <c r="K216">
        <v>211</v>
      </c>
      <c r="L216">
        <v>231</v>
      </c>
      <c r="M216">
        <v>538</v>
      </c>
      <c r="N216">
        <v>342</v>
      </c>
      <c r="O216">
        <v>4</v>
      </c>
      <c r="P216">
        <v>4</v>
      </c>
      <c r="Q216">
        <v>4</v>
      </c>
      <c r="R216" t="s">
        <v>324</v>
      </c>
      <c r="S216" t="s">
        <v>325</v>
      </c>
      <c r="T216" t="s">
        <v>326</v>
      </c>
      <c r="U216" t="s">
        <v>327</v>
      </c>
      <c r="V216" t="s">
        <v>328</v>
      </c>
      <c r="W216" t="s">
        <v>329</v>
      </c>
      <c r="X216" t="s">
        <v>38</v>
      </c>
      <c r="Y216" t="b">
        <v>0</v>
      </c>
      <c r="Z216" t="s">
        <v>39</v>
      </c>
      <c r="AA216" t="s">
        <v>330</v>
      </c>
      <c r="AB216" t="s">
        <v>41</v>
      </c>
      <c r="AC216">
        <f t="shared" si="3"/>
        <v>4</v>
      </c>
    </row>
    <row r="217" spans="1:29" x14ac:dyDescent="0.3">
      <c r="A217">
        <v>2472017</v>
      </c>
      <c r="B217" t="s">
        <v>384</v>
      </c>
      <c r="C217" t="s">
        <v>29</v>
      </c>
      <c r="D217" t="s">
        <v>385</v>
      </c>
      <c r="E217" t="s">
        <v>386</v>
      </c>
      <c r="F217" s="1">
        <v>46099.622662037043</v>
      </c>
      <c r="G217" t="s">
        <v>138</v>
      </c>
      <c r="H217">
        <v>0</v>
      </c>
      <c r="I217">
        <v>31</v>
      </c>
      <c r="J217">
        <v>308</v>
      </c>
      <c r="K217">
        <v>339</v>
      </c>
      <c r="L217">
        <v>112</v>
      </c>
      <c r="M217">
        <v>1138</v>
      </c>
      <c r="N217">
        <v>389</v>
      </c>
      <c r="O217">
        <v>4</v>
      </c>
      <c r="P217">
        <v>5</v>
      </c>
      <c r="Q217">
        <v>5</v>
      </c>
      <c r="R217" t="s">
        <v>139</v>
      </c>
      <c r="S217" t="s">
        <v>387</v>
      </c>
      <c r="T217" t="s">
        <v>388</v>
      </c>
      <c r="U217" t="s">
        <v>389</v>
      </c>
      <c r="V217" t="s">
        <v>390</v>
      </c>
      <c r="W217" t="s">
        <v>391</v>
      </c>
      <c r="X217" t="s">
        <v>154</v>
      </c>
      <c r="Y217" t="b">
        <v>0</v>
      </c>
      <c r="Z217" t="s">
        <v>39</v>
      </c>
      <c r="AA217" t="s">
        <v>392</v>
      </c>
      <c r="AB217" t="s">
        <v>41</v>
      </c>
      <c r="AC217">
        <f t="shared" si="3"/>
        <v>5</v>
      </c>
    </row>
    <row r="218" spans="1:29" x14ac:dyDescent="0.3">
      <c r="A218">
        <v>2472017</v>
      </c>
      <c r="B218" t="s">
        <v>947</v>
      </c>
      <c r="C218" t="s">
        <v>29</v>
      </c>
      <c r="D218" t="s">
        <v>948</v>
      </c>
      <c r="E218" t="s">
        <v>948</v>
      </c>
      <c r="F218" s="1">
        <v>46127.55746527778</v>
      </c>
      <c r="G218" t="s">
        <v>45</v>
      </c>
      <c r="H218">
        <v>0</v>
      </c>
      <c r="I218">
        <v>45</v>
      </c>
      <c r="J218">
        <v>44</v>
      </c>
      <c r="K218">
        <v>89</v>
      </c>
      <c r="L218">
        <v>145</v>
      </c>
      <c r="M218">
        <v>151</v>
      </c>
      <c r="N218">
        <v>916</v>
      </c>
      <c r="O218">
        <v>4</v>
      </c>
      <c r="P218">
        <v>5</v>
      </c>
      <c r="Q218">
        <v>4</v>
      </c>
      <c r="R218" t="s">
        <v>949</v>
      </c>
      <c r="S218" t="s">
        <v>950</v>
      </c>
      <c r="T218" t="s">
        <v>951</v>
      </c>
      <c r="U218" t="s">
        <v>952</v>
      </c>
      <c r="V218" t="s">
        <v>953</v>
      </c>
      <c r="W218" t="s">
        <v>954</v>
      </c>
      <c r="X218" t="s">
        <v>38</v>
      </c>
      <c r="Y218" t="b">
        <v>0</v>
      </c>
      <c r="Z218" t="s">
        <v>39</v>
      </c>
      <c r="AA218" t="s">
        <v>955</v>
      </c>
      <c r="AB218" t="s">
        <v>41</v>
      </c>
      <c r="AC218">
        <f t="shared" si="3"/>
        <v>4</v>
      </c>
    </row>
    <row r="219" spans="1:29" x14ac:dyDescent="0.3">
      <c r="A219">
        <v>2472017</v>
      </c>
      <c r="B219" t="s">
        <v>1222</v>
      </c>
      <c r="C219" t="s">
        <v>29</v>
      </c>
      <c r="D219" t="s">
        <v>1223</v>
      </c>
      <c r="E219" t="s">
        <v>1224</v>
      </c>
      <c r="F219" s="1">
        <v>46092.653622685182</v>
      </c>
      <c r="G219" t="s">
        <v>31</v>
      </c>
      <c r="H219">
        <v>0</v>
      </c>
      <c r="I219">
        <v>40</v>
      </c>
      <c r="J219">
        <v>896</v>
      </c>
      <c r="K219">
        <v>936</v>
      </c>
      <c r="L219">
        <v>136</v>
      </c>
      <c r="M219">
        <v>3007</v>
      </c>
      <c r="N219">
        <v>1346</v>
      </c>
      <c r="O219">
        <v>4</v>
      </c>
      <c r="P219">
        <v>5</v>
      </c>
      <c r="Q219">
        <v>5</v>
      </c>
      <c r="R219" t="s">
        <v>1225</v>
      </c>
      <c r="S219" t="s">
        <v>1226</v>
      </c>
      <c r="T219" t="s">
        <v>1227</v>
      </c>
      <c r="U219" t="s">
        <v>1228</v>
      </c>
      <c r="V219" t="s">
        <v>1229</v>
      </c>
      <c r="W219" t="s">
        <v>1230</v>
      </c>
      <c r="X219" t="s">
        <v>154</v>
      </c>
      <c r="Y219" t="b">
        <v>0</v>
      </c>
      <c r="Z219" t="s">
        <v>39</v>
      </c>
      <c r="AA219" t="s">
        <v>1231</v>
      </c>
      <c r="AB219" t="s">
        <v>41</v>
      </c>
      <c r="AC219">
        <f t="shared" si="3"/>
        <v>5</v>
      </c>
    </row>
    <row r="220" spans="1:29" x14ac:dyDescent="0.3">
      <c r="A220">
        <v>2472017</v>
      </c>
      <c r="B220" t="s">
        <v>1363</v>
      </c>
      <c r="C220" t="s">
        <v>29</v>
      </c>
      <c r="D220" t="s">
        <v>1364</v>
      </c>
      <c r="E220" t="s">
        <v>1364</v>
      </c>
      <c r="F220" s="1">
        <v>46127.615312499998</v>
      </c>
      <c r="G220" t="s">
        <v>45</v>
      </c>
      <c r="H220">
        <v>0</v>
      </c>
      <c r="I220">
        <v>621</v>
      </c>
      <c r="J220">
        <v>1036</v>
      </c>
      <c r="K220">
        <v>1657</v>
      </c>
      <c r="L220">
        <v>2379</v>
      </c>
      <c r="M220">
        <v>3993</v>
      </c>
      <c r="N220">
        <v>1493</v>
      </c>
      <c r="O220">
        <v>3</v>
      </c>
      <c r="P220">
        <v>4</v>
      </c>
      <c r="Q220">
        <v>4</v>
      </c>
      <c r="R220" t="s">
        <v>1365</v>
      </c>
      <c r="S220" t="s">
        <v>1366</v>
      </c>
      <c r="T220" t="s">
        <v>1367</v>
      </c>
      <c r="U220" t="s">
        <v>1368</v>
      </c>
      <c r="V220" t="s">
        <v>1369</v>
      </c>
      <c r="W220" t="s">
        <v>1370</v>
      </c>
      <c r="X220" t="s">
        <v>38</v>
      </c>
      <c r="Y220" t="b">
        <v>0</v>
      </c>
      <c r="Z220" t="s">
        <v>39</v>
      </c>
      <c r="AA220" t="s">
        <v>1371</v>
      </c>
      <c r="AB220" t="s">
        <v>41</v>
      </c>
      <c r="AC220">
        <f t="shared" si="3"/>
        <v>4</v>
      </c>
    </row>
    <row r="221" spans="1:29" x14ac:dyDescent="0.3">
      <c r="A221">
        <v>2472017</v>
      </c>
      <c r="B221" t="s">
        <v>1381</v>
      </c>
      <c r="C221" t="s">
        <v>29</v>
      </c>
      <c r="D221" t="s">
        <v>1382</v>
      </c>
      <c r="E221" t="s">
        <v>1382</v>
      </c>
      <c r="F221" s="1">
        <v>46127.614155092589</v>
      </c>
      <c r="G221" t="s">
        <v>45</v>
      </c>
      <c r="H221">
        <v>0</v>
      </c>
      <c r="I221">
        <v>157</v>
      </c>
      <c r="J221">
        <v>1046</v>
      </c>
      <c r="K221">
        <v>1203</v>
      </c>
      <c r="L221">
        <v>518</v>
      </c>
      <c r="M221">
        <v>4117</v>
      </c>
      <c r="N221">
        <v>1509</v>
      </c>
      <c r="O221">
        <v>4</v>
      </c>
      <c r="P221">
        <v>4</v>
      </c>
      <c r="Q221">
        <v>4</v>
      </c>
      <c r="R221" t="s">
        <v>1383</v>
      </c>
      <c r="S221" t="s">
        <v>485</v>
      </c>
      <c r="T221" t="s">
        <v>1384</v>
      </c>
      <c r="U221" t="s">
        <v>1385</v>
      </c>
      <c r="V221" t="s">
        <v>1386</v>
      </c>
      <c r="W221" t="s">
        <v>1387</v>
      </c>
      <c r="X221" t="s">
        <v>38</v>
      </c>
      <c r="Y221" t="b">
        <v>0</v>
      </c>
      <c r="Z221" t="s">
        <v>39</v>
      </c>
      <c r="AA221" t="s">
        <v>1388</v>
      </c>
      <c r="AB221" t="s">
        <v>41</v>
      </c>
      <c r="AC221">
        <f t="shared" si="3"/>
        <v>4</v>
      </c>
    </row>
    <row r="222" spans="1:29" x14ac:dyDescent="0.3">
      <c r="A222">
        <v>2472017</v>
      </c>
      <c r="B222" t="s">
        <v>1534</v>
      </c>
      <c r="C222" t="s">
        <v>29</v>
      </c>
      <c r="D222" t="s">
        <v>1535</v>
      </c>
      <c r="E222" t="s">
        <v>1536</v>
      </c>
      <c r="F222" s="1">
        <v>46078.669317129628</v>
      </c>
      <c r="G222" t="s">
        <v>67</v>
      </c>
      <c r="H222">
        <v>0</v>
      </c>
      <c r="I222">
        <v>70</v>
      </c>
      <c r="J222">
        <v>169</v>
      </c>
      <c r="K222">
        <v>239</v>
      </c>
      <c r="L222">
        <v>274</v>
      </c>
      <c r="M222">
        <v>634</v>
      </c>
      <c r="N222">
        <v>1694</v>
      </c>
      <c r="O222">
        <v>4</v>
      </c>
      <c r="P222">
        <v>5</v>
      </c>
      <c r="Q222">
        <v>5</v>
      </c>
      <c r="R222" t="s">
        <v>1537</v>
      </c>
      <c r="S222" t="s">
        <v>523</v>
      </c>
      <c r="T222" t="s">
        <v>1538</v>
      </c>
      <c r="U222" t="s">
        <v>1539</v>
      </c>
      <c r="V222" t="s">
        <v>1540</v>
      </c>
      <c r="W222" t="s">
        <v>1541</v>
      </c>
      <c r="X222" t="s">
        <v>154</v>
      </c>
      <c r="Y222" t="b">
        <v>0</v>
      </c>
      <c r="Z222" t="s">
        <v>39</v>
      </c>
      <c r="AA222" t="s">
        <v>1542</v>
      </c>
      <c r="AB222" t="s">
        <v>41</v>
      </c>
      <c r="AC222">
        <f t="shared" si="3"/>
        <v>5</v>
      </c>
    </row>
    <row r="223" spans="1:29" x14ac:dyDescent="0.3">
      <c r="A223">
        <v>2472017</v>
      </c>
      <c r="B223" t="s">
        <v>1756</v>
      </c>
      <c r="C223" t="s">
        <v>29</v>
      </c>
      <c r="D223" t="s">
        <v>1757</v>
      </c>
      <c r="E223" t="s">
        <v>1758</v>
      </c>
      <c r="F223" s="1">
        <v>46099.674953703703</v>
      </c>
      <c r="G223" t="s">
        <v>138</v>
      </c>
      <c r="H223">
        <v>0</v>
      </c>
      <c r="I223">
        <v>38</v>
      </c>
      <c r="J223">
        <v>10</v>
      </c>
      <c r="K223">
        <v>48</v>
      </c>
      <c r="L223">
        <v>163</v>
      </c>
      <c r="M223">
        <v>45</v>
      </c>
      <c r="N223">
        <v>1958</v>
      </c>
      <c r="O223">
        <v>3</v>
      </c>
      <c r="P223">
        <v>4</v>
      </c>
      <c r="Q223">
        <v>4</v>
      </c>
      <c r="R223" t="s">
        <v>1759</v>
      </c>
      <c r="S223" t="s">
        <v>1760</v>
      </c>
      <c r="T223" t="s">
        <v>1761</v>
      </c>
      <c r="U223" t="s">
        <v>1762</v>
      </c>
      <c r="V223" t="s">
        <v>1763</v>
      </c>
      <c r="W223" t="s">
        <v>1764</v>
      </c>
      <c r="X223" t="s">
        <v>38</v>
      </c>
      <c r="Y223" t="b">
        <v>0</v>
      </c>
      <c r="Z223" t="s">
        <v>39</v>
      </c>
      <c r="AA223" t="s">
        <v>1765</v>
      </c>
      <c r="AB223" t="s">
        <v>41</v>
      </c>
      <c r="AC223">
        <f t="shared" si="3"/>
        <v>4</v>
      </c>
    </row>
    <row r="224" spans="1:29" x14ac:dyDescent="0.3">
      <c r="A224">
        <v>2472017</v>
      </c>
      <c r="B224" t="s">
        <v>1790</v>
      </c>
      <c r="C224" t="s">
        <v>29</v>
      </c>
      <c r="D224" t="s">
        <v>1791</v>
      </c>
      <c r="E224" t="s">
        <v>1792</v>
      </c>
      <c r="F224" s="1">
        <v>46113.627256944441</v>
      </c>
      <c r="G224" t="s">
        <v>304</v>
      </c>
      <c r="H224">
        <v>0</v>
      </c>
      <c r="I224">
        <v>71</v>
      </c>
      <c r="J224">
        <v>126</v>
      </c>
      <c r="K224">
        <v>197</v>
      </c>
      <c r="L224">
        <v>273</v>
      </c>
      <c r="M224">
        <v>358</v>
      </c>
      <c r="N224">
        <v>1999</v>
      </c>
      <c r="O224">
        <v>3</v>
      </c>
      <c r="P224">
        <v>4</v>
      </c>
      <c r="Q224">
        <v>4</v>
      </c>
      <c r="R224" t="s">
        <v>1793</v>
      </c>
      <c r="S224" t="s">
        <v>1794</v>
      </c>
      <c r="T224" t="s">
        <v>1795</v>
      </c>
      <c r="U224" t="s">
        <v>1796</v>
      </c>
      <c r="V224" t="s">
        <v>1797</v>
      </c>
      <c r="W224" t="s">
        <v>1354</v>
      </c>
      <c r="X224" t="s">
        <v>38</v>
      </c>
      <c r="Y224" t="b">
        <v>0</v>
      </c>
      <c r="Z224" t="s">
        <v>39</v>
      </c>
      <c r="AA224" t="s">
        <v>1798</v>
      </c>
      <c r="AB224" t="s">
        <v>41</v>
      </c>
      <c r="AC224">
        <f t="shared" si="3"/>
        <v>4</v>
      </c>
    </row>
    <row r="225" spans="1:29" x14ac:dyDescent="0.3">
      <c r="A225">
        <v>2472017</v>
      </c>
      <c r="B225" t="s">
        <v>1965</v>
      </c>
      <c r="C225" t="s">
        <v>29</v>
      </c>
      <c r="D225" t="s">
        <v>1966</v>
      </c>
      <c r="E225" t="s">
        <v>1966</v>
      </c>
      <c r="F225" s="1">
        <v>46127.6012962963</v>
      </c>
      <c r="G225" t="s">
        <v>45</v>
      </c>
      <c r="H225">
        <v>0</v>
      </c>
      <c r="I225">
        <v>228</v>
      </c>
      <c r="J225">
        <v>1048</v>
      </c>
      <c r="K225">
        <v>1276</v>
      </c>
      <c r="L225">
        <v>696</v>
      </c>
      <c r="M225">
        <v>3730</v>
      </c>
      <c r="N225">
        <v>2243</v>
      </c>
      <c r="O225">
        <v>4</v>
      </c>
      <c r="P225">
        <v>4</v>
      </c>
      <c r="Q225">
        <v>4</v>
      </c>
      <c r="R225" t="s">
        <v>1967</v>
      </c>
      <c r="S225" t="s">
        <v>33</v>
      </c>
      <c r="T225" t="s">
        <v>1968</v>
      </c>
      <c r="U225" t="s">
        <v>1368</v>
      </c>
      <c r="V225" t="s">
        <v>1969</v>
      </c>
      <c r="W225" t="s">
        <v>1970</v>
      </c>
      <c r="X225" t="s">
        <v>38</v>
      </c>
      <c r="Y225" t="b">
        <v>0</v>
      </c>
      <c r="Z225" t="s">
        <v>39</v>
      </c>
      <c r="AA225" t="s">
        <v>1971</v>
      </c>
      <c r="AB225" t="s">
        <v>41</v>
      </c>
      <c r="AC225">
        <f t="shared" si="3"/>
        <v>4</v>
      </c>
    </row>
    <row r="226" spans="1:29" x14ac:dyDescent="0.3">
      <c r="A226">
        <v>2472017</v>
      </c>
      <c r="B226" t="s">
        <v>2184</v>
      </c>
      <c r="C226" t="s">
        <v>29</v>
      </c>
      <c r="D226" t="s">
        <v>2185</v>
      </c>
      <c r="E226" t="s">
        <v>2185</v>
      </c>
      <c r="F226" s="1">
        <v>46127.612083333333</v>
      </c>
      <c r="G226" t="s">
        <v>45</v>
      </c>
      <c r="H226">
        <v>0</v>
      </c>
      <c r="I226">
        <v>494</v>
      </c>
      <c r="J226">
        <v>1050</v>
      </c>
      <c r="K226">
        <v>1544</v>
      </c>
      <c r="L226">
        <v>1706</v>
      </c>
      <c r="M226">
        <v>3821</v>
      </c>
      <c r="N226">
        <v>2528</v>
      </c>
      <c r="O226">
        <v>4</v>
      </c>
      <c r="P226">
        <v>5</v>
      </c>
      <c r="Q226">
        <v>5</v>
      </c>
      <c r="R226" t="s">
        <v>2186</v>
      </c>
      <c r="S226" t="s">
        <v>2187</v>
      </c>
      <c r="T226" t="s">
        <v>2188</v>
      </c>
      <c r="U226" t="s">
        <v>2189</v>
      </c>
      <c r="V226" t="s">
        <v>2190</v>
      </c>
      <c r="W226" t="s">
        <v>2191</v>
      </c>
      <c r="X226" t="s">
        <v>154</v>
      </c>
      <c r="Y226" t="b">
        <v>0</v>
      </c>
      <c r="Z226" t="s">
        <v>39</v>
      </c>
      <c r="AA226" t="s">
        <v>2192</v>
      </c>
      <c r="AB226" t="s">
        <v>41</v>
      </c>
      <c r="AC226">
        <f t="shared" si="3"/>
        <v>5</v>
      </c>
    </row>
    <row r="227" spans="1:29" x14ac:dyDescent="0.3">
      <c r="A227">
        <v>2472017</v>
      </c>
      <c r="B227" t="s">
        <v>2218</v>
      </c>
      <c r="C227" t="s">
        <v>29</v>
      </c>
      <c r="D227" t="s">
        <v>2219</v>
      </c>
      <c r="E227" t="s">
        <v>2219</v>
      </c>
      <c r="F227" s="1">
        <v>46092.663877314822</v>
      </c>
      <c r="G227" t="s">
        <v>31</v>
      </c>
      <c r="H227">
        <v>0</v>
      </c>
      <c r="I227">
        <v>40</v>
      </c>
      <c r="J227">
        <v>168</v>
      </c>
      <c r="K227">
        <v>208</v>
      </c>
      <c r="L227">
        <v>134</v>
      </c>
      <c r="M227">
        <v>579</v>
      </c>
      <c r="N227">
        <v>2542</v>
      </c>
      <c r="O227">
        <v>4</v>
      </c>
      <c r="P227">
        <v>5</v>
      </c>
      <c r="Q227">
        <v>5</v>
      </c>
      <c r="R227" t="s">
        <v>2220</v>
      </c>
      <c r="S227" t="s">
        <v>1040</v>
      </c>
      <c r="T227" t="s">
        <v>2221</v>
      </c>
      <c r="U227" t="s">
        <v>1228</v>
      </c>
      <c r="V227" t="s">
        <v>2222</v>
      </c>
      <c r="W227" t="s">
        <v>2223</v>
      </c>
      <c r="X227" t="s">
        <v>154</v>
      </c>
      <c r="Y227" t="b">
        <v>0</v>
      </c>
      <c r="Z227" t="s">
        <v>39</v>
      </c>
      <c r="AA227" t="s">
        <v>2224</v>
      </c>
      <c r="AB227" t="s">
        <v>41</v>
      </c>
      <c r="AC227">
        <f t="shared" si="3"/>
        <v>5</v>
      </c>
    </row>
    <row r="228" spans="1:29" x14ac:dyDescent="0.3">
      <c r="A228">
        <v>2472017</v>
      </c>
      <c r="B228" t="s">
        <v>2378</v>
      </c>
      <c r="C228" t="s">
        <v>29</v>
      </c>
      <c r="D228" t="s">
        <v>2379</v>
      </c>
      <c r="E228" t="s">
        <v>2380</v>
      </c>
      <c r="F228" s="1">
        <v>46120.671643518523</v>
      </c>
      <c r="G228" t="s">
        <v>56</v>
      </c>
      <c r="H228">
        <v>0</v>
      </c>
      <c r="I228">
        <v>27</v>
      </c>
      <c r="J228">
        <v>18</v>
      </c>
      <c r="K228">
        <v>45</v>
      </c>
      <c r="L228">
        <v>121</v>
      </c>
      <c r="M228">
        <v>61</v>
      </c>
      <c r="N228">
        <v>2706</v>
      </c>
      <c r="O228">
        <v>3</v>
      </c>
      <c r="P228">
        <v>4</v>
      </c>
      <c r="Q228">
        <v>4</v>
      </c>
      <c r="R228" t="s">
        <v>2381</v>
      </c>
      <c r="S228" t="s">
        <v>2382</v>
      </c>
      <c r="T228" t="s">
        <v>2383</v>
      </c>
      <c r="U228" t="s">
        <v>686</v>
      </c>
      <c r="V228" t="s">
        <v>2384</v>
      </c>
      <c r="W228" t="s">
        <v>231</v>
      </c>
      <c r="X228" t="s">
        <v>38</v>
      </c>
      <c r="Y228" t="b">
        <v>0</v>
      </c>
      <c r="Z228" t="s">
        <v>39</v>
      </c>
      <c r="AA228" t="s">
        <v>2385</v>
      </c>
      <c r="AB228" t="s">
        <v>41</v>
      </c>
      <c r="AC228">
        <f t="shared" si="3"/>
        <v>4</v>
      </c>
    </row>
    <row r="229" spans="1:29" x14ac:dyDescent="0.3">
      <c r="A229">
        <v>2472017</v>
      </c>
      <c r="B229" t="s">
        <v>3090</v>
      </c>
      <c r="C229" t="s">
        <v>29</v>
      </c>
      <c r="D229" t="s">
        <v>3091</v>
      </c>
      <c r="E229" t="s">
        <v>3092</v>
      </c>
      <c r="F229" s="1">
        <v>46078.701863425929</v>
      </c>
      <c r="G229" t="s">
        <v>67</v>
      </c>
      <c r="H229">
        <v>0</v>
      </c>
      <c r="I229">
        <v>40</v>
      </c>
      <c r="J229">
        <v>298</v>
      </c>
      <c r="K229">
        <v>338</v>
      </c>
      <c r="L229">
        <v>138</v>
      </c>
      <c r="M229">
        <v>1039</v>
      </c>
      <c r="N229">
        <v>3497</v>
      </c>
      <c r="O229">
        <v>3</v>
      </c>
      <c r="P229">
        <v>4</v>
      </c>
      <c r="Q229">
        <v>4</v>
      </c>
      <c r="R229" t="s">
        <v>1164</v>
      </c>
      <c r="S229" t="s">
        <v>3093</v>
      </c>
      <c r="T229" t="s">
        <v>3094</v>
      </c>
      <c r="U229" t="s">
        <v>3095</v>
      </c>
      <c r="V229" t="s">
        <v>3096</v>
      </c>
      <c r="W229" t="s">
        <v>3097</v>
      </c>
      <c r="X229" t="s">
        <v>38</v>
      </c>
      <c r="Y229" t="b">
        <v>0</v>
      </c>
      <c r="Z229" t="s">
        <v>39</v>
      </c>
      <c r="AA229" t="s">
        <v>3098</v>
      </c>
      <c r="AB229" t="s">
        <v>41</v>
      </c>
      <c r="AC229">
        <f t="shared" si="3"/>
        <v>4</v>
      </c>
    </row>
    <row r="230" spans="1:29" x14ac:dyDescent="0.3">
      <c r="A230">
        <v>2472017</v>
      </c>
      <c r="B230" t="s">
        <v>3427</v>
      </c>
      <c r="C230" t="s">
        <v>29</v>
      </c>
      <c r="D230" t="s">
        <v>3428</v>
      </c>
      <c r="E230" t="s">
        <v>3429</v>
      </c>
      <c r="F230" s="1">
        <v>46099.669189814813</v>
      </c>
      <c r="G230" t="s">
        <v>138</v>
      </c>
      <c r="H230">
        <v>0</v>
      </c>
      <c r="I230">
        <v>39</v>
      </c>
      <c r="J230">
        <v>51</v>
      </c>
      <c r="K230">
        <v>90</v>
      </c>
      <c r="L230">
        <v>147</v>
      </c>
      <c r="M230">
        <v>191</v>
      </c>
      <c r="N230">
        <v>3947</v>
      </c>
      <c r="O230">
        <v>3</v>
      </c>
      <c r="P230">
        <v>4</v>
      </c>
      <c r="Q230">
        <v>3</v>
      </c>
      <c r="R230" t="s">
        <v>3430</v>
      </c>
      <c r="S230" t="s">
        <v>3431</v>
      </c>
      <c r="T230" t="s">
        <v>3432</v>
      </c>
      <c r="U230" t="s">
        <v>3433</v>
      </c>
      <c r="V230" t="s">
        <v>3434</v>
      </c>
      <c r="W230" t="s">
        <v>3435</v>
      </c>
      <c r="X230" t="s">
        <v>38</v>
      </c>
      <c r="Y230" t="b">
        <v>0</v>
      </c>
      <c r="Z230" t="s">
        <v>39</v>
      </c>
      <c r="AA230" t="s">
        <v>3436</v>
      </c>
      <c r="AB230" t="s">
        <v>41</v>
      </c>
      <c r="AC230">
        <f t="shared" si="3"/>
        <v>4</v>
      </c>
    </row>
    <row r="231" spans="1:29" x14ac:dyDescent="0.3">
      <c r="A231">
        <v>2472017</v>
      </c>
      <c r="B231" t="s">
        <v>3479</v>
      </c>
      <c r="C231" t="s">
        <v>29</v>
      </c>
      <c r="D231" t="s">
        <v>3480</v>
      </c>
      <c r="E231" t="s">
        <v>3480</v>
      </c>
      <c r="F231" s="1">
        <v>46092.64770833333</v>
      </c>
      <c r="G231" t="s">
        <v>31</v>
      </c>
      <c r="H231">
        <v>0</v>
      </c>
      <c r="I231">
        <v>37</v>
      </c>
      <c r="J231">
        <v>383</v>
      </c>
      <c r="K231">
        <v>420</v>
      </c>
      <c r="L231">
        <v>147</v>
      </c>
      <c r="M231">
        <v>1316</v>
      </c>
      <c r="N231">
        <v>3995</v>
      </c>
      <c r="O231">
        <v>4</v>
      </c>
      <c r="P231">
        <v>5</v>
      </c>
      <c r="Q231">
        <v>5</v>
      </c>
      <c r="R231" t="s">
        <v>139</v>
      </c>
      <c r="S231" t="s">
        <v>252</v>
      </c>
      <c r="T231" t="s">
        <v>100</v>
      </c>
      <c r="U231" t="s">
        <v>3481</v>
      </c>
      <c r="V231" t="s">
        <v>3482</v>
      </c>
      <c r="W231" t="s">
        <v>3483</v>
      </c>
      <c r="X231" t="s">
        <v>154</v>
      </c>
      <c r="Y231" t="b">
        <v>0</v>
      </c>
      <c r="Z231" t="s">
        <v>39</v>
      </c>
      <c r="AA231" t="s">
        <v>3484</v>
      </c>
      <c r="AB231" t="s">
        <v>41</v>
      </c>
      <c r="AC231">
        <f t="shared" si="3"/>
        <v>5</v>
      </c>
    </row>
    <row r="232" spans="1:29" x14ac:dyDescent="0.3">
      <c r="A232">
        <v>2472017</v>
      </c>
      <c r="B232" t="s">
        <v>3625</v>
      </c>
      <c r="C232" t="s">
        <v>29</v>
      </c>
      <c r="D232" t="s">
        <v>3626</v>
      </c>
      <c r="E232" t="s">
        <v>3627</v>
      </c>
      <c r="F232" s="1">
        <v>46099.625543981478</v>
      </c>
      <c r="G232" t="s">
        <v>138</v>
      </c>
      <c r="H232">
        <v>0</v>
      </c>
      <c r="I232">
        <v>70</v>
      </c>
      <c r="J232">
        <v>59</v>
      </c>
      <c r="K232">
        <v>129</v>
      </c>
      <c r="L232">
        <v>264</v>
      </c>
      <c r="M232">
        <v>230</v>
      </c>
      <c r="N232">
        <v>4158</v>
      </c>
      <c r="O232">
        <v>3</v>
      </c>
      <c r="P232">
        <v>4</v>
      </c>
      <c r="Q232">
        <v>3</v>
      </c>
      <c r="R232" t="s">
        <v>3628</v>
      </c>
      <c r="S232" t="s">
        <v>3629</v>
      </c>
      <c r="T232" t="s">
        <v>832</v>
      </c>
      <c r="U232" t="s">
        <v>3630</v>
      </c>
      <c r="V232" t="s">
        <v>3631</v>
      </c>
      <c r="W232" t="s">
        <v>1169</v>
      </c>
      <c r="X232" t="s">
        <v>38</v>
      </c>
      <c r="Y232" t="b">
        <v>0</v>
      </c>
      <c r="Z232" t="s">
        <v>39</v>
      </c>
      <c r="AA232" t="s">
        <v>3632</v>
      </c>
      <c r="AB232" t="s">
        <v>41</v>
      </c>
      <c r="AC232">
        <f t="shared" si="3"/>
        <v>4</v>
      </c>
    </row>
    <row r="233" spans="1:29" x14ac:dyDescent="0.3">
      <c r="A233">
        <v>2472017</v>
      </c>
      <c r="B233" t="s">
        <v>4189</v>
      </c>
      <c r="C233" t="s">
        <v>29</v>
      </c>
      <c r="D233" t="s">
        <v>4190</v>
      </c>
      <c r="E233" t="s">
        <v>4190</v>
      </c>
      <c r="F233" s="1">
        <v>46085.634641203702</v>
      </c>
      <c r="G233" t="s">
        <v>177</v>
      </c>
      <c r="H233">
        <v>0</v>
      </c>
      <c r="I233">
        <v>39</v>
      </c>
      <c r="J233">
        <v>253</v>
      </c>
      <c r="K233">
        <v>292</v>
      </c>
      <c r="L233">
        <v>165</v>
      </c>
      <c r="M233">
        <v>907</v>
      </c>
      <c r="N233">
        <v>4906</v>
      </c>
      <c r="O233">
        <v>4</v>
      </c>
      <c r="P233">
        <v>5</v>
      </c>
      <c r="Q233">
        <v>5</v>
      </c>
      <c r="R233" t="s">
        <v>4191</v>
      </c>
      <c r="S233" t="s">
        <v>4192</v>
      </c>
      <c r="T233" t="s">
        <v>4193</v>
      </c>
      <c r="U233" t="s">
        <v>1228</v>
      </c>
      <c r="V233" t="s">
        <v>4194</v>
      </c>
      <c r="W233" t="s">
        <v>4195</v>
      </c>
      <c r="X233" t="s">
        <v>154</v>
      </c>
      <c r="Y233" t="b">
        <v>0</v>
      </c>
      <c r="Z233" t="s">
        <v>39</v>
      </c>
      <c r="AA233" t="s">
        <v>4196</v>
      </c>
      <c r="AB233" t="s">
        <v>41</v>
      </c>
      <c r="AC233">
        <f t="shared" si="3"/>
        <v>5</v>
      </c>
    </row>
    <row r="234" spans="1:29" x14ac:dyDescent="0.3">
      <c r="A234">
        <v>2472017</v>
      </c>
      <c r="B234" t="s">
        <v>4210</v>
      </c>
      <c r="C234" t="s">
        <v>29</v>
      </c>
      <c r="D234" t="s">
        <v>4211</v>
      </c>
      <c r="E234" t="s">
        <v>4212</v>
      </c>
      <c r="F234" s="1">
        <v>46092.671967592592</v>
      </c>
      <c r="G234" t="s">
        <v>31</v>
      </c>
      <c r="H234">
        <v>0</v>
      </c>
      <c r="I234">
        <v>66</v>
      </c>
      <c r="J234">
        <v>239</v>
      </c>
      <c r="K234">
        <v>305</v>
      </c>
      <c r="L234">
        <v>183</v>
      </c>
      <c r="M234">
        <v>603</v>
      </c>
      <c r="N234">
        <v>4928</v>
      </c>
      <c r="O234">
        <v>4</v>
      </c>
      <c r="P234">
        <v>5</v>
      </c>
      <c r="Q234">
        <v>5</v>
      </c>
      <c r="R234" t="s">
        <v>4213</v>
      </c>
      <c r="S234" t="s">
        <v>4214</v>
      </c>
      <c r="T234" t="s">
        <v>4215</v>
      </c>
      <c r="U234" t="s">
        <v>1525</v>
      </c>
      <c r="V234" t="s">
        <v>4216</v>
      </c>
      <c r="W234" t="s">
        <v>309</v>
      </c>
      <c r="X234" t="s">
        <v>154</v>
      </c>
      <c r="Y234" t="b">
        <v>0</v>
      </c>
      <c r="Z234" t="s">
        <v>39</v>
      </c>
      <c r="AA234" t="s">
        <v>4217</v>
      </c>
      <c r="AB234" t="s">
        <v>41</v>
      </c>
      <c r="AC234">
        <f t="shared" si="3"/>
        <v>5</v>
      </c>
    </row>
    <row r="235" spans="1:29" x14ac:dyDescent="0.3">
      <c r="A235">
        <v>2472018</v>
      </c>
      <c r="B235" t="s">
        <v>472</v>
      </c>
      <c r="C235" t="s">
        <v>29</v>
      </c>
      <c r="D235" t="s">
        <v>473</v>
      </c>
      <c r="E235" t="s">
        <v>474</v>
      </c>
      <c r="F235" s="1">
        <v>46119.532673611109</v>
      </c>
      <c r="G235" t="s">
        <v>56</v>
      </c>
      <c r="H235">
        <v>0</v>
      </c>
      <c r="I235">
        <v>64</v>
      </c>
      <c r="J235">
        <v>50</v>
      </c>
      <c r="K235">
        <v>114</v>
      </c>
      <c r="L235">
        <v>252</v>
      </c>
      <c r="M235">
        <v>193</v>
      </c>
      <c r="N235">
        <v>443</v>
      </c>
      <c r="O235">
        <v>4</v>
      </c>
      <c r="P235">
        <v>4</v>
      </c>
      <c r="Q235">
        <v>4</v>
      </c>
      <c r="R235" t="s">
        <v>139</v>
      </c>
      <c r="S235" t="s">
        <v>475</v>
      </c>
      <c r="T235" t="s">
        <v>476</v>
      </c>
      <c r="U235" t="s">
        <v>477</v>
      </c>
      <c r="V235" t="s">
        <v>478</v>
      </c>
      <c r="W235" t="s">
        <v>479</v>
      </c>
      <c r="X235" t="s">
        <v>38</v>
      </c>
      <c r="Y235" t="b">
        <v>0</v>
      </c>
      <c r="Z235" t="s">
        <v>39</v>
      </c>
      <c r="AA235" t="s">
        <v>480</v>
      </c>
      <c r="AB235" t="s">
        <v>41</v>
      </c>
      <c r="AC235">
        <f t="shared" si="3"/>
        <v>4</v>
      </c>
    </row>
    <row r="236" spans="1:29" x14ac:dyDescent="0.3">
      <c r="A236">
        <v>2472018</v>
      </c>
      <c r="B236" t="s">
        <v>786</v>
      </c>
      <c r="C236" t="s">
        <v>29</v>
      </c>
      <c r="D236" t="s">
        <v>787</v>
      </c>
      <c r="E236" t="s">
        <v>788</v>
      </c>
      <c r="F236" s="1">
        <v>46126.444479166668</v>
      </c>
      <c r="G236" t="s">
        <v>45</v>
      </c>
      <c r="H236">
        <v>0</v>
      </c>
      <c r="I236">
        <v>107</v>
      </c>
      <c r="J236">
        <v>128</v>
      </c>
      <c r="K236">
        <v>235</v>
      </c>
      <c r="L236">
        <v>319</v>
      </c>
      <c r="M236">
        <v>415</v>
      </c>
      <c r="N236">
        <v>797</v>
      </c>
      <c r="O236">
        <v>4</v>
      </c>
      <c r="P236">
        <v>5</v>
      </c>
      <c r="Q236">
        <v>5</v>
      </c>
      <c r="R236" t="s">
        <v>216</v>
      </c>
      <c r="S236" t="s">
        <v>252</v>
      </c>
      <c r="T236" t="s">
        <v>789</v>
      </c>
      <c r="U236" t="s">
        <v>125</v>
      </c>
      <c r="V236" t="s">
        <v>790</v>
      </c>
      <c r="W236" t="s">
        <v>791</v>
      </c>
      <c r="X236" t="s">
        <v>154</v>
      </c>
      <c r="Y236" t="b">
        <v>0</v>
      </c>
      <c r="Z236" t="s">
        <v>39</v>
      </c>
      <c r="AA236" t="s">
        <v>792</v>
      </c>
      <c r="AB236" t="s">
        <v>41</v>
      </c>
      <c r="AC236">
        <f t="shared" si="3"/>
        <v>5</v>
      </c>
    </row>
    <row r="237" spans="1:29" x14ac:dyDescent="0.3">
      <c r="A237">
        <v>2472018</v>
      </c>
      <c r="B237" t="s">
        <v>939</v>
      </c>
      <c r="C237" t="s">
        <v>29</v>
      </c>
      <c r="D237" t="s">
        <v>940</v>
      </c>
      <c r="E237" t="s">
        <v>940</v>
      </c>
      <c r="F237" s="1">
        <v>46098.557650462957</v>
      </c>
      <c r="G237" t="s">
        <v>138</v>
      </c>
      <c r="H237">
        <v>0</v>
      </c>
      <c r="I237">
        <v>84</v>
      </c>
      <c r="J237">
        <v>344</v>
      </c>
      <c r="K237">
        <v>428</v>
      </c>
      <c r="L237">
        <v>230</v>
      </c>
      <c r="M237">
        <v>1186</v>
      </c>
      <c r="N237">
        <v>912</v>
      </c>
      <c r="O237">
        <v>4</v>
      </c>
      <c r="P237">
        <v>5</v>
      </c>
      <c r="Q237">
        <v>4</v>
      </c>
      <c r="R237" t="s">
        <v>941</v>
      </c>
      <c r="S237" t="s">
        <v>252</v>
      </c>
      <c r="T237" t="s">
        <v>942</v>
      </c>
      <c r="U237" t="s">
        <v>943</v>
      </c>
      <c r="V237" t="s">
        <v>944</v>
      </c>
      <c r="W237" t="s">
        <v>945</v>
      </c>
      <c r="X237" t="s">
        <v>38</v>
      </c>
      <c r="Y237" t="b">
        <v>0</v>
      </c>
      <c r="Z237" t="s">
        <v>39</v>
      </c>
      <c r="AA237" t="s">
        <v>946</v>
      </c>
      <c r="AB237" t="s">
        <v>41</v>
      </c>
      <c r="AC237">
        <f t="shared" si="3"/>
        <v>4</v>
      </c>
    </row>
    <row r="238" spans="1:29" x14ac:dyDescent="0.3">
      <c r="A238">
        <v>2472018</v>
      </c>
      <c r="B238" t="s">
        <v>1448</v>
      </c>
      <c r="C238" t="s">
        <v>29</v>
      </c>
      <c r="D238" t="s">
        <v>1449</v>
      </c>
      <c r="E238" t="s">
        <v>1449</v>
      </c>
      <c r="F238" s="1">
        <v>46098.523946759262</v>
      </c>
      <c r="G238" t="s">
        <v>138</v>
      </c>
      <c r="H238">
        <v>0</v>
      </c>
      <c r="I238">
        <v>110</v>
      </c>
      <c r="J238">
        <v>134</v>
      </c>
      <c r="K238">
        <v>244</v>
      </c>
      <c r="L238">
        <v>382</v>
      </c>
      <c r="M238">
        <v>531</v>
      </c>
      <c r="N238">
        <v>1567</v>
      </c>
      <c r="O238">
        <v>3</v>
      </c>
      <c r="P238">
        <v>4</v>
      </c>
      <c r="Q238">
        <v>3</v>
      </c>
      <c r="R238" t="s">
        <v>457</v>
      </c>
      <c r="S238" t="s">
        <v>1450</v>
      </c>
      <c r="T238" t="s">
        <v>1451</v>
      </c>
      <c r="U238" t="s">
        <v>1452</v>
      </c>
      <c r="V238" t="s">
        <v>1453</v>
      </c>
      <c r="W238" t="s">
        <v>1454</v>
      </c>
      <c r="X238" t="s">
        <v>38</v>
      </c>
      <c r="Y238" t="b">
        <v>0</v>
      </c>
      <c r="Z238" t="s">
        <v>39</v>
      </c>
      <c r="AA238" t="s">
        <v>1455</v>
      </c>
      <c r="AB238" t="s">
        <v>41</v>
      </c>
      <c r="AC238">
        <f t="shared" si="3"/>
        <v>4</v>
      </c>
    </row>
    <row r="239" spans="1:29" x14ac:dyDescent="0.3">
      <c r="A239">
        <v>2472018</v>
      </c>
      <c r="B239" t="s">
        <v>1502</v>
      </c>
      <c r="C239" t="s">
        <v>29</v>
      </c>
      <c r="D239" t="s">
        <v>1503</v>
      </c>
      <c r="E239" t="s">
        <v>1504</v>
      </c>
      <c r="F239" s="1">
        <v>46084.484722222223</v>
      </c>
      <c r="G239" t="s">
        <v>177</v>
      </c>
      <c r="H239">
        <v>0</v>
      </c>
      <c r="I239">
        <v>29</v>
      </c>
      <c r="J239">
        <v>123</v>
      </c>
      <c r="K239">
        <v>152</v>
      </c>
      <c r="L239">
        <v>126</v>
      </c>
      <c r="M239">
        <v>444</v>
      </c>
      <c r="N239">
        <v>1639</v>
      </c>
      <c r="O239">
        <v>4</v>
      </c>
      <c r="P239">
        <v>5</v>
      </c>
      <c r="Q239">
        <v>5</v>
      </c>
      <c r="R239" t="s">
        <v>1505</v>
      </c>
      <c r="S239" t="s">
        <v>1506</v>
      </c>
      <c r="T239" t="s">
        <v>1507</v>
      </c>
      <c r="U239" t="s">
        <v>1508</v>
      </c>
      <c r="V239" t="s">
        <v>1509</v>
      </c>
      <c r="W239" t="s">
        <v>1510</v>
      </c>
      <c r="X239" t="s">
        <v>154</v>
      </c>
      <c r="Y239" t="b">
        <v>0</v>
      </c>
      <c r="Z239" t="s">
        <v>39</v>
      </c>
      <c r="AA239" t="s">
        <v>1511</v>
      </c>
      <c r="AB239" t="s">
        <v>41</v>
      </c>
      <c r="AC239">
        <f t="shared" si="3"/>
        <v>5</v>
      </c>
    </row>
    <row r="240" spans="1:29" x14ac:dyDescent="0.3">
      <c r="A240">
        <v>2472018</v>
      </c>
      <c r="B240" t="s">
        <v>1529</v>
      </c>
      <c r="C240" t="s">
        <v>29</v>
      </c>
      <c r="D240" t="s">
        <v>1530</v>
      </c>
      <c r="E240" t="s">
        <v>1530</v>
      </c>
      <c r="F240" s="1">
        <v>46098.547569444447</v>
      </c>
      <c r="G240" t="s">
        <v>138</v>
      </c>
      <c r="H240">
        <v>0</v>
      </c>
      <c r="I240">
        <v>237</v>
      </c>
      <c r="J240">
        <v>402</v>
      </c>
      <c r="K240">
        <v>639</v>
      </c>
      <c r="L240">
        <v>953</v>
      </c>
      <c r="M240">
        <v>1386</v>
      </c>
      <c r="N240">
        <v>1689</v>
      </c>
      <c r="O240">
        <v>4</v>
      </c>
      <c r="P240">
        <v>5</v>
      </c>
      <c r="Q240">
        <v>5</v>
      </c>
      <c r="R240" t="s">
        <v>216</v>
      </c>
      <c r="S240" t="s">
        <v>387</v>
      </c>
      <c r="T240" t="s">
        <v>1531</v>
      </c>
      <c r="U240" t="s">
        <v>200</v>
      </c>
      <c r="V240" t="s">
        <v>1532</v>
      </c>
      <c r="W240" t="s">
        <v>247</v>
      </c>
      <c r="X240" t="s">
        <v>154</v>
      </c>
      <c r="Y240" t="b">
        <v>0</v>
      </c>
      <c r="Z240" t="s">
        <v>39</v>
      </c>
      <c r="AA240" t="s">
        <v>1533</v>
      </c>
      <c r="AB240" t="s">
        <v>41</v>
      </c>
      <c r="AC240">
        <f t="shared" si="3"/>
        <v>5</v>
      </c>
    </row>
    <row r="241" spans="1:29" x14ac:dyDescent="0.3">
      <c r="A241">
        <v>2472018</v>
      </c>
      <c r="B241" t="s">
        <v>1799</v>
      </c>
      <c r="C241" t="s">
        <v>29</v>
      </c>
      <c r="D241" t="s">
        <v>1800</v>
      </c>
      <c r="E241" t="s">
        <v>1801</v>
      </c>
      <c r="F241" s="1">
        <v>46091.512025462973</v>
      </c>
      <c r="G241" t="s">
        <v>31</v>
      </c>
      <c r="H241">
        <v>0</v>
      </c>
      <c r="I241">
        <v>80</v>
      </c>
      <c r="J241">
        <v>75</v>
      </c>
      <c r="K241">
        <v>155</v>
      </c>
      <c r="L241">
        <v>227</v>
      </c>
      <c r="M241">
        <v>255</v>
      </c>
      <c r="N241">
        <v>2004</v>
      </c>
      <c r="O241">
        <v>4</v>
      </c>
      <c r="P241">
        <v>4</v>
      </c>
      <c r="Q241">
        <v>4</v>
      </c>
      <c r="R241" t="s">
        <v>1802</v>
      </c>
      <c r="S241" t="s">
        <v>252</v>
      </c>
      <c r="T241" t="s">
        <v>1803</v>
      </c>
      <c r="U241" t="s">
        <v>181</v>
      </c>
      <c r="V241" t="s">
        <v>1804</v>
      </c>
      <c r="W241" t="s">
        <v>183</v>
      </c>
      <c r="X241" t="s">
        <v>38</v>
      </c>
      <c r="Y241" t="b">
        <v>0</v>
      </c>
      <c r="Z241" t="s">
        <v>39</v>
      </c>
      <c r="AA241" t="s">
        <v>1805</v>
      </c>
      <c r="AB241" t="s">
        <v>41</v>
      </c>
      <c r="AC241">
        <f t="shared" si="3"/>
        <v>4</v>
      </c>
    </row>
    <row r="242" spans="1:29" x14ac:dyDescent="0.3">
      <c r="A242">
        <v>2472018</v>
      </c>
      <c r="B242" t="s">
        <v>1837</v>
      </c>
      <c r="C242" t="s">
        <v>29</v>
      </c>
      <c r="D242" t="s">
        <v>1838</v>
      </c>
      <c r="E242" t="s">
        <v>1839</v>
      </c>
      <c r="F242" s="1">
        <v>46119.523240740738</v>
      </c>
      <c r="G242" t="s">
        <v>56</v>
      </c>
      <c r="H242">
        <v>0</v>
      </c>
      <c r="I242">
        <v>327</v>
      </c>
      <c r="J242">
        <v>175</v>
      </c>
      <c r="K242">
        <v>502</v>
      </c>
      <c r="L242">
        <v>1064</v>
      </c>
      <c r="M242">
        <v>612</v>
      </c>
      <c r="N242">
        <v>2035</v>
      </c>
      <c r="O242">
        <v>4</v>
      </c>
      <c r="P242">
        <v>5</v>
      </c>
      <c r="Q242">
        <v>4</v>
      </c>
      <c r="R242" t="s">
        <v>1130</v>
      </c>
      <c r="S242" t="s">
        <v>1840</v>
      </c>
      <c r="T242" t="s">
        <v>1841</v>
      </c>
      <c r="U242" t="s">
        <v>1842</v>
      </c>
      <c r="V242" t="s">
        <v>1843</v>
      </c>
      <c r="W242" t="s">
        <v>1844</v>
      </c>
      <c r="X242" t="s">
        <v>38</v>
      </c>
      <c r="Y242" t="b">
        <v>0</v>
      </c>
      <c r="Z242" t="s">
        <v>39</v>
      </c>
      <c r="AA242" t="s">
        <v>1845</v>
      </c>
      <c r="AB242" t="s">
        <v>41</v>
      </c>
      <c r="AC242">
        <f t="shared" si="3"/>
        <v>4</v>
      </c>
    </row>
    <row r="243" spans="1:29" x14ac:dyDescent="0.3">
      <c r="A243">
        <v>2472018</v>
      </c>
      <c r="B243" t="s">
        <v>1932</v>
      </c>
      <c r="C243" t="s">
        <v>29</v>
      </c>
      <c r="D243" t="s">
        <v>1933</v>
      </c>
      <c r="E243" t="s">
        <v>1933</v>
      </c>
      <c r="F243" s="1">
        <v>46119.533900462957</v>
      </c>
      <c r="G243" t="s">
        <v>56</v>
      </c>
      <c r="H243">
        <v>0</v>
      </c>
      <c r="I243">
        <v>400</v>
      </c>
      <c r="J243">
        <v>326</v>
      </c>
      <c r="K243">
        <v>726</v>
      </c>
      <c r="L243">
        <v>996</v>
      </c>
      <c r="M243">
        <v>1164</v>
      </c>
      <c r="N243">
        <v>2201</v>
      </c>
      <c r="O243">
        <v>4</v>
      </c>
      <c r="P243">
        <v>5</v>
      </c>
      <c r="Q243">
        <v>4</v>
      </c>
      <c r="R243" t="s">
        <v>1934</v>
      </c>
      <c r="S243" t="s">
        <v>1935</v>
      </c>
      <c r="T243" t="s">
        <v>1936</v>
      </c>
      <c r="U243" t="s">
        <v>1937</v>
      </c>
      <c r="V243" t="s">
        <v>1938</v>
      </c>
      <c r="W243" t="s">
        <v>1939</v>
      </c>
      <c r="X243" t="s">
        <v>38</v>
      </c>
      <c r="Y243" t="b">
        <v>0</v>
      </c>
      <c r="Z243" t="s">
        <v>39</v>
      </c>
      <c r="AA243" t="s">
        <v>1940</v>
      </c>
      <c r="AB243" t="s">
        <v>41</v>
      </c>
      <c r="AC243">
        <f t="shared" si="3"/>
        <v>4</v>
      </c>
    </row>
    <row r="244" spans="1:29" x14ac:dyDescent="0.3">
      <c r="A244">
        <v>2472018</v>
      </c>
      <c r="B244" t="s">
        <v>3337</v>
      </c>
      <c r="C244" t="s">
        <v>29</v>
      </c>
      <c r="D244" t="s">
        <v>3338</v>
      </c>
      <c r="E244" t="s">
        <v>3339</v>
      </c>
      <c r="F244" s="1">
        <v>46084.489641203712</v>
      </c>
      <c r="G244" t="s">
        <v>177</v>
      </c>
      <c r="H244">
        <v>0</v>
      </c>
      <c r="I244">
        <v>25</v>
      </c>
      <c r="J244">
        <v>322</v>
      </c>
      <c r="K244">
        <v>347</v>
      </c>
      <c r="L244">
        <v>117</v>
      </c>
      <c r="M244">
        <v>1215</v>
      </c>
      <c r="N244">
        <v>3821</v>
      </c>
      <c r="O244">
        <v>3</v>
      </c>
      <c r="P244">
        <v>4</v>
      </c>
      <c r="Q244">
        <v>3</v>
      </c>
      <c r="R244" t="s">
        <v>1164</v>
      </c>
      <c r="S244" t="s">
        <v>3340</v>
      </c>
      <c r="T244" t="s">
        <v>3341</v>
      </c>
      <c r="U244" t="s">
        <v>3342</v>
      </c>
      <c r="V244" t="s">
        <v>3343</v>
      </c>
      <c r="W244" t="s">
        <v>122</v>
      </c>
      <c r="X244" t="s">
        <v>38</v>
      </c>
      <c r="Y244" t="b">
        <v>0</v>
      </c>
      <c r="Z244" t="s">
        <v>39</v>
      </c>
      <c r="AA244" t="s">
        <v>3344</v>
      </c>
      <c r="AB244" t="s">
        <v>41</v>
      </c>
      <c r="AC244">
        <f t="shared" si="3"/>
        <v>4</v>
      </c>
    </row>
    <row r="245" spans="1:29" x14ac:dyDescent="0.3">
      <c r="A245">
        <v>2472018</v>
      </c>
      <c r="B245" t="s">
        <v>3345</v>
      </c>
      <c r="C245" t="s">
        <v>29</v>
      </c>
      <c r="D245" t="s">
        <v>3346</v>
      </c>
      <c r="E245" t="s">
        <v>3347</v>
      </c>
      <c r="F245" s="1">
        <v>46112.474444444437</v>
      </c>
      <c r="G245" t="s">
        <v>304</v>
      </c>
      <c r="H245">
        <v>0</v>
      </c>
      <c r="I245">
        <v>195</v>
      </c>
      <c r="J245">
        <v>165</v>
      </c>
      <c r="K245">
        <v>360</v>
      </c>
      <c r="L245">
        <v>596</v>
      </c>
      <c r="M245">
        <v>514</v>
      </c>
      <c r="N245">
        <v>3822</v>
      </c>
      <c r="O245">
        <v>4</v>
      </c>
      <c r="P245">
        <v>5</v>
      </c>
      <c r="Q245">
        <v>5</v>
      </c>
      <c r="R245" t="s">
        <v>32</v>
      </c>
      <c r="S245" t="s">
        <v>3348</v>
      </c>
      <c r="T245" t="s">
        <v>3349</v>
      </c>
      <c r="U245" t="s">
        <v>125</v>
      </c>
      <c r="V245" t="s">
        <v>3350</v>
      </c>
      <c r="W245" t="s">
        <v>1712</v>
      </c>
      <c r="X245" t="s">
        <v>154</v>
      </c>
      <c r="Y245" t="b">
        <v>0</v>
      </c>
      <c r="Z245" t="s">
        <v>39</v>
      </c>
      <c r="AA245" t="s">
        <v>3351</v>
      </c>
      <c r="AB245" t="s">
        <v>41</v>
      </c>
      <c r="AC245">
        <f t="shared" si="3"/>
        <v>5</v>
      </c>
    </row>
    <row r="246" spans="1:29" x14ac:dyDescent="0.3">
      <c r="A246">
        <v>2472018</v>
      </c>
      <c r="B246" t="s">
        <v>3508</v>
      </c>
      <c r="C246" t="s">
        <v>29</v>
      </c>
      <c r="D246" t="s">
        <v>3509</v>
      </c>
      <c r="E246" t="s">
        <v>3509</v>
      </c>
      <c r="F246" s="1">
        <v>46126.44023148148</v>
      </c>
      <c r="G246" t="s">
        <v>45</v>
      </c>
      <c r="H246">
        <v>0</v>
      </c>
      <c r="I246">
        <v>63</v>
      </c>
      <c r="J246">
        <v>86</v>
      </c>
      <c r="K246">
        <v>149</v>
      </c>
      <c r="L246">
        <v>231</v>
      </c>
      <c r="M246">
        <v>323</v>
      </c>
      <c r="N246">
        <v>4012</v>
      </c>
      <c r="O246">
        <v>4</v>
      </c>
      <c r="P246">
        <v>4</v>
      </c>
      <c r="Q246">
        <v>4</v>
      </c>
      <c r="R246" t="s">
        <v>216</v>
      </c>
      <c r="S246" t="s">
        <v>252</v>
      </c>
      <c r="T246" t="s">
        <v>3510</v>
      </c>
      <c r="U246" t="s">
        <v>3511</v>
      </c>
      <c r="V246" t="s">
        <v>3512</v>
      </c>
      <c r="W246" t="s">
        <v>3513</v>
      </c>
      <c r="X246" t="s">
        <v>38</v>
      </c>
      <c r="Y246" t="b">
        <v>0</v>
      </c>
      <c r="Z246" t="s">
        <v>39</v>
      </c>
      <c r="AA246" t="s">
        <v>3514</v>
      </c>
      <c r="AB246" t="s">
        <v>41</v>
      </c>
      <c r="AC246">
        <f t="shared" si="3"/>
        <v>4</v>
      </c>
    </row>
    <row r="247" spans="1:29" x14ac:dyDescent="0.3">
      <c r="A247">
        <v>2472018</v>
      </c>
      <c r="B247" t="s">
        <v>3750</v>
      </c>
      <c r="C247" t="s">
        <v>29</v>
      </c>
      <c r="D247" t="s">
        <v>3751</v>
      </c>
      <c r="E247" t="s">
        <v>3752</v>
      </c>
      <c r="F247" s="1">
        <v>46077.517766203702</v>
      </c>
      <c r="G247" t="s">
        <v>67</v>
      </c>
      <c r="H247">
        <v>0</v>
      </c>
      <c r="I247">
        <v>44</v>
      </c>
      <c r="J247">
        <v>492</v>
      </c>
      <c r="K247">
        <v>536</v>
      </c>
      <c r="L247">
        <v>201</v>
      </c>
      <c r="M247">
        <v>1701</v>
      </c>
      <c r="N247">
        <v>4306</v>
      </c>
      <c r="O247">
        <v>4</v>
      </c>
      <c r="P247">
        <v>5</v>
      </c>
      <c r="Q247">
        <v>4</v>
      </c>
      <c r="R247" t="s">
        <v>3753</v>
      </c>
      <c r="S247" t="s">
        <v>3754</v>
      </c>
      <c r="T247" t="s">
        <v>3755</v>
      </c>
      <c r="U247" t="s">
        <v>3756</v>
      </c>
      <c r="V247" t="s">
        <v>3757</v>
      </c>
      <c r="W247" t="s">
        <v>3758</v>
      </c>
      <c r="X247" t="s">
        <v>38</v>
      </c>
      <c r="Y247" t="b">
        <v>0</v>
      </c>
      <c r="Z247" t="s">
        <v>39</v>
      </c>
      <c r="AA247" t="s">
        <v>3759</v>
      </c>
      <c r="AB247" t="s">
        <v>41</v>
      </c>
      <c r="AC247">
        <f t="shared" si="3"/>
        <v>4</v>
      </c>
    </row>
    <row r="248" spans="1:29" x14ac:dyDescent="0.3">
      <c r="A248">
        <v>2472018</v>
      </c>
      <c r="B248" t="s">
        <v>3938</v>
      </c>
      <c r="C248" t="s">
        <v>29</v>
      </c>
      <c r="D248" t="s">
        <v>3939</v>
      </c>
      <c r="E248" t="s">
        <v>3939</v>
      </c>
      <c r="F248" s="1">
        <v>46126.412777777783</v>
      </c>
      <c r="G248" t="s">
        <v>45</v>
      </c>
      <c r="H248">
        <v>0</v>
      </c>
      <c r="I248">
        <v>309</v>
      </c>
      <c r="J248">
        <v>140</v>
      </c>
      <c r="K248">
        <v>449</v>
      </c>
      <c r="L248">
        <v>876</v>
      </c>
      <c r="M248">
        <v>421</v>
      </c>
      <c r="N248">
        <v>4577</v>
      </c>
      <c r="O248">
        <v>4</v>
      </c>
      <c r="P248">
        <v>5</v>
      </c>
      <c r="Q248">
        <v>4</v>
      </c>
      <c r="R248" t="s">
        <v>305</v>
      </c>
      <c r="S248" t="s">
        <v>189</v>
      </c>
      <c r="T248" t="s">
        <v>3940</v>
      </c>
      <c r="U248" t="s">
        <v>3941</v>
      </c>
      <c r="V248" t="s">
        <v>3942</v>
      </c>
      <c r="W248" t="s">
        <v>3943</v>
      </c>
      <c r="X248" t="s">
        <v>38</v>
      </c>
      <c r="Y248" t="b">
        <v>0</v>
      </c>
      <c r="Z248" t="s">
        <v>39</v>
      </c>
      <c r="AA248" t="s">
        <v>3944</v>
      </c>
      <c r="AB248" t="s">
        <v>41</v>
      </c>
      <c r="AC248">
        <f t="shared" si="3"/>
        <v>4</v>
      </c>
    </row>
    <row r="249" spans="1:29" x14ac:dyDescent="0.3">
      <c r="A249">
        <v>2472018</v>
      </c>
      <c r="B249" t="s">
        <v>4087</v>
      </c>
      <c r="C249" t="s">
        <v>29</v>
      </c>
      <c r="D249" t="s">
        <v>4088</v>
      </c>
      <c r="E249" t="s">
        <v>4089</v>
      </c>
      <c r="F249" s="1">
        <v>46126.486203703702</v>
      </c>
      <c r="G249" t="s">
        <v>45</v>
      </c>
      <c r="H249">
        <v>0</v>
      </c>
      <c r="I249">
        <v>895</v>
      </c>
      <c r="J249">
        <v>588</v>
      </c>
      <c r="K249">
        <v>1483</v>
      </c>
      <c r="L249">
        <v>2798</v>
      </c>
      <c r="M249">
        <v>1831</v>
      </c>
      <c r="N249">
        <v>4776</v>
      </c>
      <c r="O249">
        <v>4</v>
      </c>
      <c r="P249">
        <v>5</v>
      </c>
      <c r="Q249">
        <v>5</v>
      </c>
      <c r="R249" t="s">
        <v>4090</v>
      </c>
      <c r="S249" t="s">
        <v>4091</v>
      </c>
      <c r="T249" t="s">
        <v>4092</v>
      </c>
      <c r="U249" t="s">
        <v>4093</v>
      </c>
      <c r="V249" t="s">
        <v>4094</v>
      </c>
      <c r="W249" t="s">
        <v>4095</v>
      </c>
      <c r="X249" t="s">
        <v>154</v>
      </c>
      <c r="Y249" t="b">
        <v>0</v>
      </c>
      <c r="Z249" t="s">
        <v>39</v>
      </c>
      <c r="AA249" t="s">
        <v>4096</v>
      </c>
      <c r="AB249" t="s">
        <v>41</v>
      </c>
      <c r="AC249">
        <f t="shared" si="3"/>
        <v>5</v>
      </c>
    </row>
    <row r="250" spans="1:29" x14ac:dyDescent="0.3">
      <c r="A250">
        <v>2472019</v>
      </c>
      <c r="B250" t="s">
        <v>1113</v>
      </c>
      <c r="C250" t="s">
        <v>29</v>
      </c>
      <c r="D250" t="s">
        <v>983</v>
      </c>
      <c r="E250" t="s">
        <v>984</v>
      </c>
      <c r="F250" s="1">
        <v>46085.665208333332</v>
      </c>
      <c r="G250" t="s">
        <v>177</v>
      </c>
      <c r="H250">
        <v>0</v>
      </c>
      <c r="I250">
        <v>189</v>
      </c>
      <c r="J250">
        <v>19</v>
      </c>
      <c r="K250">
        <v>208</v>
      </c>
      <c r="L250">
        <v>728</v>
      </c>
      <c r="M250">
        <v>79</v>
      </c>
      <c r="N250">
        <v>1123</v>
      </c>
      <c r="O250">
        <v>4</v>
      </c>
      <c r="P250">
        <v>5</v>
      </c>
      <c r="Q250">
        <v>4</v>
      </c>
      <c r="R250" t="s">
        <v>1114</v>
      </c>
      <c r="S250" t="s">
        <v>149</v>
      </c>
      <c r="T250" t="s">
        <v>986</v>
      </c>
      <c r="U250" t="s">
        <v>1115</v>
      </c>
      <c r="V250" t="s">
        <v>1116</v>
      </c>
      <c r="W250" t="s">
        <v>1117</v>
      </c>
      <c r="X250" t="s">
        <v>38</v>
      </c>
      <c r="Y250" t="b">
        <v>0</v>
      </c>
      <c r="Z250" t="s">
        <v>39</v>
      </c>
      <c r="AA250" t="s">
        <v>1118</v>
      </c>
      <c r="AB250" t="s">
        <v>41</v>
      </c>
      <c r="AC250">
        <f t="shared" si="3"/>
        <v>4</v>
      </c>
    </row>
    <row r="251" spans="1:29" x14ac:dyDescent="0.3">
      <c r="A251">
        <v>2472019</v>
      </c>
      <c r="B251" t="s">
        <v>1302</v>
      </c>
      <c r="C251" t="s">
        <v>29</v>
      </c>
      <c r="D251" t="s">
        <v>1303</v>
      </c>
      <c r="E251" t="s">
        <v>1304</v>
      </c>
      <c r="F251" s="1">
        <v>46085.638784722221</v>
      </c>
      <c r="G251" t="s">
        <v>177</v>
      </c>
      <c r="H251">
        <v>0</v>
      </c>
      <c r="I251">
        <v>123</v>
      </c>
      <c r="J251">
        <v>105</v>
      </c>
      <c r="K251">
        <v>228</v>
      </c>
      <c r="L251">
        <v>555</v>
      </c>
      <c r="M251">
        <v>348</v>
      </c>
      <c r="N251">
        <v>1458</v>
      </c>
      <c r="O251">
        <v>4</v>
      </c>
      <c r="P251">
        <v>5</v>
      </c>
      <c r="Q251">
        <v>5</v>
      </c>
      <c r="R251" t="s">
        <v>1305</v>
      </c>
      <c r="S251" t="s">
        <v>1306</v>
      </c>
      <c r="T251" t="s">
        <v>1307</v>
      </c>
      <c r="U251" t="s">
        <v>125</v>
      </c>
      <c r="V251" t="s">
        <v>1308</v>
      </c>
      <c r="W251" t="s">
        <v>1309</v>
      </c>
      <c r="X251" t="s">
        <v>154</v>
      </c>
      <c r="Y251" t="b">
        <v>0</v>
      </c>
      <c r="Z251" t="s">
        <v>39</v>
      </c>
      <c r="AA251" t="s">
        <v>1310</v>
      </c>
      <c r="AB251" t="s">
        <v>41</v>
      </c>
      <c r="AC251">
        <f t="shared" si="3"/>
        <v>5</v>
      </c>
    </row>
    <row r="252" spans="1:29" x14ac:dyDescent="0.3">
      <c r="A252">
        <v>2472019</v>
      </c>
      <c r="B252" t="s">
        <v>1766</v>
      </c>
      <c r="C252" t="s">
        <v>29</v>
      </c>
      <c r="D252" t="s">
        <v>1767</v>
      </c>
      <c r="E252" t="s">
        <v>1767</v>
      </c>
      <c r="F252" s="1">
        <v>46092.670474537037</v>
      </c>
      <c r="G252" t="s">
        <v>31</v>
      </c>
      <c r="H252">
        <v>0</v>
      </c>
      <c r="I252">
        <v>537</v>
      </c>
      <c r="J252">
        <v>105</v>
      </c>
      <c r="K252">
        <v>642</v>
      </c>
      <c r="L252">
        <v>1318</v>
      </c>
      <c r="M252">
        <v>393</v>
      </c>
      <c r="N252">
        <v>1972</v>
      </c>
      <c r="O252">
        <v>4</v>
      </c>
      <c r="P252">
        <v>5</v>
      </c>
      <c r="Q252">
        <v>4</v>
      </c>
      <c r="R252" t="s">
        <v>1768</v>
      </c>
      <c r="S252" t="s">
        <v>387</v>
      </c>
      <c r="T252" t="s">
        <v>1769</v>
      </c>
      <c r="U252" t="s">
        <v>1770</v>
      </c>
      <c r="V252" t="s">
        <v>1771</v>
      </c>
      <c r="W252" t="s">
        <v>1772</v>
      </c>
      <c r="X252" t="s">
        <v>38</v>
      </c>
      <c r="Y252" t="b">
        <v>0</v>
      </c>
      <c r="Z252" t="s">
        <v>39</v>
      </c>
      <c r="AA252" t="s">
        <v>1773</v>
      </c>
      <c r="AB252" t="s">
        <v>41</v>
      </c>
      <c r="AC252">
        <f t="shared" si="3"/>
        <v>4</v>
      </c>
    </row>
    <row r="253" spans="1:29" x14ac:dyDescent="0.3">
      <c r="A253">
        <v>2472019</v>
      </c>
      <c r="B253" t="s">
        <v>2138</v>
      </c>
      <c r="C253" t="s">
        <v>29</v>
      </c>
      <c r="D253" t="s">
        <v>2139</v>
      </c>
      <c r="E253" t="s">
        <v>2139</v>
      </c>
      <c r="F253" s="1">
        <v>46120.671817129631</v>
      </c>
      <c r="G253" t="s">
        <v>56</v>
      </c>
      <c r="H253">
        <v>0</v>
      </c>
      <c r="I253">
        <v>43</v>
      </c>
      <c r="J253">
        <v>165</v>
      </c>
      <c r="K253">
        <v>208</v>
      </c>
      <c r="L253">
        <v>204</v>
      </c>
      <c r="M253">
        <v>819</v>
      </c>
      <c r="N253">
        <v>2456</v>
      </c>
      <c r="O253">
        <v>4</v>
      </c>
      <c r="P253">
        <v>4</v>
      </c>
      <c r="Q253">
        <v>4</v>
      </c>
      <c r="R253" t="s">
        <v>1934</v>
      </c>
      <c r="S253" t="s">
        <v>2140</v>
      </c>
      <c r="T253" t="s">
        <v>2141</v>
      </c>
      <c r="U253" t="s">
        <v>2142</v>
      </c>
      <c r="V253" t="s">
        <v>2143</v>
      </c>
      <c r="W253" t="s">
        <v>2144</v>
      </c>
      <c r="X253" t="s">
        <v>38</v>
      </c>
      <c r="Y253" t="b">
        <v>0</v>
      </c>
      <c r="Z253" t="s">
        <v>39</v>
      </c>
      <c r="AA253" t="s">
        <v>2145</v>
      </c>
      <c r="AB253" t="s">
        <v>41</v>
      </c>
      <c r="AC253">
        <f t="shared" si="3"/>
        <v>4</v>
      </c>
    </row>
    <row r="254" spans="1:29" x14ac:dyDescent="0.3">
      <c r="A254">
        <v>2472019</v>
      </c>
      <c r="B254" t="s">
        <v>2686</v>
      </c>
      <c r="C254" t="s">
        <v>29</v>
      </c>
      <c r="D254" t="s">
        <v>2687</v>
      </c>
      <c r="E254" t="s">
        <v>2687</v>
      </c>
      <c r="F254" s="1">
        <v>46078.663657407407</v>
      </c>
      <c r="G254" t="s">
        <v>67</v>
      </c>
      <c r="H254">
        <v>0</v>
      </c>
      <c r="I254">
        <v>161</v>
      </c>
      <c r="J254">
        <v>820</v>
      </c>
      <c r="K254">
        <v>981</v>
      </c>
      <c r="L254">
        <v>734</v>
      </c>
      <c r="M254">
        <v>3519</v>
      </c>
      <c r="N254">
        <v>3021</v>
      </c>
      <c r="O254">
        <v>4</v>
      </c>
      <c r="P254">
        <v>5</v>
      </c>
      <c r="Q254">
        <v>5</v>
      </c>
      <c r="R254" t="s">
        <v>2688</v>
      </c>
      <c r="S254" t="s">
        <v>2689</v>
      </c>
      <c r="T254" t="s">
        <v>2690</v>
      </c>
      <c r="U254" t="s">
        <v>2691</v>
      </c>
      <c r="V254" t="s">
        <v>2692</v>
      </c>
      <c r="W254" t="s">
        <v>2693</v>
      </c>
      <c r="X254" t="s">
        <v>154</v>
      </c>
      <c r="Y254" t="b">
        <v>0</v>
      </c>
      <c r="Z254" t="s">
        <v>39</v>
      </c>
      <c r="AA254" t="s">
        <v>2694</v>
      </c>
      <c r="AB254" t="s">
        <v>41</v>
      </c>
      <c r="AC254">
        <f t="shared" si="3"/>
        <v>5</v>
      </c>
    </row>
    <row r="255" spans="1:29" x14ac:dyDescent="0.3">
      <c r="A255">
        <v>2472019</v>
      </c>
      <c r="B255" t="s">
        <v>2809</v>
      </c>
      <c r="C255" t="s">
        <v>29</v>
      </c>
      <c r="D255" t="s">
        <v>2810</v>
      </c>
      <c r="E255" t="s">
        <v>2810</v>
      </c>
      <c r="F255" s="1">
        <v>46092.552928240737</v>
      </c>
      <c r="G255" t="s">
        <v>31</v>
      </c>
      <c r="H255">
        <v>0</v>
      </c>
      <c r="I255">
        <v>59</v>
      </c>
      <c r="J255">
        <v>77</v>
      </c>
      <c r="K255">
        <v>136</v>
      </c>
      <c r="L255">
        <v>239</v>
      </c>
      <c r="M255">
        <v>347</v>
      </c>
      <c r="N255">
        <v>3202</v>
      </c>
      <c r="O255">
        <v>4</v>
      </c>
      <c r="P255">
        <v>5</v>
      </c>
      <c r="Q255">
        <v>5</v>
      </c>
      <c r="R255" t="s">
        <v>2811</v>
      </c>
      <c r="S255" t="s">
        <v>2812</v>
      </c>
      <c r="T255" t="s">
        <v>2101</v>
      </c>
      <c r="U255" t="s">
        <v>125</v>
      </c>
      <c r="V255" t="s">
        <v>2813</v>
      </c>
      <c r="W255" t="s">
        <v>542</v>
      </c>
      <c r="X255" t="s">
        <v>154</v>
      </c>
      <c r="Y255" t="b">
        <v>0</v>
      </c>
      <c r="Z255" t="s">
        <v>39</v>
      </c>
      <c r="AA255" t="s">
        <v>2814</v>
      </c>
      <c r="AB255" t="s">
        <v>41</v>
      </c>
      <c r="AC255">
        <f t="shared" si="3"/>
        <v>5</v>
      </c>
    </row>
    <row r="256" spans="1:29" x14ac:dyDescent="0.3">
      <c r="A256">
        <v>2472019</v>
      </c>
      <c r="B256" t="s">
        <v>2966</v>
      </c>
      <c r="C256" t="s">
        <v>29</v>
      </c>
      <c r="D256" t="s">
        <v>2967</v>
      </c>
      <c r="E256" t="s">
        <v>2968</v>
      </c>
      <c r="F256" s="1">
        <v>46127.621805555558</v>
      </c>
      <c r="G256" t="s">
        <v>45</v>
      </c>
      <c r="H256">
        <v>0</v>
      </c>
      <c r="I256">
        <v>101</v>
      </c>
      <c r="J256">
        <v>416</v>
      </c>
      <c r="K256">
        <v>517</v>
      </c>
      <c r="L256">
        <v>378</v>
      </c>
      <c r="M256">
        <v>1488</v>
      </c>
      <c r="N256">
        <v>3408</v>
      </c>
      <c r="O256">
        <v>4</v>
      </c>
      <c r="P256">
        <v>5</v>
      </c>
      <c r="Q256">
        <v>5</v>
      </c>
      <c r="R256" t="s">
        <v>2969</v>
      </c>
      <c r="S256" t="s">
        <v>2970</v>
      </c>
      <c r="T256" t="s">
        <v>2971</v>
      </c>
      <c r="U256" t="s">
        <v>2972</v>
      </c>
      <c r="V256" t="s">
        <v>2973</v>
      </c>
      <c r="W256" t="s">
        <v>2974</v>
      </c>
      <c r="X256" t="s">
        <v>154</v>
      </c>
      <c r="Y256" t="b">
        <v>0</v>
      </c>
      <c r="Z256" t="s">
        <v>39</v>
      </c>
      <c r="AA256" t="s">
        <v>2975</v>
      </c>
      <c r="AB256" t="s">
        <v>41</v>
      </c>
      <c r="AC256">
        <f t="shared" si="3"/>
        <v>5</v>
      </c>
    </row>
    <row r="257" spans="1:29" x14ac:dyDescent="0.3">
      <c r="A257">
        <v>2472019</v>
      </c>
      <c r="B257" t="s">
        <v>3063</v>
      </c>
      <c r="C257" t="s">
        <v>29</v>
      </c>
      <c r="D257" t="s">
        <v>3064</v>
      </c>
      <c r="E257" t="s">
        <v>3064</v>
      </c>
      <c r="F257" s="1">
        <v>46099.624722222223</v>
      </c>
      <c r="G257" t="s">
        <v>138</v>
      </c>
      <c r="H257">
        <v>0</v>
      </c>
      <c r="I257">
        <v>55</v>
      </c>
      <c r="J257">
        <v>740</v>
      </c>
      <c r="K257">
        <v>795</v>
      </c>
      <c r="L257">
        <v>232</v>
      </c>
      <c r="M257">
        <v>3152</v>
      </c>
      <c r="N257">
        <v>3483</v>
      </c>
      <c r="O257">
        <v>4</v>
      </c>
      <c r="P257">
        <v>5</v>
      </c>
      <c r="Q257">
        <v>5</v>
      </c>
      <c r="R257" t="s">
        <v>3065</v>
      </c>
      <c r="S257" t="s">
        <v>3066</v>
      </c>
      <c r="T257" t="s">
        <v>3067</v>
      </c>
      <c r="U257" t="s">
        <v>3068</v>
      </c>
      <c r="V257" t="s">
        <v>3069</v>
      </c>
      <c r="W257" t="s">
        <v>3070</v>
      </c>
      <c r="X257" t="s">
        <v>154</v>
      </c>
      <c r="Y257" t="b">
        <v>0</v>
      </c>
      <c r="Z257" t="s">
        <v>39</v>
      </c>
      <c r="AA257" t="s">
        <v>3071</v>
      </c>
      <c r="AB257" t="s">
        <v>41</v>
      </c>
      <c r="AC257">
        <f t="shared" si="3"/>
        <v>5</v>
      </c>
    </row>
    <row r="258" spans="1:29" x14ac:dyDescent="0.3">
      <c r="A258">
        <v>2472019</v>
      </c>
      <c r="B258" t="s">
        <v>3384</v>
      </c>
      <c r="C258" t="s">
        <v>29</v>
      </c>
      <c r="D258" t="s">
        <v>3385</v>
      </c>
      <c r="E258" t="s">
        <v>3385</v>
      </c>
      <c r="F258" s="1">
        <v>46099.622997685183</v>
      </c>
      <c r="G258" t="s">
        <v>138</v>
      </c>
      <c r="H258">
        <v>0</v>
      </c>
      <c r="I258">
        <v>93</v>
      </c>
      <c r="J258">
        <v>129</v>
      </c>
      <c r="K258">
        <v>222</v>
      </c>
      <c r="L258">
        <v>469</v>
      </c>
      <c r="M258">
        <v>562</v>
      </c>
      <c r="N258">
        <v>3895</v>
      </c>
      <c r="O258">
        <v>4</v>
      </c>
      <c r="P258">
        <v>5</v>
      </c>
      <c r="Q258">
        <v>5</v>
      </c>
      <c r="R258" t="s">
        <v>3386</v>
      </c>
      <c r="S258" t="s">
        <v>3387</v>
      </c>
      <c r="T258" t="s">
        <v>3388</v>
      </c>
      <c r="U258" t="s">
        <v>254</v>
      </c>
      <c r="V258" t="s">
        <v>3389</v>
      </c>
      <c r="W258" t="s">
        <v>3390</v>
      </c>
      <c r="X258" t="s">
        <v>154</v>
      </c>
      <c r="Y258" t="b">
        <v>0</v>
      </c>
      <c r="Z258" t="s">
        <v>39</v>
      </c>
      <c r="AA258" t="s">
        <v>3391</v>
      </c>
      <c r="AB258" t="s">
        <v>41</v>
      </c>
      <c r="AC258">
        <f t="shared" si="3"/>
        <v>5</v>
      </c>
    </row>
    <row r="259" spans="1:29" x14ac:dyDescent="0.3">
      <c r="A259">
        <v>2472020</v>
      </c>
      <c r="B259" t="s">
        <v>54</v>
      </c>
      <c r="C259" t="s">
        <v>29</v>
      </c>
      <c r="D259" t="s">
        <v>55</v>
      </c>
      <c r="E259" t="s">
        <v>55</v>
      </c>
      <c r="F259" s="1">
        <v>46119.525057870371</v>
      </c>
      <c r="G259" t="s">
        <v>56</v>
      </c>
      <c r="H259">
        <v>0</v>
      </c>
      <c r="I259">
        <v>50</v>
      </c>
      <c r="J259">
        <v>187</v>
      </c>
      <c r="K259">
        <v>237</v>
      </c>
      <c r="L259">
        <v>189</v>
      </c>
      <c r="M259">
        <v>592</v>
      </c>
      <c r="N259">
        <v>51</v>
      </c>
      <c r="O259">
        <v>3</v>
      </c>
      <c r="P259">
        <v>4</v>
      </c>
      <c r="Q259">
        <v>4</v>
      </c>
      <c r="R259" t="s">
        <v>57</v>
      </c>
      <c r="S259" t="s">
        <v>58</v>
      </c>
      <c r="T259" t="s">
        <v>59</v>
      </c>
      <c r="U259" t="s">
        <v>60</v>
      </c>
      <c r="V259" t="s">
        <v>61</v>
      </c>
      <c r="W259" t="s">
        <v>62</v>
      </c>
      <c r="X259" t="s">
        <v>38</v>
      </c>
      <c r="Y259" t="b">
        <v>0</v>
      </c>
      <c r="Z259" t="s">
        <v>39</v>
      </c>
      <c r="AA259" t="s">
        <v>63</v>
      </c>
      <c r="AB259" t="s">
        <v>41</v>
      </c>
      <c r="AC259">
        <f t="shared" ref="AC259:AC322" si="4">IF(LOWER(TRIM(X259))="excellent",5,
 IF(LOWER(TRIM(X259))="good",4,
 IF(LOWER(TRIM(X259))="fair",3,
 IF(LOWER(TRIM(X259))="poor",2,
 IF(LOWER(TRIM(X259))="weak",1,0)))))</f>
        <v>4</v>
      </c>
    </row>
    <row r="260" spans="1:29" x14ac:dyDescent="0.3">
      <c r="A260">
        <v>2472020</v>
      </c>
      <c r="B260" t="s">
        <v>233</v>
      </c>
      <c r="C260" t="s">
        <v>29</v>
      </c>
      <c r="D260" t="s">
        <v>234</v>
      </c>
      <c r="E260" t="s">
        <v>234</v>
      </c>
      <c r="F260" s="1">
        <v>46098.534351851849</v>
      </c>
      <c r="G260" t="s">
        <v>138</v>
      </c>
      <c r="H260">
        <v>0</v>
      </c>
      <c r="I260">
        <v>126</v>
      </c>
      <c r="J260">
        <v>311</v>
      </c>
      <c r="K260">
        <v>437</v>
      </c>
      <c r="L260">
        <v>542</v>
      </c>
      <c r="M260">
        <v>1144</v>
      </c>
      <c r="N260">
        <v>261</v>
      </c>
      <c r="O260">
        <v>4</v>
      </c>
      <c r="P260">
        <v>5</v>
      </c>
      <c r="Q260">
        <v>5</v>
      </c>
      <c r="R260" t="s">
        <v>235</v>
      </c>
      <c r="S260" t="s">
        <v>236</v>
      </c>
      <c r="T260" t="s">
        <v>237</v>
      </c>
      <c r="U260" t="s">
        <v>170</v>
      </c>
      <c r="V260" t="s">
        <v>238</v>
      </c>
      <c r="W260" t="s">
        <v>239</v>
      </c>
      <c r="X260" t="s">
        <v>154</v>
      </c>
      <c r="Y260" t="b">
        <v>0</v>
      </c>
      <c r="Z260" t="s">
        <v>39</v>
      </c>
      <c r="AA260" t="s">
        <v>240</v>
      </c>
      <c r="AB260" t="s">
        <v>41</v>
      </c>
      <c r="AC260">
        <f t="shared" si="4"/>
        <v>5</v>
      </c>
    </row>
    <row r="261" spans="1:29" x14ac:dyDescent="0.3">
      <c r="A261">
        <v>2472020</v>
      </c>
      <c r="B261" t="s">
        <v>577</v>
      </c>
      <c r="C261" t="s">
        <v>29</v>
      </c>
      <c r="D261" t="s">
        <v>578</v>
      </c>
      <c r="E261" t="s">
        <v>578</v>
      </c>
      <c r="F261" s="1">
        <v>46091.534108796302</v>
      </c>
      <c r="G261" t="s">
        <v>31</v>
      </c>
      <c r="H261">
        <v>0</v>
      </c>
      <c r="I261">
        <v>125</v>
      </c>
      <c r="J261">
        <v>99</v>
      </c>
      <c r="K261">
        <v>224</v>
      </c>
      <c r="L261">
        <v>432</v>
      </c>
      <c r="M261">
        <v>310</v>
      </c>
      <c r="N261">
        <v>542</v>
      </c>
      <c r="O261">
        <v>4</v>
      </c>
      <c r="P261">
        <v>5</v>
      </c>
      <c r="Q261">
        <v>5</v>
      </c>
      <c r="R261" t="s">
        <v>579</v>
      </c>
      <c r="S261" t="s">
        <v>580</v>
      </c>
      <c r="T261" t="s">
        <v>581</v>
      </c>
      <c r="U261" t="s">
        <v>125</v>
      </c>
      <c r="V261" t="s">
        <v>582</v>
      </c>
      <c r="W261" t="s">
        <v>583</v>
      </c>
      <c r="X261" t="s">
        <v>154</v>
      </c>
      <c r="Y261" t="b">
        <v>0</v>
      </c>
      <c r="Z261" t="s">
        <v>39</v>
      </c>
      <c r="AA261" t="s">
        <v>584</v>
      </c>
      <c r="AB261" t="s">
        <v>41</v>
      </c>
      <c r="AC261">
        <f t="shared" si="4"/>
        <v>5</v>
      </c>
    </row>
    <row r="262" spans="1:29" x14ac:dyDescent="0.3">
      <c r="A262">
        <v>2472020</v>
      </c>
      <c r="B262" t="s">
        <v>718</v>
      </c>
      <c r="C262" t="s">
        <v>29</v>
      </c>
      <c r="D262" t="s">
        <v>719</v>
      </c>
      <c r="E262" t="s">
        <v>719</v>
      </c>
      <c r="F262" s="1">
        <v>46098.516041666669</v>
      </c>
      <c r="G262" t="s">
        <v>138</v>
      </c>
      <c r="H262">
        <v>0</v>
      </c>
      <c r="I262">
        <v>51</v>
      </c>
      <c r="J262">
        <v>196</v>
      </c>
      <c r="K262">
        <v>247</v>
      </c>
      <c r="L262">
        <v>203</v>
      </c>
      <c r="M262">
        <v>794</v>
      </c>
      <c r="N262">
        <v>754</v>
      </c>
      <c r="O262">
        <v>4</v>
      </c>
      <c r="P262">
        <v>5</v>
      </c>
      <c r="Q262">
        <v>4</v>
      </c>
      <c r="R262" t="s">
        <v>139</v>
      </c>
      <c r="S262" t="s">
        <v>720</v>
      </c>
      <c r="T262" t="s">
        <v>721</v>
      </c>
      <c r="U262" t="s">
        <v>170</v>
      </c>
      <c r="V262" t="s">
        <v>722</v>
      </c>
      <c r="W262" t="s">
        <v>723</v>
      </c>
      <c r="X262" t="s">
        <v>38</v>
      </c>
      <c r="Y262" t="b">
        <v>0</v>
      </c>
      <c r="Z262" t="s">
        <v>39</v>
      </c>
      <c r="AA262" t="s">
        <v>724</v>
      </c>
      <c r="AB262" t="s">
        <v>41</v>
      </c>
      <c r="AC262">
        <f t="shared" si="4"/>
        <v>4</v>
      </c>
    </row>
    <row r="263" spans="1:29" x14ac:dyDescent="0.3">
      <c r="A263">
        <v>2472020</v>
      </c>
      <c r="B263" t="s">
        <v>883</v>
      </c>
      <c r="C263" t="s">
        <v>29</v>
      </c>
      <c r="D263" t="s">
        <v>884</v>
      </c>
      <c r="E263" t="s">
        <v>884</v>
      </c>
      <c r="F263" s="1">
        <v>46126.445775462962</v>
      </c>
      <c r="G263" t="s">
        <v>45</v>
      </c>
      <c r="H263">
        <v>0</v>
      </c>
      <c r="I263">
        <v>158</v>
      </c>
      <c r="J263">
        <v>1055</v>
      </c>
      <c r="K263">
        <v>1213</v>
      </c>
      <c r="L263">
        <v>506</v>
      </c>
      <c r="M263">
        <v>4183</v>
      </c>
      <c r="N263">
        <v>850</v>
      </c>
      <c r="O263">
        <v>4</v>
      </c>
      <c r="P263">
        <v>5</v>
      </c>
      <c r="Q263">
        <v>5</v>
      </c>
      <c r="R263" t="s">
        <v>885</v>
      </c>
      <c r="S263" t="s">
        <v>252</v>
      </c>
      <c r="T263" t="s">
        <v>886</v>
      </c>
      <c r="U263" t="s">
        <v>887</v>
      </c>
      <c r="V263" t="s">
        <v>888</v>
      </c>
      <c r="W263" t="s">
        <v>889</v>
      </c>
      <c r="X263" t="s">
        <v>154</v>
      </c>
      <c r="Y263" t="b">
        <v>0</v>
      </c>
      <c r="Z263" t="s">
        <v>39</v>
      </c>
      <c r="AA263" t="s">
        <v>890</v>
      </c>
      <c r="AB263" t="s">
        <v>41</v>
      </c>
      <c r="AC263">
        <f t="shared" si="4"/>
        <v>5</v>
      </c>
    </row>
    <row r="264" spans="1:29" x14ac:dyDescent="0.3">
      <c r="A264">
        <v>2472020</v>
      </c>
      <c r="B264" t="s">
        <v>907</v>
      </c>
      <c r="C264" t="s">
        <v>29</v>
      </c>
      <c r="D264" t="s">
        <v>908</v>
      </c>
      <c r="E264" t="s">
        <v>908</v>
      </c>
      <c r="F264" s="1">
        <v>46084.495358796303</v>
      </c>
      <c r="G264" t="s">
        <v>177</v>
      </c>
      <c r="H264">
        <v>0</v>
      </c>
      <c r="I264">
        <v>84</v>
      </c>
      <c r="J264">
        <v>513</v>
      </c>
      <c r="K264">
        <v>597</v>
      </c>
      <c r="L264">
        <v>325</v>
      </c>
      <c r="M264">
        <v>2015</v>
      </c>
      <c r="N264">
        <v>882</v>
      </c>
      <c r="O264">
        <v>4</v>
      </c>
      <c r="P264">
        <v>5</v>
      </c>
      <c r="Q264">
        <v>4</v>
      </c>
      <c r="R264" t="s">
        <v>909</v>
      </c>
      <c r="S264" t="s">
        <v>910</v>
      </c>
      <c r="T264" t="s">
        <v>911</v>
      </c>
      <c r="U264" t="s">
        <v>912</v>
      </c>
      <c r="V264" t="s">
        <v>913</v>
      </c>
      <c r="W264" t="s">
        <v>914</v>
      </c>
      <c r="X264" t="s">
        <v>38</v>
      </c>
      <c r="Y264" t="b">
        <v>0</v>
      </c>
      <c r="Z264" t="s">
        <v>39</v>
      </c>
      <c r="AA264" t="s">
        <v>915</v>
      </c>
      <c r="AB264" t="s">
        <v>41</v>
      </c>
      <c r="AC264">
        <f t="shared" si="4"/>
        <v>4</v>
      </c>
    </row>
    <row r="265" spans="1:29" x14ac:dyDescent="0.3">
      <c r="A265">
        <v>2472020</v>
      </c>
      <c r="B265" t="s">
        <v>1285</v>
      </c>
      <c r="C265" t="s">
        <v>29</v>
      </c>
      <c r="D265" t="s">
        <v>1286</v>
      </c>
      <c r="E265" t="s">
        <v>1286</v>
      </c>
      <c r="F265" s="1">
        <v>46084.522106481483</v>
      </c>
      <c r="G265" t="s">
        <v>177</v>
      </c>
      <c r="H265">
        <v>0</v>
      </c>
      <c r="I265">
        <v>202</v>
      </c>
      <c r="J265">
        <v>343</v>
      </c>
      <c r="K265">
        <v>545</v>
      </c>
      <c r="L265">
        <v>683</v>
      </c>
      <c r="M265">
        <v>1125</v>
      </c>
      <c r="N265">
        <v>1433</v>
      </c>
      <c r="O265">
        <v>3</v>
      </c>
      <c r="P265">
        <v>4</v>
      </c>
      <c r="Q265">
        <v>4</v>
      </c>
      <c r="R265" t="s">
        <v>1287</v>
      </c>
      <c r="S265" t="s">
        <v>124</v>
      </c>
      <c r="T265" t="s">
        <v>1288</v>
      </c>
      <c r="U265" t="s">
        <v>1289</v>
      </c>
      <c r="V265" t="s">
        <v>1290</v>
      </c>
      <c r="W265" t="s">
        <v>1291</v>
      </c>
      <c r="X265" t="s">
        <v>38</v>
      </c>
      <c r="Y265" t="b">
        <v>0</v>
      </c>
      <c r="Z265" t="s">
        <v>39</v>
      </c>
      <c r="AA265" t="s">
        <v>1292</v>
      </c>
      <c r="AB265" t="s">
        <v>41</v>
      </c>
      <c r="AC265">
        <f t="shared" si="4"/>
        <v>4</v>
      </c>
    </row>
    <row r="266" spans="1:29" x14ac:dyDescent="0.3">
      <c r="A266">
        <v>2472020</v>
      </c>
      <c r="B266" t="s">
        <v>1662</v>
      </c>
      <c r="C266" t="s">
        <v>29</v>
      </c>
      <c r="D266" t="s">
        <v>1663</v>
      </c>
      <c r="E266" t="s">
        <v>1663</v>
      </c>
      <c r="F266" s="1">
        <v>46098.520937499998</v>
      </c>
      <c r="G266" t="s">
        <v>138</v>
      </c>
      <c r="H266">
        <v>0</v>
      </c>
      <c r="I266">
        <v>40</v>
      </c>
      <c r="J266">
        <v>149</v>
      </c>
      <c r="K266">
        <v>189</v>
      </c>
      <c r="L266">
        <v>164</v>
      </c>
      <c r="M266">
        <v>520</v>
      </c>
      <c r="N266">
        <v>1856</v>
      </c>
      <c r="O266">
        <v>4</v>
      </c>
      <c r="P266">
        <v>5</v>
      </c>
      <c r="Q266">
        <v>4</v>
      </c>
      <c r="R266" t="s">
        <v>1664</v>
      </c>
      <c r="S266" t="s">
        <v>1665</v>
      </c>
      <c r="T266" t="s">
        <v>397</v>
      </c>
      <c r="U266" t="s">
        <v>200</v>
      </c>
      <c r="V266" t="s">
        <v>1666</v>
      </c>
      <c r="W266" t="s">
        <v>1667</v>
      </c>
      <c r="X266" t="s">
        <v>38</v>
      </c>
      <c r="Y266" t="b">
        <v>0</v>
      </c>
      <c r="Z266" t="s">
        <v>39</v>
      </c>
      <c r="AA266" t="s">
        <v>1668</v>
      </c>
      <c r="AB266" t="s">
        <v>41</v>
      </c>
      <c r="AC266">
        <f t="shared" si="4"/>
        <v>4</v>
      </c>
    </row>
    <row r="267" spans="1:29" x14ac:dyDescent="0.3">
      <c r="A267">
        <v>2472020</v>
      </c>
      <c r="B267" t="s">
        <v>1815</v>
      </c>
      <c r="C267" t="s">
        <v>29</v>
      </c>
      <c r="D267" t="s">
        <v>1816</v>
      </c>
      <c r="E267" t="s">
        <v>1816</v>
      </c>
      <c r="F267" s="1">
        <v>46091.539525462962</v>
      </c>
      <c r="G267" t="s">
        <v>31</v>
      </c>
      <c r="H267">
        <v>0</v>
      </c>
      <c r="I267">
        <v>107</v>
      </c>
      <c r="J267">
        <v>267</v>
      </c>
      <c r="K267">
        <v>374</v>
      </c>
      <c r="L267">
        <v>376</v>
      </c>
      <c r="M267">
        <v>976</v>
      </c>
      <c r="N267">
        <v>2018</v>
      </c>
      <c r="O267">
        <v>4</v>
      </c>
      <c r="P267">
        <v>5</v>
      </c>
      <c r="Q267">
        <v>4</v>
      </c>
      <c r="R267" t="s">
        <v>139</v>
      </c>
      <c r="S267" t="s">
        <v>387</v>
      </c>
      <c r="T267" t="s">
        <v>1817</v>
      </c>
      <c r="U267" t="s">
        <v>208</v>
      </c>
      <c r="V267" t="s">
        <v>1818</v>
      </c>
      <c r="W267" t="s">
        <v>1819</v>
      </c>
      <c r="X267" t="s">
        <v>38</v>
      </c>
      <c r="Y267" t="b">
        <v>0</v>
      </c>
      <c r="Z267" t="s">
        <v>39</v>
      </c>
      <c r="AA267" t="s">
        <v>1820</v>
      </c>
      <c r="AB267" t="s">
        <v>41</v>
      </c>
      <c r="AC267">
        <f t="shared" si="4"/>
        <v>4</v>
      </c>
    </row>
    <row r="268" spans="1:29" x14ac:dyDescent="0.3">
      <c r="A268">
        <v>2472020</v>
      </c>
      <c r="B268" t="s">
        <v>1950</v>
      </c>
      <c r="C268" t="s">
        <v>29</v>
      </c>
      <c r="D268" t="s">
        <v>1951</v>
      </c>
      <c r="E268" t="s">
        <v>1951</v>
      </c>
      <c r="F268" s="1">
        <v>46126.474583333344</v>
      </c>
      <c r="G268" t="s">
        <v>45</v>
      </c>
      <c r="H268">
        <v>0</v>
      </c>
      <c r="I268">
        <v>147</v>
      </c>
      <c r="J268">
        <v>182</v>
      </c>
      <c r="K268">
        <v>329</v>
      </c>
      <c r="L268">
        <v>496</v>
      </c>
      <c r="M268">
        <v>592</v>
      </c>
      <c r="N268">
        <v>2221</v>
      </c>
      <c r="O268">
        <v>3</v>
      </c>
      <c r="P268">
        <v>4</v>
      </c>
      <c r="Q268">
        <v>4</v>
      </c>
      <c r="R268" t="s">
        <v>1952</v>
      </c>
      <c r="S268" t="s">
        <v>1953</v>
      </c>
      <c r="T268" t="s">
        <v>1577</v>
      </c>
      <c r="U268" t="s">
        <v>1954</v>
      </c>
      <c r="V268" t="s">
        <v>1955</v>
      </c>
      <c r="W268" t="s">
        <v>1956</v>
      </c>
      <c r="X268" t="s">
        <v>38</v>
      </c>
      <c r="Y268" t="b">
        <v>0</v>
      </c>
      <c r="Z268" t="s">
        <v>39</v>
      </c>
      <c r="AA268" t="s">
        <v>1957</v>
      </c>
      <c r="AB268" t="s">
        <v>41</v>
      </c>
      <c r="AC268">
        <f t="shared" si="4"/>
        <v>4</v>
      </c>
    </row>
    <row r="269" spans="1:29" x14ac:dyDescent="0.3">
      <c r="A269">
        <v>2472020</v>
      </c>
      <c r="B269" t="s">
        <v>2115</v>
      </c>
      <c r="C269" t="s">
        <v>29</v>
      </c>
      <c r="D269" t="s">
        <v>2116</v>
      </c>
      <c r="E269" t="s">
        <v>2116</v>
      </c>
      <c r="F269" s="1">
        <v>46126.482789351852</v>
      </c>
      <c r="G269" t="s">
        <v>45</v>
      </c>
      <c r="H269">
        <v>0</v>
      </c>
      <c r="I269">
        <v>650</v>
      </c>
      <c r="J269">
        <v>602</v>
      </c>
      <c r="K269">
        <v>1252</v>
      </c>
      <c r="L269">
        <v>2646</v>
      </c>
      <c r="M269">
        <v>2003</v>
      </c>
      <c r="N269">
        <v>2412</v>
      </c>
      <c r="O269">
        <v>4</v>
      </c>
      <c r="P269">
        <v>4</v>
      </c>
      <c r="Q269">
        <v>4</v>
      </c>
      <c r="R269" t="s">
        <v>2117</v>
      </c>
      <c r="S269" t="s">
        <v>2118</v>
      </c>
      <c r="T269" t="s">
        <v>2119</v>
      </c>
      <c r="U269" t="s">
        <v>2120</v>
      </c>
      <c r="V269" t="s">
        <v>2121</v>
      </c>
      <c r="W269" t="s">
        <v>2122</v>
      </c>
      <c r="X269" t="s">
        <v>38</v>
      </c>
      <c r="Y269" t="b">
        <v>0</v>
      </c>
      <c r="Z269" t="s">
        <v>39</v>
      </c>
      <c r="AA269" t="s">
        <v>2123</v>
      </c>
      <c r="AB269" t="s">
        <v>41</v>
      </c>
      <c r="AC269">
        <f t="shared" si="4"/>
        <v>4</v>
      </c>
    </row>
    <row r="270" spans="1:29" x14ac:dyDescent="0.3">
      <c r="A270">
        <v>2472020</v>
      </c>
      <c r="B270" t="s">
        <v>2225</v>
      </c>
      <c r="C270" t="s">
        <v>29</v>
      </c>
      <c r="D270" t="s">
        <v>2226</v>
      </c>
      <c r="E270" t="s">
        <v>2227</v>
      </c>
      <c r="F270" s="1">
        <v>46098.49927083333</v>
      </c>
      <c r="G270" t="s">
        <v>138</v>
      </c>
      <c r="H270">
        <v>0</v>
      </c>
      <c r="I270">
        <v>30</v>
      </c>
      <c r="J270">
        <v>9</v>
      </c>
      <c r="K270">
        <v>39</v>
      </c>
      <c r="L270">
        <v>121</v>
      </c>
      <c r="M270">
        <v>38</v>
      </c>
      <c r="N270">
        <v>2546</v>
      </c>
      <c r="O270">
        <v>3</v>
      </c>
      <c r="P270">
        <v>4</v>
      </c>
      <c r="Q270">
        <v>4</v>
      </c>
      <c r="R270" t="s">
        <v>2228</v>
      </c>
      <c r="S270" t="s">
        <v>2229</v>
      </c>
      <c r="T270" t="s">
        <v>2230</v>
      </c>
      <c r="U270" t="s">
        <v>229</v>
      </c>
      <c r="V270" t="s">
        <v>2231</v>
      </c>
      <c r="W270" t="s">
        <v>2232</v>
      </c>
      <c r="X270" t="s">
        <v>38</v>
      </c>
      <c r="Y270" t="b">
        <v>0</v>
      </c>
      <c r="Z270" t="s">
        <v>39</v>
      </c>
      <c r="AA270" t="s">
        <v>2233</v>
      </c>
      <c r="AB270" t="s">
        <v>41</v>
      </c>
      <c r="AC270">
        <f t="shared" si="4"/>
        <v>4</v>
      </c>
    </row>
    <row r="271" spans="1:29" x14ac:dyDescent="0.3">
      <c r="A271">
        <v>2472020</v>
      </c>
      <c r="B271" t="s">
        <v>3444</v>
      </c>
      <c r="C271" t="s">
        <v>29</v>
      </c>
      <c r="D271" t="s">
        <v>3445</v>
      </c>
      <c r="E271" t="s">
        <v>3446</v>
      </c>
      <c r="F271" s="1">
        <v>46126.440740740742</v>
      </c>
      <c r="G271" t="s">
        <v>45</v>
      </c>
      <c r="H271">
        <v>0</v>
      </c>
      <c r="I271">
        <v>93</v>
      </c>
      <c r="J271">
        <v>473</v>
      </c>
      <c r="K271">
        <v>566</v>
      </c>
      <c r="L271">
        <v>322</v>
      </c>
      <c r="M271">
        <v>1612</v>
      </c>
      <c r="N271">
        <v>3953</v>
      </c>
      <c r="O271">
        <v>4</v>
      </c>
      <c r="P271">
        <v>5</v>
      </c>
      <c r="Q271">
        <v>5</v>
      </c>
      <c r="R271" t="s">
        <v>1121</v>
      </c>
      <c r="S271" t="s">
        <v>3447</v>
      </c>
      <c r="T271" t="s">
        <v>3448</v>
      </c>
      <c r="U271" t="s">
        <v>3449</v>
      </c>
      <c r="V271" t="s">
        <v>3450</v>
      </c>
      <c r="W271" t="s">
        <v>1438</v>
      </c>
      <c r="X271" t="s">
        <v>154</v>
      </c>
      <c r="Y271" t="b">
        <v>0</v>
      </c>
      <c r="Z271" t="s">
        <v>39</v>
      </c>
      <c r="AA271" t="s">
        <v>3451</v>
      </c>
      <c r="AB271" t="s">
        <v>41</v>
      </c>
      <c r="AC271">
        <f t="shared" si="4"/>
        <v>5</v>
      </c>
    </row>
    <row r="272" spans="1:29" x14ac:dyDescent="0.3">
      <c r="A272">
        <v>2472020</v>
      </c>
      <c r="B272" t="s">
        <v>3866</v>
      </c>
      <c r="C272" t="s">
        <v>29</v>
      </c>
      <c r="D272" t="s">
        <v>3867</v>
      </c>
      <c r="E272" t="s">
        <v>3867</v>
      </c>
      <c r="F272" s="1">
        <v>46098.524641203701</v>
      </c>
      <c r="G272" t="s">
        <v>138</v>
      </c>
      <c r="H272">
        <v>0</v>
      </c>
      <c r="I272">
        <v>52</v>
      </c>
      <c r="J272">
        <v>159</v>
      </c>
      <c r="K272">
        <v>211</v>
      </c>
      <c r="L272">
        <v>184</v>
      </c>
      <c r="M272">
        <v>480</v>
      </c>
      <c r="N272">
        <v>4474</v>
      </c>
      <c r="O272">
        <v>4</v>
      </c>
      <c r="P272">
        <v>5</v>
      </c>
      <c r="Q272">
        <v>4</v>
      </c>
      <c r="R272" t="s">
        <v>3868</v>
      </c>
      <c r="S272" t="s">
        <v>387</v>
      </c>
      <c r="T272" t="s">
        <v>2626</v>
      </c>
      <c r="U272" t="s">
        <v>125</v>
      </c>
      <c r="V272" t="s">
        <v>3869</v>
      </c>
      <c r="W272" t="s">
        <v>247</v>
      </c>
      <c r="X272" t="s">
        <v>38</v>
      </c>
      <c r="Y272" t="b">
        <v>0</v>
      </c>
      <c r="Z272" t="s">
        <v>39</v>
      </c>
      <c r="AA272" t="s">
        <v>3870</v>
      </c>
      <c r="AB272" t="s">
        <v>41</v>
      </c>
      <c r="AC272">
        <f t="shared" si="4"/>
        <v>4</v>
      </c>
    </row>
    <row r="273" spans="1:29" x14ac:dyDescent="0.3">
      <c r="A273">
        <v>2472020</v>
      </c>
      <c r="B273" t="s">
        <v>4097</v>
      </c>
      <c r="C273" t="s">
        <v>29</v>
      </c>
      <c r="D273" t="s">
        <v>4098</v>
      </c>
      <c r="E273" t="s">
        <v>4098</v>
      </c>
      <c r="F273" s="1">
        <v>46091.515231481477</v>
      </c>
      <c r="G273" t="s">
        <v>31</v>
      </c>
      <c r="H273">
        <v>0</v>
      </c>
      <c r="I273">
        <v>65</v>
      </c>
      <c r="J273">
        <v>182</v>
      </c>
      <c r="K273">
        <v>247</v>
      </c>
      <c r="L273">
        <v>269</v>
      </c>
      <c r="M273">
        <v>656</v>
      </c>
      <c r="N273">
        <v>4796</v>
      </c>
      <c r="O273">
        <v>3</v>
      </c>
      <c r="P273">
        <v>4</v>
      </c>
      <c r="Q273">
        <v>3</v>
      </c>
      <c r="R273" t="s">
        <v>1164</v>
      </c>
      <c r="S273" t="s">
        <v>4099</v>
      </c>
      <c r="T273" t="s">
        <v>3721</v>
      </c>
      <c r="U273" t="s">
        <v>4100</v>
      </c>
      <c r="V273" t="s">
        <v>4101</v>
      </c>
      <c r="W273" t="s">
        <v>4102</v>
      </c>
      <c r="X273" t="s">
        <v>38</v>
      </c>
      <c r="Y273" t="b">
        <v>0</v>
      </c>
      <c r="Z273" t="s">
        <v>39</v>
      </c>
      <c r="AA273" t="s">
        <v>4103</v>
      </c>
      <c r="AB273" t="s">
        <v>41</v>
      </c>
      <c r="AC273">
        <f t="shared" si="4"/>
        <v>4</v>
      </c>
    </row>
    <row r="274" spans="1:29" x14ac:dyDescent="0.3">
      <c r="A274">
        <v>2472021</v>
      </c>
      <c r="B274" t="s">
        <v>618</v>
      </c>
      <c r="C274" t="s">
        <v>29</v>
      </c>
      <c r="D274" t="s">
        <v>619</v>
      </c>
      <c r="E274" t="s">
        <v>619</v>
      </c>
      <c r="F274" s="1">
        <v>46098.509386574071</v>
      </c>
      <c r="G274" t="s">
        <v>138</v>
      </c>
      <c r="H274">
        <v>0</v>
      </c>
      <c r="I274">
        <v>39</v>
      </c>
      <c r="J274">
        <v>143</v>
      </c>
      <c r="K274">
        <v>182</v>
      </c>
      <c r="L274">
        <v>143</v>
      </c>
      <c r="M274">
        <v>498</v>
      </c>
      <c r="N274">
        <v>586</v>
      </c>
      <c r="O274">
        <v>4</v>
      </c>
      <c r="P274">
        <v>5</v>
      </c>
      <c r="Q274">
        <v>5</v>
      </c>
      <c r="R274" t="s">
        <v>620</v>
      </c>
      <c r="S274" t="s">
        <v>252</v>
      </c>
      <c r="T274" t="s">
        <v>621</v>
      </c>
      <c r="U274" t="s">
        <v>125</v>
      </c>
      <c r="V274" t="s">
        <v>622</v>
      </c>
      <c r="W274" t="s">
        <v>623</v>
      </c>
      <c r="X274" t="s">
        <v>154</v>
      </c>
      <c r="Y274" t="b">
        <v>0</v>
      </c>
      <c r="Z274" t="s">
        <v>39</v>
      </c>
      <c r="AA274" t="s">
        <v>624</v>
      </c>
      <c r="AB274" t="s">
        <v>41</v>
      </c>
      <c r="AC274">
        <f t="shared" si="4"/>
        <v>5</v>
      </c>
    </row>
    <row r="275" spans="1:29" x14ac:dyDescent="0.3">
      <c r="A275">
        <v>2472021</v>
      </c>
      <c r="B275" t="s">
        <v>1212</v>
      </c>
      <c r="C275" t="s">
        <v>29</v>
      </c>
      <c r="D275" t="s">
        <v>1466</v>
      </c>
      <c r="E275" t="s">
        <v>1466</v>
      </c>
      <c r="F275" s="1">
        <v>46084.48333333333</v>
      </c>
      <c r="G275" t="s">
        <v>177</v>
      </c>
      <c r="H275">
        <v>0</v>
      </c>
      <c r="I275">
        <v>42</v>
      </c>
      <c r="J275">
        <v>255</v>
      </c>
      <c r="K275">
        <v>297</v>
      </c>
      <c r="L275">
        <v>201</v>
      </c>
      <c r="M275">
        <v>859</v>
      </c>
      <c r="N275">
        <v>1581</v>
      </c>
      <c r="O275">
        <v>4</v>
      </c>
      <c r="P275">
        <v>5</v>
      </c>
      <c r="Q275">
        <v>5</v>
      </c>
      <c r="R275" t="s">
        <v>1467</v>
      </c>
      <c r="S275" t="s">
        <v>387</v>
      </c>
      <c r="T275" t="s">
        <v>1468</v>
      </c>
      <c r="U275" t="s">
        <v>125</v>
      </c>
      <c r="V275" t="s">
        <v>1469</v>
      </c>
      <c r="W275" t="s">
        <v>247</v>
      </c>
      <c r="X275" t="s">
        <v>154</v>
      </c>
      <c r="Y275" t="b">
        <v>0</v>
      </c>
      <c r="Z275" t="s">
        <v>39</v>
      </c>
      <c r="AA275" t="s">
        <v>1470</v>
      </c>
      <c r="AB275" t="s">
        <v>41</v>
      </c>
      <c r="AC275">
        <f t="shared" si="4"/>
        <v>5</v>
      </c>
    </row>
    <row r="276" spans="1:29" x14ac:dyDescent="0.3">
      <c r="A276">
        <v>2472021</v>
      </c>
      <c r="B276" t="s">
        <v>1609</v>
      </c>
      <c r="C276" t="s">
        <v>29</v>
      </c>
      <c r="D276" t="s">
        <v>1610</v>
      </c>
      <c r="E276" t="s">
        <v>1610</v>
      </c>
      <c r="F276" s="1">
        <v>46077.567789351851</v>
      </c>
      <c r="G276" t="s">
        <v>67</v>
      </c>
      <c r="H276">
        <v>0</v>
      </c>
      <c r="I276">
        <v>38</v>
      </c>
      <c r="J276">
        <v>290</v>
      </c>
      <c r="K276">
        <v>328</v>
      </c>
      <c r="L276">
        <v>192</v>
      </c>
      <c r="M276">
        <v>906</v>
      </c>
      <c r="N276">
        <v>1755</v>
      </c>
      <c r="O276">
        <v>4</v>
      </c>
      <c r="P276">
        <v>5</v>
      </c>
      <c r="Q276">
        <v>4</v>
      </c>
      <c r="R276" t="s">
        <v>1611</v>
      </c>
      <c r="S276" t="s">
        <v>1612</v>
      </c>
      <c r="T276" t="s">
        <v>379</v>
      </c>
      <c r="U276" t="s">
        <v>1613</v>
      </c>
      <c r="V276" t="s">
        <v>1614</v>
      </c>
      <c r="W276" t="s">
        <v>1615</v>
      </c>
      <c r="X276" t="s">
        <v>38</v>
      </c>
      <c r="Y276" t="b">
        <v>0</v>
      </c>
      <c r="Z276" t="s">
        <v>39</v>
      </c>
      <c r="AA276" t="s">
        <v>1616</v>
      </c>
      <c r="AB276" t="s">
        <v>41</v>
      </c>
      <c r="AC276">
        <f t="shared" si="4"/>
        <v>4</v>
      </c>
    </row>
    <row r="277" spans="1:29" x14ac:dyDescent="0.3">
      <c r="A277">
        <v>2472021</v>
      </c>
      <c r="B277" t="s">
        <v>1941</v>
      </c>
      <c r="C277" t="s">
        <v>29</v>
      </c>
      <c r="D277" t="s">
        <v>1942</v>
      </c>
      <c r="E277" t="s">
        <v>1942</v>
      </c>
      <c r="F277" s="1">
        <v>46098.531238425923</v>
      </c>
      <c r="G277" t="s">
        <v>138</v>
      </c>
      <c r="H277">
        <v>0</v>
      </c>
      <c r="I277">
        <v>40</v>
      </c>
      <c r="J277">
        <v>220</v>
      </c>
      <c r="K277">
        <v>260</v>
      </c>
      <c r="L277">
        <v>181</v>
      </c>
      <c r="M277">
        <v>779</v>
      </c>
      <c r="N277">
        <v>2220</v>
      </c>
      <c r="O277">
        <v>4</v>
      </c>
      <c r="P277">
        <v>5</v>
      </c>
      <c r="Q277">
        <v>4</v>
      </c>
      <c r="R277" t="s">
        <v>1943</v>
      </c>
      <c r="S277" t="s">
        <v>1944</v>
      </c>
      <c r="T277" t="s">
        <v>1945</v>
      </c>
      <c r="U277" t="s">
        <v>1946</v>
      </c>
      <c r="V277" t="s">
        <v>1947</v>
      </c>
      <c r="W277" t="s">
        <v>1948</v>
      </c>
      <c r="X277" t="s">
        <v>38</v>
      </c>
      <c r="Y277" t="b">
        <v>0</v>
      </c>
      <c r="Z277" t="s">
        <v>39</v>
      </c>
      <c r="AA277" t="s">
        <v>1949</v>
      </c>
      <c r="AB277" t="s">
        <v>41</v>
      </c>
      <c r="AC277">
        <f t="shared" si="4"/>
        <v>4</v>
      </c>
    </row>
    <row r="278" spans="1:29" x14ac:dyDescent="0.3">
      <c r="A278">
        <v>2472021</v>
      </c>
      <c r="B278" t="s">
        <v>2098</v>
      </c>
      <c r="C278" t="s">
        <v>29</v>
      </c>
      <c r="D278" t="s">
        <v>2099</v>
      </c>
      <c r="E278" t="s">
        <v>2099</v>
      </c>
      <c r="F278" s="1">
        <v>46126.398981481478</v>
      </c>
      <c r="G278" t="s">
        <v>45</v>
      </c>
      <c r="H278">
        <v>0</v>
      </c>
      <c r="I278">
        <v>37</v>
      </c>
      <c r="J278">
        <v>69</v>
      </c>
      <c r="K278">
        <v>106</v>
      </c>
      <c r="L278">
        <v>143</v>
      </c>
      <c r="M278">
        <v>259</v>
      </c>
      <c r="N278">
        <v>2399</v>
      </c>
      <c r="O278">
        <v>4</v>
      </c>
      <c r="P278">
        <v>5</v>
      </c>
      <c r="Q278">
        <v>5</v>
      </c>
      <c r="R278" t="s">
        <v>466</v>
      </c>
      <c r="S278" t="s">
        <v>2100</v>
      </c>
      <c r="T278" t="s">
        <v>2101</v>
      </c>
      <c r="U278" t="s">
        <v>270</v>
      </c>
      <c r="V278" t="s">
        <v>2102</v>
      </c>
      <c r="W278" t="s">
        <v>143</v>
      </c>
      <c r="X278" t="s">
        <v>154</v>
      </c>
      <c r="Y278" t="b">
        <v>0</v>
      </c>
      <c r="Z278" t="s">
        <v>39</v>
      </c>
      <c r="AA278" t="s">
        <v>2103</v>
      </c>
      <c r="AB278" t="s">
        <v>41</v>
      </c>
      <c r="AC278">
        <f t="shared" si="4"/>
        <v>5</v>
      </c>
    </row>
    <row r="279" spans="1:29" x14ac:dyDescent="0.3">
      <c r="A279">
        <v>2472021</v>
      </c>
      <c r="B279" t="s">
        <v>3400</v>
      </c>
      <c r="C279" t="s">
        <v>29</v>
      </c>
      <c r="D279" t="s">
        <v>3401</v>
      </c>
      <c r="E279" t="s">
        <v>3401</v>
      </c>
      <c r="F279" s="1">
        <v>46098.529560185183</v>
      </c>
      <c r="G279" t="s">
        <v>138</v>
      </c>
      <c r="H279">
        <v>0</v>
      </c>
      <c r="I279">
        <v>37</v>
      </c>
      <c r="J279">
        <v>106</v>
      </c>
      <c r="K279">
        <v>143</v>
      </c>
      <c r="L279">
        <v>156</v>
      </c>
      <c r="M279">
        <v>473</v>
      </c>
      <c r="N279">
        <v>3919</v>
      </c>
      <c r="O279">
        <v>4</v>
      </c>
      <c r="P279">
        <v>5</v>
      </c>
      <c r="Q279">
        <v>4</v>
      </c>
      <c r="R279" t="s">
        <v>139</v>
      </c>
      <c r="S279" t="s">
        <v>562</v>
      </c>
      <c r="T279" t="s">
        <v>1183</v>
      </c>
      <c r="U279" t="s">
        <v>200</v>
      </c>
      <c r="V279" t="s">
        <v>3402</v>
      </c>
      <c r="W279" t="s">
        <v>3403</v>
      </c>
      <c r="X279" t="s">
        <v>38</v>
      </c>
      <c r="Y279" t="b">
        <v>0</v>
      </c>
      <c r="Z279" t="s">
        <v>39</v>
      </c>
      <c r="AA279" t="s">
        <v>3404</v>
      </c>
      <c r="AB279" t="s">
        <v>41</v>
      </c>
      <c r="AC279">
        <f t="shared" si="4"/>
        <v>4</v>
      </c>
    </row>
    <row r="280" spans="1:29" x14ac:dyDescent="0.3">
      <c r="A280">
        <v>2472021</v>
      </c>
      <c r="B280" t="s">
        <v>3515</v>
      </c>
      <c r="C280" t="s">
        <v>29</v>
      </c>
      <c r="D280" t="s">
        <v>3516</v>
      </c>
      <c r="E280" t="s">
        <v>3517</v>
      </c>
      <c r="F280" s="1">
        <v>46077.528900462959</v>
      </c>
      <c r="G280" t="s">
        <v>67</v>
      </c>
      <c r="H280">
        <v>0</v>
      </c>
      <c r="I280">
        <v>50</v>
      </c>
      <c r="J280">
        <v>917</v>
      </c>
      <c r="K280">
        <v>967</v>
      </c>
      <c r="L280">
        <v>229</v>
      </c>
      <c r="M280">
        <v>3766</v>
      </c>
      <c r="N280">
        <v>4036</v>
      </c>
      <c r="O280">
        <v>3</v>
      </c>
      <c r="P280">
        <v>5</v>
      </c>
      <c r="Q280">
        <v>4</v>
      </c>
      <c r="R280" t="s">
        <v>3518</v>
      </c>
      <c r="S280" t="s">
        <v>3519</v>
      </c>
      <c r="T280" t="s">
        <v>3520</v>
      </c>
      <c r="U280" t="s">
        <v>3521</v>
      </c>
      <c r="V280" t="s">
        <v>3522</v>
      </c>
      <c r="W280" t="s">
        <v>3523</v>
      </c>
      <c r="X280" t="s">
        <v>38</v>
      </c>
      <c r="Y280" t="b">
        <v>0</v>
      </c>
      <c r="Z280" t="s">
        <v>39</v>
      </c>
      <c r="AA280" t="s">
        <v>3524</v>
      </c>
      <c r="AB280" t="s">
        <v>41</v>
      </c>
      <c r="AC280">
        <f t="shared" si="4"/>
        <v>4</v>
      </c>
    </row>
    <row r="281" spans="1:29" x14ac:dyDescent="0.3">
      <c r="A281">
        <v>2472022</v>
      </c>
      <c r="B281" t="s">
        <v>42</v>
      </c>
      <c r="C281" t="s">
        <v>29</v>
      </c>
      <c r="D281" t="s">
        <v>43</v>
      </c>
      <c r="E281" t="s">
        <v>44</v>
      </c>
      <c r="F281" s="1">
        <v>46126.456759259258</v>
      </c>
      <c r="G281" t="s">
        <v>45</v>
      </c>
      <c r="H281">
        <v>0</v>
      </c>
      <c r="I281">
        <v>43</v>
      </c>
      <c r="J281">
        <v>1025</v>
      </c>
      <c r="K281">
        <v>1068</v>
      </c>
      <c r="L281">
        <v>130</v>
      </c>
      <c r="M281">
        <v>4036</v>
      </c>
      <c r="N281">
        <v>49</v>
      </c>
      <c r="O281">
        <v>2</v>
      </c>
      <c r="P281">
        <v>2</v>
      </c>
      <c r="Q281">
        <v>2</v>
      </c>
      <c r="R281" t="s">
        <v>46</v>
      </c>
      <c r="S281" t="s">
        <v>47</v>
      </c>
      <c r="T281" t="s">
        <v>48</v>
      </c>
      <c r="U281" t="s">
        <v>49</v>
      </c>
      <c r="V281" t="s">
        <v>50</v>
      </c>
      <c r="W281" t="s">
        <v>51</v>
      </c>
      <c r="X281" t="s">
        <v>52</v>
      </c>
      <c r="Y281" t="b">
        <v>0</v>
      </c>
      <c r="Z281" t="s">
        <v>39</v>
      </c>
      <c r="AA281" t="s">
        <v>53</v>
      </c>
      <c r="AB281" t="s">
        <v>41</v>
      </c>
      <c r="AC281">
        <f t="shared" si="4"/>
        <v>2</v>
      </c>
    </row>
    <row r="282" spans="1:29" x14ac:dyDescent="0.3">
      <c r="A282">
        <v>2472022</v>
      </c>
      <c r="B282" t="s">
        <v>651</v>
      </c>
      <c r="C282" t="s">
        <v>29</v>
      </c>
      <c r="D282" t="s">
        <v>652</v>
      </c>
      <c r="E282" t="s">
        <v>653</v>
      </c>
      <c r="F282" s="1">
        <v>46119.519421296303</v>
      </c>
      <c r="G282" t="s">
        <v>56</v>
      </c>
      <c r="H282">
        <v>0</v>
      </c>
      <c r="I282">
        <v>44</v>
      </c>
      <c r="J282">
        <v>20</v>
      </c>
      <c r="K282">
        <v>64</v>
      </c>
      <c r="L282">
        <v>163</v>
      </c>
      <c r="M282">
        <v>63</v>
      </c>
      <c r="N282">
        <v>642</v>
      </c>
      <c r="O282">
        <v>3</v>
      </c>
      <c r="P282">
        <v>5</v>
      </c>
      <c r="Q282">
        <v>4</v>
      </c>
      <c r="R282" t="s">
        <v>654</v>
      </c>
      <c r="S282" t="s">
        <v>655</v>
      </c>
      <c r="T282" t="s">
        <v>656</v>
      </c>
      <c r="U282" t="s">
        <v>657</v>
      </c>
      <c r="V282" t="s">
        <v>658</v>
      </c>
      <c r="W282" t="s">
        <v>231</v>
      </c>
      <c r="X282" t="s">
        <v>38</v>
      </c>
      <c r="Y282" t="b">
        <v>0</v>
      </c>
      <c r="Z282" t="s">
        <v>39</v>
      </c>
      <c r="AA282" t="s">
        <v>659</v>
      </c>
      <c r="AB282" t="s">
        <v>41</v>
      </c>
      <c r="AC282">
        <f t="shared" si="4"/>
        <v>4</v>
      </c>
    </row>
    <row r="283" spans="1:29" x14ac:dyDescent="0.3">
      <c r="A283">
        <v>2472022</v>
      </c>
      <c r="B283" t="s">
        <v>680</v>
      </c>
      <c r="C283" t="s">
        <v>29</v>
      </c>
      <c r="D283" t="s">
        <v>681</v>
      </c>
      <c r="E283" t="s">
        <v>682</v>
      </c>
      <c r="F283" s="1">
        <v>46119.523310185177</v>
      </c>
      <c r="G283" t="s">
        <v>56</v>
      </c>
      <c r="H283">
        <v>0</v>
      </c>
      <c r="I283">
        <v>43</v>
      </c>
      <c r="J283">
        <v>26</v>
      </c>
      <c r="K283">
        <v>69</v>
      </c>
      <c r="L283">
        <v>166</v>
      </c>
      <c r="M283">
        <v>90</v>
      </c>
      <c r="N283">
        <v>714</v>
      </c>
      <c r="O283">
        <v>3</v>
      </c>
      <c r="P283">
        <v>4</v>
      </c>
      <c r="Q283">
        <v>3</v>
      </c>
      <c r="R283" t="s">
        <v>683</v>
      </c>
      <c r="S283" t="s">
        <v>684</v>
      </c>
      <c r="T283" t="s">
        <v>685</v>
      </c>
      <c r="U283" t="s">
        <v>686</v>
      </c>
      <c r="V283" t="s">
        <v>687</v>
      </c>
      <c r="W283" t="s">
        <v>688</v>
      </c>
      <c r="X283" t="s">
        <v>38</v>
      </c>
      <c r="Y283" t="b">
        <v>0</v>
      </c>
      <c r="Z283" t="s">
        <v>39</v>
      </c>
      <c r="AA283" t="s">
        <v>689</v>
      </c>
      <c r="AB283" t="s">
        <v>41</v>
      </c>
      <c r="AC283">
        <f t="shared" si="4"/>
        <v>4</v>
      </c>
    </row>
    <row r="284" spans="1:29" x14ac:dyDescent="0.3">
      <c r="A284">
        <v>2472022</v>
      </c>
      <c r="B284" t="s">
        <v>1488</v>
      </c>
      <c r="C284" t="s">
        <v>29</v>
      </c>
      <c r="D284" t="s">
        <v>1489</v>
      </c>
      <c r="E284" t="s">
        <v>1490</v>
      </c>
      <c r="F284" s="1">
        <v>46126.441365740742</v>
      </c>
      <c r="G284" t="s">
        <v>45</v>
      </c>
      <c r="H284">
        <v>0</v>
      </c>
      <c r="I284">
        <v>71</v>
      </c>
      <c r="J284">
        <v>118</v>
      </c>
      <c r="K284">
        <v>189</v>
      </c>
      <c r="L284">
        <v>252</v>
      </c>
      <c r="M284">
        <v>404</v>
      </c>
      <c r="N284">
        <v>1622</v>
      </c>
      <c r="O284">
        <v>4</v>
      </c>
      <c r="P284">
        <v>5</v>
      </c>
      <c r="Q284">
        <v>5</v>
      </c>
      <c r="R284" t="s">
        <v>1491</v>
      </c>
      <c r="S284" t="s">
        <v>1492</v>
      </c>
      <c r="T284" t="s">
        <v>789</v>
      </c>
      <c r="U284" t="s">
        <v>125</v>
      </c>
      <c r="V284" t="s">
        <v>1493</v>
      </c>
      <c r="W284" t="s">
        <v>1486</v>
      </c>
      <c r="X284" t="s">
        <v>154</v>
      </c>
      <c r="Y284" t="b">
        <v>0</v>
      </c>
      <c r="Z284" t="s">
        <v>39</v>
      </c>
      <c r="AA284" t="s">
        <v>1494</v>
      </c>
      <c r="AB284" t="s">
        <v>41</v>
      </c>
      <c r="AC284">
        <f t="shared" si="4"/>
        <v>5</v>
      </c>
    </row>
    <row r="285" spans="1:29" x14ac:dyDescent="0.3">
      <c r="A285">
        <v>2472022</v>
      </c>
      <c r="B285" t="s">
        <v>2386</v>
      </c>
      <c r="C285" t="s">
        <v>29</v>
      </c>
      <c r="D285" t="s">
        <v>2387</v>
      </c>
      <c r="E285" t="s">
        <v>2388</v>
      </c>
      <c r="F285" s="1">
        <v>46098.540960648148</v>
      </c>
      <c r="G285" t="s">
        <v>138</v>
      </c>
      <c r="H285">
        <v>0</v>
      </c>
      <c r="I285">
        <v>42</v>
      </c>
      <c r="J285">
        <v>35</v>
      </c>
      <c r="K285">
        <v>77</v>
      </c>
      <c r="L285">
        <v>178</v>
      </c>
      <c r="M285">
        <v>143</v>
      </c>
      <c r="N285">
        <v>2709</v>
      </c>
      <c r="O285">
        <v>3</v>
      </c>
      <c r="P285">
        <v>4</v>
      </c>
      <c r="Q285">
        <v>3</v>
      </c>
      <c r="R285" t="s">
        <v>2389</v>
      </c>
      <c r="S285" t="s">
        <v>2390</v>
      </c>
      <c r="T285" t="s">
        <v>2391</v>
      </c>
      <c r="U285" t="s">
        <v>2392</v>
      </c>
      <c r="V285" t="s">
        <v>2393</v>
      </c>
      <c r="W285" t="s">
        <v>2394</v>
      </c>
      <c r="X285" t="s">
        <v>38</v>
      </c>
      <c r="Y285" t="b">
        <v>0</v>
      </c>
      <c r="Z285" t="s">
        <v>39</v>
      </c>
      <c r="AA285" t="s">
        <v>2395</v>
      </c>
      <c r="AB285" t="s">
        <v>41</v>
      </c>
      <c r="AC285">
        <f t="shared" si="4"/>
        <v>4</v>
      </c>
    </row>
    <row r="286" spans="1:29" x14ac:dyDescent="0.3">
      <c r="A286">
        <v>2472022</v>
      </c>
      <c r="B286" t="s">
        <v>2592</v>
      </c>
      <c r="C286" t="s">
        <v>29</v>
      </c>
      <c r="D286" t="s">
        <v>2593</v>
      </c>
      <c r="E286" t="s">
        <v>2594</v>
      </c>
      <c r="F286" s="1">
        <v>46091.491979166669</v>
      </c>
      <c r="G286" t="s">
        <v>31</v>
      </c>
      <c r="H286">
        <v>0</v>
      </c>
      <c r="I286">
        <v>90</v>
      </c>
      <c r="J286">
        <v>67</v>
      </c>
      <c r="K286">
        <v>157</v>
      </c>
      <c r="L286">
        <v>416</v>
      </c>
      <c r="M286">
        <v>214</v>
      </c>
      <c r="N286">
        <v>2913</v>
      </c>
      <c r="O286">
        <v>3</v>
      </c>
      <c r="P286">
        <v>4</v>
      </c>
      <c r="Q286">
        <v>3</v>
      </c>
      <c r="R286" t="s">
        <v>510</v>
      </c>
      <c r="S286" t="s">
        <v>2595</v>
      </c>
      <c r="T286" t="s">
        <v>2596</v>
      </c>
      <c r="U286" t="s">
        <v>2597</v>
      </c>
      <c r="V286" t="s">
        <v>2598</v>
      </c>
      <c r="W286" t="s">
        <v>2599</v>
      </c>
      <c r="X286" t="s">
        <v>38</v>
      </c>
      <c r="Y286" t="b">
        <v>0</v>
      </c>
      <c r="Z286" t="s">
        <v>39</v>
      </c>
      <c r="AA286" t="s">
        <v>2600</v>
      </c>
      <c r="AB286" t="s">
        <v>41</v>
      </c>
      <c r="AC286">
        <f t="shared" si="4"/>
        <v>4</v>
      </c>
    </row>
    <row r="287" spans="1:29" x14ac:dyDescent="0.3">
      <c r="A287">
        <v>2472022</v>
      </c>
      <c r="B287" t="s">
        <v>2992</v>
      </c>
      <c r="C287" t="s">
        <v>29</v>
      </c>
      <c r="D287" t="s">
        <v>43</v>
      </c>
      <c r="E287" t="s">
        <v>2993</v>
      </c>
      <c r="F287" s="1">
        <v>46126.444560185177</v>
      </c>
      <c r="G287" t="s">
        <v>45</v>
      </c>
      <c r="H287">
        <v>0</v>
      </c>
      <c r="I287">
        <v>122</v>
      </c>
      <c r="J287">
        <v>1030</v>
      </c>
      <c r="K287">
        <v>1152</v>
      </c>
      <c r="L287">
        <v>414</v>
      </c>
      <c r="M287">
        <v>4157</v>
      </c>
      <c r="N287">
        <v>3437</v>
      </c>
      <c r="O287">
        <v>4</v>
      </c>
      <c r="P287">
        <v>3</v>
      </c>
      <c r="Q287">
        <v>3</v>
      </c>
      <c r="R287" t="s">
        <v>2994</v>
      </c>
      <c r="S287" t="s">
        <v>2995</v>
      </c>
      <c r="T287" t="s">
        <v>2996</v>
      </c>
      <c r="U287" t="s">
        <v>2997</v>
      </c>
      <c r="V287" t="s">
        <v>2998</v>
      </c>
      <c r="W287" t="s">
        <v>2999</v>
      </c>
      <c r="X287" t="s">
        <v>84</v>
      </c>
      <c r="Y287" t="b">
        <v>0</v>
      </c>
      <c r="Z287" t="s">
        <v>39</v>
      </c>
      <c r="AA287" t="s">
        <v>3000</v>
      </c>
      <c r="AB287" t="s">
        <v>41</v>
      </c>
      <c r="AC287">
        <f t="shared" si="4"/>
        <v>3</v>
      </c>
    </row>
    <row r="288" spans="1:29" x14ac:dyDescent="0.3">
      <c r="A288">
        <v>2472022</v>
      </c>
      <c r="B288" t="s">
        <v>3011</v>
      </c>
      <c r="C288" t="s">
        <v>29</v>
      </c>
      <c r="D288" t="s">
        <v>3012</v>
      </c>
      <c r="E288" t="s">
        <v>3013</v>
      </c>
      <c r="F288" s="1">
        <v>46084.514270833337</v>
      </c>
      <c r="G288" t="s">
        <v>177</v>
      </c>
      <c r="H288">
        <v>0</v>
      </c>
      <c r="I288">
        <v>35</v>
      </c>
      <c r="J288">
        <v>351</v>
      </c>
      <c r="K288">
        <v>386</v>
      </c>
      <c r="L288">
        <v>139</v>
      </c>
      <c r="M288">
        <v>1180</v>
      </c>
      <c r="N288">
        <v>3453</v>
      </c>
      <c r="O288">
        <v>4</v>
      </c>
      <c r="P288">
        <v>5</v>
      </c>
      <c r="Q288">
        <v>5</v>
      </c>
      <c r="R288" t="s">
        <v>3014</v>
      </c>
      <c r="S288" t="s">
        <v>3015</v>
      </c>
      <c r="T288" t="s">
        <v>3016</v>
      </c>
      <c r="U288" t="s">
        <v>3017</v>
      </c>
      <c r="V288" t="s">
        <v>3018</v>
      </c>
      <c r="W288" t="s">
        <v>3019</v>
      </c>
      <c r="X288" t="s">
        <v>154</v>
      </c>
      <c r="Y288" t="b">
        <v>0</v>
      </c>
      <c r="Z288" t="s">
        <v>39</v>
      </c>
      <c r="AA288" t="s">
        <v>3020</v>
      </c>
      <c r="AB288" t="s">
        <v>41</v>
      </c>
      <c r="AC288">
        <f t="shared" si="4"/>
        <v>5</v>
      </c>
    </row>
    <row r="289" spans="1:29" x14ac:dyDescent="0.3">
      <c r="A289">
        <v>2472022</v>
      </c>
      <c r="B289" t="s">
        <v>3123</v>
      </c>
      <c r="C289" t="s">
        <v>29</v>
      </c>
      <c r="D289" t="s">
        <v>3124</v>
      </c>
      <c r="E289" t="s">
        <v>3125</v>
      </c>
      <c r="F289" s="1">
        <v>46098.514363425929</v>
      </c>
      <c r="G289" t="s">
        <v>138</v>
      </c>
      <c r="H289">
        <v>0</v>
      </c>
      <c r="I289">
        <v>37</v>
      </c>
      <c r="J289">
        <v>38</v>
      </c>
      <c r="K289">
        <v>75</v>
      </c>
      <c r="L289">
        <v>117</v>
      </c>
      <c r="M289">
        <v>126</v>
      </c>
      <c r="N289">
        <v>3569</v>
      </c>
      <c r="O289">
        <v>3</v>
      </c>
      <c r="P289">
        <v>4</v>
      </c>
      <c r="Q289">
        <v>3</v>
      </c>
      <c r="R289" t="s">
        <v>3126</v>
      </c>
      <c r="S289" t="s">
        <v>3127</v>
      </c>
      <c r="T289" t="s">
        <v>3128</v>
      </c>
      <c r="U289" t="s">
        <v>3129</v>
      </c>
      <c r="V289" t="s">
        <v>3130</v>
      </c>
      <c r="W289" t="s">
        <v>3131</v>
      </c>
      <c r="X289" t="s">
        <v>84</v>
      </c>
      <c r="Y289" t="b">
        <v>0</v>
      </c>
      <c r="Z289" t="s">
        <v>39</v>
      </c>
      <c r="AA289" t="s">
        <v>3132</v>
      </c>
      <c r="AB289" t="s">
        <v>41</v>
      </c>
      <c r="AC289">
        <f t="shared" si="4"/>
        <v>3</v>
      </c>
    </row>
    <row r="290" spans="1:29" x14ac:dyDescent="0.3">
      <c r="A290">
        <v>2472022</v>
      </c>
      <c r="B290" t="s">
        <v>3315</v>
      </c>
      <c r="C290" t="s">
        <v>29</v>
      </c>
      <c r="D290" t="s">
        <v>3316</v>
      </c>
      <c r="E290" t="s">
        <v>3317</v>
      </c>
      <c r="F290" s="1">
        <v>46091.405138888891</v>
      </c>
      <c r="G290" t="s">
        <v>31</v>
      </c>
      <c r="H290">
        <v>0</v>
      </c>
      <c r="I290">
        <v>45</v>
      </c>
      <c r="J290">
        <v>15</v>
      </c>
      <c r="K290">
        <v>60</v>
      </c>
      <c r="L290">
        <v>138</v>
      </c>
      <c r="M290">
        <v>47</v>
      </c>
      <c r="N290">
        <v>3776</v>
      </c>
      <c r="O290">
        <v>4</v>
      </c>
      <c r="P290">
        <v>5</v>
      </c>
      <c r="Q290">
        <v>4</v>
      </c>
      <c r="R290" t="s">
        <v>3318</v>
      </c>
      <c r="S290" t="s">
        <v>3319</v>
      </c>
      <c r="T290" t="s">
        <v>1426</v>
      </c>
      <c r="U290" t="s">
        <v>3320</v>
      </c>
      <c r="V290" t="s">
        <v>3321</v>
      </c>
      <c r="W290" t="s">
        <v>3322</v>
      </c>
      <c r="X290" t="s">
        <v>38</v>
      </c>
      <c r="Y290" t="b">
        <v>0</v>
      </c>
      <c r="Z290" t="s">
        <v>39</v>
      </c>
      <c r="AA290" t="s">
        <v>3323</v>
      </c>
      <c r="AB290" t="s">
        <v>41</v>
      </c>
      <c r="AC290">
        <f t="shared" si="4"/>
        <v>4</v>
      </c>
    </row>
    <row r="291" spans="1:29" x14ac:dyDescent="0.3">
      <c r="A291">
        <v>2472022</v>
      </c>
      <c r="B291" t="s">
        <v>3691</v>
      </c>
      <c r="C291" t="s">
        <v>29</v>
      </c>
      <c r="D291" t="s">
        <v>3692</v>
      </c>
      <c r="E291" t="s">
        <v>3693</v>
      </c>
      <c r="F291" s="1">
        <v>46119.508692129632</v>
      </c>
      <c r="G291" t="s">
        <v>56</v>
      </c>
      <c r="H291">
        <v>0</v>
      </c>
      <c r="I291">
        <v>269</v>
      </c>
      <c r="J291">
        <v>450</v>
      </c>
      <c r="K291">
        <v>719</v>
      </c>
      <c r="L291">
        <v>1159</v>
      </c>
      <c r="M291">
        <v>1559</v>
      </c>
      <c r="N291">
        <v>4232</v>
      </c>
      <c r="O291">
        <v>4</v>
      </c>
      <c r="P291">
        <v>5</v>
      </c>
      <c r="Q291">
        <v>5</v>
      </c>
      <c r="R291" t="s">
        <v>3694</v>
      </c>
      <c r="S291" t="s">
        <v>3695</v>
      </c>
      <c r="T291" t="s">
        <v>3696</v>
      </c>
      <c r="U291" t="s">
        <v>3697</v>
      </c>
      <c r="V291" t="s">
        <v>3698</v>
      </c>
      <c r="W291" t="s">
        <v>3699</v>
      </c>
      <c r="X291" t="s">
        <v>154</v>
      </c>
      <c r="Y291" t="b">
        <v>0</v>
      </c>
      <c r="Z291" t="s">
        <v>39</v>
      </c>
      <c r="AA291" t="s">
        <v>3700</v>
      </c>
      <c r="AB291" t="s">
        <v>41</v>
      </c>
      <c r="AC291">
        <f t="shared" si="4"/>
        <v>5</v>
      </c>
    </row>
    <row r="292" spans="1:29" x14ac:dyDescent="0.3">
      <c r="A292">
        <v>2472022</v>
      </c>
      <c r="B292" t="s">
        <v>3796</v>
      </c>
      <c r="C292" t="s">
        <v>29</v>
      </c>
      <c r="D292" t="s">
        <v>3797</v>
      </c>
      <c r="E292" t="s">
        <v>3798</v>
      </c>
      <c r="F292" s="1">
        <v>46098.532187500001</v>
      </c>
      <c r="G292" t="s">
        <v>138</v>
      </c>
      <c r="H292">
        <v>0</v>
      </c>
      <c r="I292">
        <v>37</v>
      </c>
      <c r="J292">
        <v>46</v>
      </c>
      <c r="K292">
        <v>83</v>
      </c>
      <c r="L292">
        <v>144</v>
      </c>
      <c r="M292">
        <v>195</v>
      </c>
      <c r="N292">
        <v>4389</v>
      </c>
      <c r="O292">
        <v>3</v>
      </c>
      <c r="P292">
        <v>4</v>
      </c>
      <c r="Q292">
        <v>3</v>
      </c>
      <c r="R292" t="s">
        <v>3799</v>
      </c>
      <c r="S292" t="s">
        <v>3800</v>
      </c>
      <c r="T292" t="s">
        <v>3801</v>
      </c>
      <c r="U292" t="s">
        <v>3802</v>
      </c>
      <c r="V292" t="s">
        <v>3803</v>
      </c>
      <c r="W292" t="s">
        <v>3804</v>
      </c>
      <c r="X292" t="s">
        <v>84</v>
      </c>
      <c r="Y292" t="b">
        <v>0</v>
      </c>
      <c r="Z292" t="s">
        <v>39</v>
      </c>
      <c r="AA292" t="s">
        <v>3805</v>
      </c>
      <c r="AB292" t="s">
        <v>41</v>
      </c>
      <c r="AC292">
        <f t="shared" si="4"/>
        <v>3</v>
      </c>
    </row>
    <row r="293" spans="1:29" x14ac:dyDescent="0.3">
      <c r="A293">
        <v>2472023</v>
      </c>
      <c r="B293" t="s">
        <v>802</v>
      </c>
      <c r="C293" t="s">
        <v>29</v>
      </c>
      <c r="D293" t="s">
        <v>803</v>
      </c>
      <c r="E293" t="s">
        <v>804</v>
      </c>
      <c r="F293" s="1">
        <v>46084.500497685192</v>
      </c>
      <c r="G293" t="s">
        <v>177</v>
      </c>
      <c r="H293">
        <v>0</v>
      </c>
      <c r="I293">
        <v>36</v>
      </c>
      <c r="J293">
        <v>117</v>
      </c>
      <c r="K293">
        <v>153</v>
      </c>
      <c r="L293">
        <v>141</v>
      </c>
      <c r="M293">
        <v>406</v>
      </c>
      <c r="N293">
        <v>805</v>
      </c>
      <c r="O293">
        <v>4</v>
      </c>
      <c r="P293">
        <v>5</v>
      </c>
      <c r="Q293">
        <v>4</v>
      </c>
      <c r="R293" t="s">
        <v>805</v>
      </c>
      <c r="S293" t="s">
        <v>712</v>
      </c>
      <c r="T293" t="s">
        <v>806</v>
      </c>
      <c r="U293" t="s">
        <v>807</v>
      </c>
      <c r="V293" t="s">
        <v>808</v>
      </c>
      <c r="W293" t="s">
        <v>809</v>
      </c>
      <c r="X293" t="s">
        <v>38</v>
      </c>
      <c r="Y293" t="b">
        <v>0</v>
      </c>
      <c r="Z293" t="s">
        <v>39</v>
      </c>
      <c r="AA293" t="s">
        <v>810</v>
      </c>
      <c r="AB293" t="s">
        <v>41</v>
      </c>
      <c r="AC293">
        <f t="shared" si="4"/>
        <v>4</v>
      </c>
    </row>
    <row r="294" spans="1:29" x14ac:dyDescent="0.3">
      <c r="A294">
        <v>2472023</v>
      </c>
      <c r="B294" t="s">
        <v>1440</v>
      </c>
      <c r="C294" t="s">
        <v>29</v>
      </c>
      <c r="D294" t="s">
        <v>1441</v>
      </c>
      <c r="E294" t="s">
        <v>1442</v>
      </c>
      <c r="F294" s="1">
        <v>46112.490011574067</v>
      </c>
      <c r="G294" t="s">
        <v>304</v>
      </c>
      <c r="H294">
        <v>0</v>
      </c>
      <c r="I294">
        <v>37</v>
      </c>
      <c r="J294">
        <v>641</v>
      </c>
      <c r="K294">
        <v>678</v>
      </c>
      <c r="L294">
        <v>135</v>
      </c>
      <c r="M294">
        <v>2160</v>
      </c>
      <c r="N294">
        <v>1564</v>
      </c>
      <c r="O294">
        <v>4</v>
      </c>
      <c r="P294">
        <v>5</v>
      </c>
      <c r="Q294">
        <v>4</v>
      </c>
      <c r="R294" t="s">
        <v>1443</v>
      </c>
      <c r="S294" t="s">
        <v>1040</v>
      </c>
      <c r="T294" t="s">
        <v>1444</v>
      </c>
      <c r="U294" t="s">
        <v>441</v>
      </c>
      <c r="V294" t="s">
        <v>1445</v>
      </c>
      <c r="W294" t="s">
        <v>1446</v>
      </c>
      <c r="X294" t="s">
        <v>38</v>
      </c>
      <c r="Y294" t="b">
        <v>0</v>
      </c>
      <c r="Z294" t="s">
        <v>39</v>
      </c>
      <c r="AA294" t="s">
        <v>1447</v>
      </c>
      <c r="AB294" t="s">
        <v>41</v>
      </c>
      <c r="AC294">
        <f t="shared" si="4"/>
        <v>4</v>
      </c>
    </row>
    <row r="295" spans="1:29" x14ac:dyDescent="0.3">
      <c r="A295">
        <v>2472023</v>
      </c>
      <c r="B295" t="s">
        <v>1480</v>
      </c>
      <c r="C295" t="s">
        <v>29</v>
      </c>
      <c r="D295" t="s">
        <v>1481</v>
      </c>
      <c r="E295" t="s">
        <v>1482</v>
      </c>
      <c r="F295" s="1">
        <v>46091.497673611113</v>
      </c>
      <c r="G295" t="s">
        <v>31</v>
      </c>
      <c r="H295">
        <v>0</v>
      </c>
      <c r="I295">
        <v>40</v>
      </c>
      <c r="J295">
        <v>14</v>
      </c>
      <c r="K295">
        <v>54</v>
      </c>
      <c r="L295">
        <v>126</v>
      </c>
      <c r="M295">
        <v>40</v>
      </c>
      <c r="N295">
        <v>1616</v>
      </c>
      <c r="O295">
        <v>4</v>
      </c>
      <c r="P295">
        <v>5</v>
      </c>
      <c r="Q295">
        <v>5</v>
      </c>
      <c r="R295" t="s">
        <v>139</v>
      </c>
      <c r="S295" t="s">
        <v>1483</v>
      </c>
      <c r="T295" t="s">
        <v>1484</v>
      </c>
      <c r="U295" t="s">
        <v>125</v>
      </c>
      <c r="V295" t="s">
        <v>1485</v>
      </c>
      <c r="W295" t="s">
        <v>1486</v>
      </c>
      <c r="X295" t="s">
        <v>154</v>
      </c>
      <c r="Y295" t="b">
        <v>0</v>
      </c>
      <c r="Z295" t="s">
        <v>39</v>
      </c>
      <c r="AA295" t="s">
        <v>1487</v>
      </c>
      <c r="AB295" t="s">
        <v>41</v>
      </c>
      <c r="AC295">
        <f t="shared" si="4"/>
        <v>5</v>
      </c>
    </row>
    <row r="296" spans="1:29" x14ac:dyDescent="0.3">
      <c r="A296">
        <v>2472023</v>
      </c>
      <c r="B296" t="s">
        <v>1958</v>
      </c>
      <c r="C296" t="s">
        <v>29</v>
      </c>
      <c r="D296" t="s">
        <v>1708</v>
      </c>
      <c r="E296" t="s">
        <v>1709</v>
      </c>
      <c r="F296" s="1">
        <v>46091.503344907411</v>
      </c>
      <c r="G296" t="s">
        <v>31</v>
      </c>
      <c r="H296">
        <v>0</v>
      </c>
      <c r="I296">
        <v>29</v>
      </c>
      <c r="J296">
        <v>22</v>
      </c>
      <c r="K296">
        <v>51</v>
      </c>
      <c r="L296">
        <v>115</v>
      </c>
      <c r="M296">
        <v>113</v>
      </c>
      <c r="N296">
        <v>2234</v>
      </c>
      <c r="O296">
        <v>4</v>
      </c>
      <c r="P296">
        <v>5</v>
      </c>
      <c r="Q296">
        <v>4</v>
      </c>
      <c r="R296" t="s">
        <v>1959</v>
      </c>
      <c r="S296" t="s">
        <v>1960</v>
      </c>
      <c r="T296" t="s">
        <v>1961</v>
      </c>
      <c r="U296" t="s">
        <v>125</v>
      </c>
      <c r="V296" t="s">
        <v>1962</v>
      </c>
      <c r="W296" t="s">
        <v>1963</v>
      </c>
      <c r="X296" t="s">
        <v>38</v>
      </c>
      <c r="Y296" t="b">
        <v>0</v>
      </c>
      <c r="Z296" t="s">
        <v>39</v>
      </c>
      <c r="AA296" t="s">
        <v>1964</v>
      </c>
      <c r="AB296" t="s">
        <v>41</v>
      </c>
      <c r="AC296">
        <f t="shared" si="4"/>
        <v>4</v>
      </c>
    </row>
    <row r="297" spans="1:29" x14ac:dyDescent="0.3">
      <c r="A297">
        <v>2472023</v>
      </c>
      <c r="B297" t="s">
        <v>2314</v>
      </c>
      <c r="C297" t="s">
        <v>29</v>
      </c>
      <c r="D297" t="s">
        <v>2315</v>
      </c>
      <c r="E297" t="s">
        <v>2316</v>
      </c>
      <c r="F297" s="1">
        <v>46119.516145833331</v>
      </c>
      <c r="G297" t="s">
        <v>56</v>
      </c>
      <c r="H297">
        <v>0</v>
      </c>
      <c r="I297">
        <v>113</v>
      </c>
      <c r="J297">
        <v>72</v>
      </c>
      <c r="K297">
        <v>185</v>
      </c>
      <c r="L297">
        <v>347</v>
      </c>
      <c r="M297">
        <v>210</v>
      </c>
      <c r="N297">
        <v>2642</v>
      </c>
      <c r="O297">
        <v>3</v>
      </c>
      <c r="P297">
        <v>4</v>
      </c>
      <c r="Q297">
        <v>3</v>
      </c>
      <c r="R297" t="s">
        <v>1679</v>
      </c>
      <c r="S297" t="s">
        <v>2317</v>
      </c>
      <c r="T297" t="s">
        <v>2318</v>
      </c>
      <c r="U297" t="s">
        <v>2319</v>
      </c>
      <c r="V297" t="s">
        <v>2320</v>
      </c>
      <c r="W297" t="s">
        <v>2321</v>
      </c>
      <c r="X297" t="s">
        <v>38</v>
      </c>
      <c r="Y297" t="b">
        <v>0</v>
      </c>
      <c r="Z297" t="s">
        <v>39</v>
      </c>
      <c r="AA297" t="s">
        <v>2322</v>
      </c>
      <c r="AB297" t="s">
        <v>41</v>
      </c>
      <c r="AC297">
        <f t="shared" si="4"/>
        <v>4</v>
      </c>
    </row>
    <row r="298" spans="1:29" x14ac:dyDescent="0.3">
      <c r="A298">
        <v>2472023</v>
      </c>
      <c r="B298" t="s">
        <v>2369</v>
      </c>
      <c r="C298" t="s">
        <v>29</v>
      </c>
      <c r="D298" t="s">
        <v>2370</v>
      </c>
      <c r="E298" t="s">
        <v>1775</v>
      </c>
      <c r="F298" s="1">
        <v>46091.514143518521</v>
      </c>
      <c r="G298" t="s">
        <v>31</v>
      </c>
      <c r="H298">
        <v>0</v>
      </c>
      <c r="I298">
        <v>36</v>
      </c>
      <c r="J298">
        <v>17</v>
      </c>
      <c r="K298">
        <v>53</v>
      </c>
      <c r="L298">
        <v>115</v>
      </c>
      <c r="M298">
        <v>70</v>
      </c>
      <c r="N298">
        <v>2686</v>
      </c>
      <c r="O298">
        <v>3</v>
      </c>
      <c r="P298">
        <v>2</v>
      </c>
      <c r="Q298">
        <v>2</v>
      </c>
      <c r="R298" t="s">
        <v>2371</v>
      </c>
      <c r="S298" t="s">
        <v>2372</v>
      </c>
      <c r="T298" t="s">
        <v>2373</v>
      </c>
      <c r="U298" t="s">
        <v>2374</v>
      </c>
      <c r="V298" t="s">
        <v>2375</v>
      </c>
      <c r="W298" t="s">
        <v>2376</v>
      </c>
      <c r="X298" t="s">
        <v>84</v>
      </c>
      <c r="Y298" t="b">
        <v>0</v>
      </c>
      <c r="Z298" t="s">
        <v>39</v>
      </c>
      <c r="AA298" t="s">
        <v>2377</v>
      </c>
      <c r="AB298" t="s">
        <v>41</v>
      </c>
      <c r="AC298">
        <f t="shared" si="4"/>
        <v>3</v>
      </c>
    </row>
    <row r="299" spans="1:29" x14ac:dyDescent="0.3">
      <c r="A299">
        <v>2472023</v>
      </c>
      <c r="B299" t="s">
        <v>3133</v>
      </c>
      <c r="C299" t="s">
        <v>29</v>
      </c>
      <c r="D299" t="s">
        <v>990</v>
      </c>
      <c r="E299" t="s">
        <v>991</v>
      </c>
      <c r="F299" s="1">
        <v>46091.511597222219</v>
      </c>
      <c r="G299" t="s">
        <v>31</v>
      </c>
      <c r="H299">
        <v>0</v>
      </c>
      <c r="I299">
        <v>60</v>
      </c>
      <c r="J299">
        <v>12</v>
      </c>
      <c r="K299">
        <v>72</v>
      </c>
      <c r="L299">
        <v>215</v>
      </c>
      <c r="M299">
        <v>40</v>
      </c>
      <c r="N299">
        <v>3571</v>
      </c>
      <c r="O299">
        <v>4</v>
      </c>
      <c r="P299">
        <v>5</v>
      </c>
      <c r="Q299">
        <v>5</v>
      </c>
      <c r="R299" t="s">
        <v>139</v>
      </c>
      <c r="S299" t="s">
        <v>3134</v>
      </c>
      <c r="T299" t="s">
        <v>3135</v>
      </c>
      <c r="U299" t="s">
        <v>125</v>
      </c>
      <c r="V299" t="s">
        <v>3136</v>
      </c>
      <c r="W299" t="s">
        <v>1712</v>
      </c>
      <c r="X299" t="s">
        <v>154</v>
      </c>
      <c r="Y299" t="b">
        <v>0</v>
      </c>
      <c r="Z299" t="s">
        <v>39</v>
      </c>
      <c r="AA299" t="s">
        <v>3137</v>
      </c>
      <c r="AB299" t="s">
        <v>41</v>
      </c>
      <c r="AC299">
        <f t="shared" si="4"/>
        <v>5</v>
      </c>
    </row>
    <row r="300" spans="1:29" x14ac:dyDescent="0.3">
      <c r="A300">
        <v>2472024</v>
      </c>
      <c r="B300" t="s">
        <v>105</v>
      </c>
      <c r="C300" t="s">
        <v>29</v>
      </c>
      <c r="D300" t="s">
        <v>106</v>
      </c>
      <c r="E300" t="s">
        <v>106</v>
      </c>
      <c r="F300" s="1">
        <v>46126.473530092589</v>
      </c>
      <c r="G300" t="s">
        <v>45</v>
      </c>
      <c r="H300">
        <v>0</v>
      </c>
      <c r="I300">
        <v>50</v>
      </c>
      <c r="J300">
        <v>304</v>
      </c>
      <c r="K300">
        <v>354</v>
      </c>
      <c r="L300">
        <v>167</v>
      </c>
      <c r="M300">
        <v>1107</v>
      </c>
      <c r="N300">
        <v>103</v>
      </c>
      <c r="O300">
        <v>4</v>
      </c>
      <c r="P300">
        <v>5</v>
      </c>
      <c r="Q300">
        <v>4</v>
      </c>
      <c r="R300" t="s">
        <v>107</v>
      </c>
      <c r="S300" t="s">
        <v>108</v>
      </c>
      <c r="T300" t="s">
        <v>109</v>
      </c>
      <c r="U300" t="s">
        <v>110</v>
      </c>
      <c r="V300" t="s">
        <v>111</v>
      </c>
      <c r="W300" t="s">
        <v>112</v>
      </c>
      <c r="X300" t="s">
        <v>38</v>
      </c>
      <c r="Y300" t="b">
        <v>0</v>
      </c>
      <c r="Z300" t="s">
        <v>39</v>
      </c>
      <c r="AA300" t="s">
        <v>113</v>
      </c>
      <c r="AB300" t="s">
        <v>41</v>
      </c>
      <c r="AC300">
        <f t="shared" si="4"/>
        <v>4</v>
      </c>
    </row>
    <row r="301" spans="1:29" x14ac:dyDescent="0.3">
      <c r="A301">
        <v>2472024</v>
      </c>
      <c r="B301" t="s">
        <v>772</v>
      </c>
      <c r="C301" t="s">
        <v>29</v>
      </c>
      <c r="D301" t="s">
        <v>773</v>
      </c>
      <c r="E301" t="s">
        <v>773</v>
      </c>
      <c r="F301" s="1">
        <v>46091.506354166668</v>
      </c>
      <c r="G301" t="s">
        <v>31</v>
      </c>
      <c r="H301">
        <v>0</v>
      </c>
      <c r="I301">
        <v>83</v>
      </c>
      <c r="J301">
        <v>168</v>
      </c>
      <c r="K301">
        <v>251</v>
      </c>
      <c r="L301">
        <v>386</v>
      </c>
      <c r="M301">
        <v>673</v>
      </c>
      <c r="N301">
        <v>792</v>
      </c>
      <c r="O301">
        <v>4</v>
      </c>
      <c r="P301">
        <v>5</v>
      </c>
      <c r="Q301">
        <v>5</v>
      </c>
      <c r="R301" t="s">
        <v>139</v>
      </c>
      <c r="S301" t="s">
        <v>387</v>
      </c>
      <c r="T301" t="s">
        <v>307</v>
      </c>
      <c r="U301" t="s">
        <v>125</v>
      </c>
      <c r="V301" t="s">
        <v>774</v>
      </c>
      <c r="W301" t="s">
        <v>775</v>
      </c>
      <c r="X301" t="s">
        <v>154</v>
      </c>
      <c r="Y301" t="b">
        <v>0</v>
      </c>
      <c r="Z301" t="s">
        <v>39</v>
      </c>
      <c r="AA301" t="s">
        <v>776</v>
      </c>
      <c r="AB301" t="s">
        <v>41</v>
      </c>
      <c r="AC301">
        <f t="shared" si="4"/>
        <v>5</v>
      </c>
    </row>
    <row r="302" spans="1:29" x14ac:dyDescent="0.3">
      <c r="A302">
        <v>2472024</v>
      </c>
      <c r="B302" t="s">
        <v>1144</v>
      </c>
      <c r="C302" t="s">
        <v>29</v>
      </c>
      <c r="D302" t="s">
        <v>1145</v>
      </c>
      <c r="E302" t="s">
        <v>1145</v>
      </c>
      <c r="F302" s="1">
        <v>46098.503541666672</v>
      </c>
      <c r="G302" t="s">
        <v>138</v>
      </c>
      <c r="H302">
        <v>0</v>
      </c>
      <c r="I302">
        <v>29</v>
      </c>
      <c r="J302">
        <v>105</v>
      </c>
      <c r="K302">
        <v>134</v>
      </c>
      <c r="L302">
        <v>143</v>
      </c>
      <c r="M302">
        <v>384</v>
      </c>
      <c r="N302">
        <v>1209</v>
      </c>
      <c r="O302">
        <v>4</v>
      </c>
      <c r="P302">
        <v>5</v>
      </c>
      <c r="Q302">
        <v>5</v>
      </c>
      <c r="R302" t="s">
        <v>139</v>
      </c>
      <c r="S302" t="s">
        <v>1146</v>
      </c>
      <c r="T302" t="s">
        <v>1147</v>
      </c>
      <c r="U302" t="s">
        <v>170</v>
      </c>
      <c r="V302" t="s">
        <v>1148</v>
      </c>
      <c r="W302" t="s">
        <v>1149</v>
      </c>
      <c r="X302" t="s">
        <v>154</v>
      </c>
      <c r="Y302" t="b">
        <v>0</v>
      </c>
      <c r="Z302" t="s">
        <v>39</v>
      </c>
      <c r="AA302" t="s">
        <v>1150</v>
      </c>
      <c r="AB302" t="s">
        <v>41</v>
      </c>
      <c r="AC302">
        <f t="shared" si="4"/>
        <v>5</v>
      </c>
    </row>
    <row r="303" spans="1:29" x14ac:dyDescent="0.3">
      <c r="A303">
        <v>2472024</v>
      </c>
      <c r="B303" t="s">
        <v>1543</v>
      </c>
      <c r="C303" t="s">
        <v>29</v>
      </c>
      <c r="D303" t="s">
        <v>1544</v>
      </c>
      <c r="E303" t="s">
        <v>1544</v>
      </c>
      <c r="F303" s="1">
        <v>46098.509120370371</v>
      </c>
      <c r="G303" t="s">
        <v>138</v>
      </c>
      <c r="H303">
        <v>0</v>
      </c>
      <c r="I303">
        <v>39</v>
      </c>
      <c r="J303">
        <v>123</v>
      </c>
      <c r="K303">
        <v>162</v>
      </c>
      <c r="L303">
        <v>161</v>
      </c>
      <c r="M303">
        <v>410</v>
      </c>
      <c r="N303">
        <v>1702</v>
      </c>
      <c r="O303">
        <v>4</v>
      </c>
      <c r="P303">
        <v>5</v>
      </c>
      <c r="Q303">
        <v>5</v>
      </c>
      <c r="R303" t="s">
        <v>139</v>
      </c>
      <c r="S303" t="s">
        <v>1545</v>
      </c>
      <c r="T303" t="s">
        <v>621</v>
      </c>
      <c r="U303" t="s">
        <v>125</v>
      </c>
      <c r="V303" t="s">
        <v>1546</v>
      </c>
      <c r="W303" t="s">
        <v>1547</v>
      </c>
      <c r="X303" t="s">
        <v>154</v>
      </c>
      <c r="Y303" t="b">
        <v>0</v>
      </c>
      <c r="Z303" t="s">
        <v>39</v>
      </c>
      <c r="AA303" t="s">
        <v>1548</v>
      </c>
      <c r="AB303" t="s">
        <v>41</v>
      </c>
      <c r="AC303">
        <f t="shared" si="4"/>
        <v>5</v>
      </c>
    </row>
    <row r="304" spans="1:29" x14ac:dyDescent="0.3">
      <c r="A304">
        <v>2472024</v>
      </c>
      <c r="B304" t="s">
        <v>2243</v>
      </c>
      <c r="C304" t="s">
        <v>29</v>
      </c>
      <c r="D304" t="s">
        <v>2244</v>
      </c>
      <c r="E304" t="s">
        <v>2244</v>
      </c>
      <c r="F304" s="1">
        <v>46098.504537037043</v>
      </c>
      <c r="G304" t="s">
        <v>138</v>
      </c>
      <c r="H304">
        <v>0</v>
      </c>
      <c r="I304">
        <v>57</v>
      </c>
      <c r="J304">
        <v>335</v>
      </c>
      <c r="K304">
        <v>392</v>
      </c>
      <c r="L304">
        <v>217</v>
      </c>
      <c r="M304">
        <v>1234</v>
      </c>
      <c r="N304">
        <v>2577</v>
      </c>
      <c r="O304">
        <v>4</v>
      </c>
      <c r="P304">
        <v>5</v>
      </c>
      <c r="Q304">
        <v>4</v>
      </c>
      <c r="R304" t="s">
        <v>2245</v>
      </c>
      <c r="S304" t="s">
        <v>2246</v>
      </c>
      <c r="T304" t="s">
        <v>2247</v>
      </c>
      <c r="U304" t="s">
        <v>441</v>
      </c>
      <c r="V304" t="s">
        <v>2248</v>
      </c>
      <c r="W304" t="s">
        <v>443</v>
      </c>
      <c r="X304" t="s">
        <v>38</v>
      </c>
      <c r="Y304" t="b">
        <v>0</v>
      </c>
      <c r="Z304" t="s">
        <v>39</v>
      </c>
      <c r="AA304" t="s">
        <v>2249</v>
      </c>
      <c r="AB304" t="s">
        <v>41</v>
      </c>
      <c r="AC304">
        <f t="shared" si="4"/>
        <v>4</v>
      </c>
    </row>
    <row r="305" spans="1:29" x14ac:dyDescent="0.3">
      <c r="A305">
        <v>2472024</v>
      </c>
      <c r="B305" t="s">
        <v>3021</v>
      </c>
      <c r="C305" t="s">
        <v>29</v>
      </c>
      <c r="D305" t="s">
        <v>3022</v>
      </c>
      <c r="E305" t="s">
        <v>3022</v>
      </c>
      <c r="F305" s="1">
        <v>46098.500659722216</v>
      </c>
      <c r="G305" t="s">
        <v>138</v>
      </c>
      <c r="H305">
        <v>0</v>
      </c>
      <c r="I305">
        <v>46</v>
      </c>
      <c r="J305">
        <v>119</v>
      </c>
      <c r="K305">
        <v>165</v>
      </c>
      <c r="L305">
        <v>188</v>
      </c>
      <c r="M305">
        <v>430</v>
      </c>
      <c r="N305">
        <v>3455</v>
      </c>
      <c r="O305">
        <v>4</v>
      </c>
      <c r="P305">
        <v>5</v>
      </c>
      <c r="Q305">
        <v>5</v>
      </c>
      <c r="R305" t="s">
        <v>139</v>
      </c>
      <c r="S305" t="s">
        <v>3023</v>
      </c>
      <c r="T305" t="s">
        <v>3024</v>
      </c>
      <c r="U305" t="s">
        <v>125</v>
      </c>
      <c r="V305" t="s">
        <v>3025</v>
      </c>
      <c r="W305" t="s">
        <v>3026</v>
      </c>
      <c r="X305" t="s">
        <v>154</v>
      </c>
      <c r="Y305" t="b">
        <v>0</v>
      </c>
      <c r="Z305" t="s">
        <v>39</v>
      </c>
      <c r="AA305" t="s">
        <v>3027</v>
      </c>
      <c r="AB305" t="s">
        <v>41</v>
      </c>
      <c r="AC305">
        <f t="shared" si="4"/>
        <v>5</v>
      </c>
    </row>
    <row r="306" spans="1:29" x14ac:dyDescent="0.3">
      <c r="A306">
        <v>2472024</v>
      </c>
      <c r="B306" t="s">
        <v>3596</v>
      </c>
      <c r="C306" t="s">
        <v>29</v>
      </c>
      <c r="D306" t="s">
        <v>3597</v>
      </c>
      <c r="E306" t="s">
        <v>3597</v>
      </c>
      <c r="F306" s="1">
        <v>46098.495671296303</v>
      </c>
      <c r="G306" t="s">
        <v>138</v>
      </c>
      <c r="H306">
        <v>0</v>
      </c>
      <c r="I306">
        <v>74</v>
      </c>
      <c r="J306">
        <v>145</v>
      </c>
      <c r="K306">
        <v>219</v>
      </c>
      <c r="L306">
        <v>266</v>
      </c>
      <c r="M306">
        <v>360</v>
      </c>
      <c r="N306">
        <v>4141</v>
      </c>
      <c r="O306">
        <v>3</v>
      </c>
      <c r="P306">
        <v>4</v>
      </c>
      <c r="Q306">
        <v>4</v>
      </c>
      <c r="R306" t="s">
        <v>1679</v>
      </c>
      <c r="S306" t="s">
        <v>3598</v>
      </c>
      <c r="T306" t="s">
        <v>1577</v>
      </c>
      <c r="U306" t="s">
        <v>3599</v>
      </c>
      <c r="V306" t="s">
        <v>3600</v>
      </c>
      <c r="W306" t="s">
        <v>3601</v>
      </c>
      <c r="X306" t="s">
        <v>38</v>
      </c>
      <c r="Y306" t="b">
        <v>0</v>
      </c>
      <c r="Z306" t="s">
        <v>39</v>
      </c>
      <c r="AA306" t="s">
        <v>3602</v>
      </c>
      <c r="AB306" t="s">
        <v>41</v>
      </c>
      <c r="AC306">
        <f t="shared" si="4"/>
        <v>4</v>
      </c>
    </row>
    <row r="307" spans="1:29" x14ac:dyDescent="0.3">
      <c r="A307">
        <v>2472024</v>
      </c>
      <c r="B307" t="s">
        <v>3608</v>
      </c>
      <c r="C307" t="s">
        <v>29</v>
      </c>
      <c r="D307" t="s">
        <v>3609</v>
      </c>
      <c r="E307" t="s">
        <v>3610</v>
      </c>
      <c r="F307" s="1">
        <v>46084.491284722222</v>
      </c>
      <c r="G307" t="s">
        <v>177</v>
      </c>
      <c r="H307">
        <v>0</v>
      </c>
      <c r="I307">
        <v>61</v>
      </c>
      <c r="J307">
        <v>23</v>
      </c>
      <c r="K307">
        <v>84</v>
      </c>
      <c r="L307">
        <v>280</v>
      </c>
      <c r="M307">
        <v>90</v>
      </c>
      <c r="N307">
        <v>4147</v>
      </c>
      <c r="O307">
        <v>3</v>
      </c>
      <c r="P307">
        <v>4</v>
      </c>
      <c r="Q307">
        <v>3</v>
      </c>
      <c r="R307" t="s">
        <v>3611</v>
      </c>
      <c r="S307" t="s">
        <v>3612</v>
      </c>
      <c r="T307" t="s">
        <v>3613</v>
      </c>
      <c r="U307" t="s">
        <v>3614</v>
      </c>
      <c r="V307" t="s">
        <v>3615</v>
      </c>
      <c r="W307" t="s">
        <v>3616</v>
      </c>
      <c r="X307" t="s">
        <v>84</v>
      </c>
      <c r="Y307" t="b">
        <v>0</v>
      </c>
      <c r="Z307" t="s">
        <v>39</v>
      </c>
      <c r="AA307" t="s">
        <v>3617</v>
      </c>
      <c r="AB307" t="s">
        <v>41</v>
      </c>
      <c r="AC307">
        <f t="shared" si="4"/>
        <v>3</v>
      </c>
    </row>
    <row r="308" spans="1:29" x14ac:dyDescent="0.3">
      <c r="A308">
        <v>2472024</v>
      </c>
      <c r="B308" t="s">
        <v>3664</v>
      </c>
      <c r="C308" t="s">
        <v>29</v>
      </c>
      <c r="D308" t="s">
        <v>3665</v>
      </c>
      <c r="E308" t="s">
        <v>3666</v>
      </c>
      <c r="F308" s="1">
        <v>46098.516689814824</v>
      </c>
      <c r="G308" t="s">
        <v>138</v>
      </c>
      <c r="H308">
        <v>0</v>
      </c>
      <c r="I308">
        <v>33</v>
      </c>
      <c r="J308">
        <v>21</v>
      </c>
      <c r="K308">
        <v>54</v>
      </c>
      <c r="L308">
        <v>117</v>
      </c>
      <c r="M308">
        <v>98</v>
      </c>
      <c r="N308">
        <v>4201</v>
      </c>
      <c r="O308">
        <v>3</v>
      </c>
      <c r="P308">
        <v>5</v>
      </c>
      <c r="Q308">
        <v>4</v>
      </c>
      <c r="R308" t="s">
        <v>3667</v>
      </c>
      <c r="S308" t="s">
        <v>3668</v>
      </c>
      <c r="T308" t="s">
        <v>3669</v>
      </c>
      <c r="U308" t="s">
        <v>3670</v>
      </c>
      <c r="V308" t="s">
        <v>3671</v>
      </c>
      <c r="W308" t="s">
        <v>3672</v>
      </c>
      <c r="X308" t="s">
        <v>38</v>
      </c>
      <c r="Y308" t="b">
        <v>0</v>
      </c>
      <c r="Z308" t="s">
        <v>39</v>
      </c>
      <c r="AA308" t="s">
        <v>3673</v>
      </c>
      <c r="AB308" t="s">
        <v>41</v>
      </c>
      <c r="AC308">
        <f t="shared" si="4"/>
        <v>4</v>
      </c>
    </row>
    <row r="309" spans="1:29" x14ac:dyDescent="0.3">
      <c r="A309">
        <v>2472024</v>
      </c>
      <c r="B309" t="s">
        <v>3789</v>
      </c>
      <c r="C309" t="s">
        <v>29</v>
      </c>
      <c r="D309" t="s">
        <v>3790</v>
      </c>
      <c r="E309" t="s">
        <v>3790</v>
      </c>
      <c r="F309" s="1">
        <v>46112.484502314823</v>
      </c>
      <c r="G309" t="s">
        <v>304</v>
      </c>
      <c r="H309">
        <v>0</v>
      </c>
      <c r="I309">
        <v>38</v>
      </c>
      <c r="J309">
        <v>109</v>
      </c>
      <c r="K309">
        <v>147</v>
      </c>
      <c r="L309">
        <v>126</v>
      </c>
      <c r="M309">
        <v>385</v>
      </c>
      <c r="N309">
        <v>4382</v>
      </c>
      <c r="O309">
        <v>4</v>
      </c>
      <c r="P309">
        <v>5</v>
      </c>
      <c r="Q309">
        <v>5</v>
      </c>
      <c r="R309" t="s">
        <v>3791</v>
      </c>
      <c r="S309" t="s">
        <v>3792</v>
      </c>
      <c r="T309" t="s">
        <v>3793</v>
      </c>
      <c r="U309" t="s">
        <v>782</v>
      </c>
      <c r="V309" t="s">
        <v>3794</v>
      </c>
      <c r="W309" t="s">
        <v>2223</v>
      </c>
      <c r="X309" t="s">
        <v>154</v>
      </c>
      <c r="Y309" t="b">
        <v>0</v>
      </c>
      <c r="Z309" t="s">
        <v>39</v>
      </c>
      <c r="AA309" t="s">
        <v>3795</v>
      </c>
      <c r="AB309" t="s">
        <v>41</v>
      </c>
      <c r="AC309">
        <f t="shared" si="4"/>
        <v>5</v>
      </c>
    </row>
    <row r="310" spans="1:29" x14ac:dyDescent="0.3">
      <c r="A310">
        <v>2472024</v>
      </c>
      <c r="B310" t="s">
        <v>3813</v>
      </c>
      <c r="C310" t="s">
        <v>29</v>
      </c>
      <c r="D310" t="s">
        <v>3814</v>
      </c>
      <c r="E310" t="s">
        <v>3814</v>
      </c>
      <c r="F310" s="1">
        <v>46084.515439814822</v>
      </c>
      <c r="G310" t="s">
        <v>177</v>
      </c>
      <c r="H310">
        <v>0</v>
      </c>
      <c r="I310">
        <v>56</v>
      </c>
      <c r="J310">
        <v>816</v>
      </c>
      <c r="K310">
        <v>872</v>
      </c>
      <c r="L310">
        <v>205</v>
      </c>
      <c r="M310">
        <v>2665</v>
      </c>
      <c r="N310">
        <v>4407</v>
      </c>
      <c r="O310">
        <v>4</v>
      </c>
      <c r="P310">
        <v>5</v>
      </c>
      <c r="Q310">
        <v>5</v>
      </c>
      <c r="R310" t="s">
        <v>3815</v>
      </c>
      <c r="S310" t="s">
        <v>387</v>
      </c>
      <c r="T310" t="s">
        <v>3816</v>
      </c>
      <c r="U310" t="s">
        <v>362</v>
      </c>
      <c r="V310" t="s">
        <v>3817</v>
      </c>
      <c r="W310" t="s">
        <v>3818</v>
      </c>
      <c r="X310" t="s">
        <v>154</v>
      </c>
      <c r="Y310" t="b">
        <v>0</v>
      </c>
      <c r="Z310" t="s">
        <v>39</v>
      </c>
      <c r="AA310" t="s">
        <v>3819</v>
      </c>
      <c r="AB310" t="s">
        <v>41</v>
      </c>
      <c r="AC310">
        <f t="shared" si="4"/>
        <v>5</v>
      </c>
    </row>
    <row r="311" spans="1:29" x14ac:dyDescent="0.3">
      <c r="A311">
        <v>2472024</v>
      </c>
      <c r="B311" t="s">
        <v>4030</v>
      </c>
      <c r="C311" t="s">
        <v>29</v>
      </c>
      <c r="D311" t="s">
        <v>4031</v>
      </c>
      <c r="E311" t="s">
        <v>4031</v>
      </c>
      <c r="F311" s="1">
        <v>46091.496354166673</v>
      </c>
      <c r="G311" t="s">
        <v>31</v>
      </c>
      <c r="H311">
        <v>0</v>
      </c>
      <c r="I311">
        <v>112</v>
      </c>
      <c r="J311">
        <v>788</v>
      </c>
      <c r="K311">
        <v>900</v>
      </c>
      <c r="L311">
        <v>504</v>
      </c>
      <c r="M311">
        <v>2493</v>
      </c>
      <c r="N311">
        <v>4703</v>
      </c>
      <c r="O311">
        <v>4</v>
      </c>
      <c r="P311">
        <v>5</v>
      </c>
      <c r="Q311">
        <v>4</v>
      </c>
      <c r="R311" t="s">
        <v>4032</v>
      </c>
      <c r="S311" t="s">
        <v>729</v>
      </c>
      <c r="T311" t="s">
        <v>1862</v>
      </c>
      <c r="U311" t="s">
        <v>441</v>
      </c>
      <c r="V311" t="s">
        <v>4033</v>
      </c>
      <c r="W311" t="s">
        <v>1402</v>
      </c>
      <c r="X311" t="s">
        <v>38</v>
      </c>
      <c r="Y311" t="b">
        <v>0</v>
      </c>
      <c r="Z311" t="s">
        <v>39</v>
      </c>
      <c r="AA311" t="s">
        <v>4034</v>
      </c>
      <c r="AB311" t="s">
        <v>41</v>
      </c>
      <c r="AC311">
        <f t="shared" si="4"/>
        <v>4</v>
      </c>
    </row>
    <row r="312" spans="1:29" x14ac:dyDescent="0.3">
      <c r="A312">
        <v>2472025</v>
      </c>
      <c r="B312" t="s">
        <v>625</v>
      </c>
      <c r="C312" t="s">
        <v>29</v>
      </c>
      <c r="D312" t="s">
        <v>626</v>
      </c>
      <c r="E312" t="s">
        <v>627</v>
      </c>
      <c r="F312" s="1">
        <v>46084.494108796287</v>
      </c>
      <c r="G312" t="s">
        <v>177</v>
      </c>
      <c r="H312">
        <v>0</v>
      </c>
      <c r="I312">
        <v>48</v>
      </c>
      <c r="J312">
        <v>104</v>
      </c>
      <c r="K312">
        <v>152</v>
      </c>
      <c r="L312">
        <v>194</v>
      </c>
      <c r="M312">
        <v>360</v>
      </c>
      <c r="N312">
        <v>588</v>
      </c>
      <c r="O312">
        <v>4</v>
      </c>
      <c r="P312">
        <v>4</v>
      </c>
      <c r="Q312">
        <v>4</v>
      </c>
      <c r="R312" t="s">
        <v>628</v>
      </c>
      <c r="S312" t="s">
        <v>629</v>
      </c>
      <c r="T312" t="s">
        <v>630</v>
      </c>
      <c r="U312" t="s">
        <v>631</v>
      </c>
      <c r="V312" t="s">
        <v>632</v>
      </c>
      <c r="W312" t="s">
        <v>633</v>
      </c>
      <c r="X312" t="s">
        <v>38</v>
      </c>
      <c r="Y312" t="b">
        <v>0</v>
      </c>
      <c r="Z312" t="s">
        <v>39</v>
      </c>
      <c r="AA312" t="s">
        <v>634</v>
      </c>
      <c r="AB312" t="s">
        <v>41</v>
      </c>
      <c r="AC312">
        <f t="shared" si="4"/>
        <v>4</v>
      </c>
    </row>
    <row r="313" spans="1:29" x14ac:dyDescent="0.3">
      <c r="A313">
        <v>2472025</v>
      </c>
      <c r="B313" t="s">
        <v>709</v>
      </c>
      <c r="C313" t="s">
        <v>29</v>
      </c>
      <c r="D313" t="s">
        <v>710</v>
      </c>
      <c r="E313" t="s">
        <v>710</v>
      </c>
      <c r="F313" s="1">
        <v>46126.451192129629</v>
      </c>
      <c r="G313" t="s">
        <v>45</v>
      </c>
      <c r="H313">
        <v>0</v>
      </c>
      <c r="I313">
        <v>55</v>
      </c>
      <c r="J313">
        <v>1041</v>
      </c>
      <c r="K313">
        <v>1096</v>
      </c>
      <c r="L313">
        <v>204</v>
      </c>
      <c r="M313">
        <v>4275</v>
      </c>
      <c r="N313">
        <v>753</v>
      </c>
      <c r="O313">
        <v>4</v>
      </c>
      <c r="P313">
        <v>4</v>
      </c>
      <c r="Q313">
        <v>4</v>
      </c>
      <c r="R313" t="s">
        <v>711</v>
      </c>
      <c r="S313" t="s">
        <v>712</v>
      </c>
      <c r="T313" t="s">
        <v>713</v>
      </c>
      <c r="U313" t="s">
        <v>714</v>
      </c>
      <c r="V313" t="s">
        <v>715</v>
      </c>
      <c r="W313" t="s">
        <v>716</v>
      </c>
      <c r="X313" t="s">
        <v>38</v>
      </c>
      <c r="Y313" t="b">
        <v>0</v>
      </c>
      <c r="Z313" t="s">
        <v>39</v>
      </c>
      <c r="AA313" t="s">
        <v>717</v>
      </c>
      <c r="AB313" t="s">
        <v>41</v>
      </c>
      <c r="AC313">
        <f t="shared" si="4"/>
        <v>4</v>
      </c>
    </row>
    <row r="314" spans="1:29" x14ac:dyDescent="0.3">
      <c r="A314">
        <v>2472025</v>
      </c>
      <c r="B314" t="s">
        <v>1643</v>
      </c>
      <c r="C314" t="s">
        <v>29</v>
      </c>
      <c r="D314" t="s">
        <v>1644</v>
      </c>
      <c r="E314" t="s">
        <v>1645</v>
      </c>
      <c r="F314" s="1">
        <v>46084.506030092591</v>
      </c>
      <c r="G314" t="s">
        <v>177</v>
      </c>
      <c r="H314">
        <v>0</v>
      </c>
      <c r="I314">
        <v>25</v>
      </c>
      <c r="J314">
        <v>374</v>
      </c>
      <c r="K314">
        <v>399</v>
      </c>
      <c r="L314">
        <v>117</v>
      </c>
      <c r="M314">
        <v>1378</v>
      </c>
      <c r="N314">
        <v>1805</v>
      </c>
      <c r="O314">
        <v>4</v>
      </c>
      <c r="P314">
        <v>5</v>
      </c>
      <c r="Q314">
        <v>5</v>
      </c>
      <c r="R314" t="s">
        <v>1646</v>
      </c>
      <c r="S314" t="s">
        <v>1647</v>
      </c>
      <c r="T314" t="s">
        <v>1648</v>
      </c>
      <c r="U314" t="s">
        <v>1649</v>
      </c>
      <c r="V314" t="s">
        <v>1650</v>
      </c>
      <c r="W314" t="s">
        <v>391</v>
      </c>
      <c r="X314" t="s">
        <v>154</v>
      </c>
      <c r="Y314" t="b">
        <v>0</v>
      </c>
      <c r="Z314" t="s">
        <v>39</v>
      </c>
      <c r="AA314" t="s">
        <v>1651</v>
      </c>
      <c r="AB314" t="s">
        <v>41</v>
      </c>
      <c r="AC314">
        <f t="shared" si="4"/>
        <v>5</v>
      </c>
    </row>
    <row r="315" spans="1:29" x14ac:dyDescent="0.3">
      <c r="A315">
        <v>2472025</v>
      </c>
      <c r="B315" t="s">
        <v>1677</v>
      </c>
      <c r="C315" t="s">
        <v>29</v>
      </c>
      <c r="D315" t="s">
        <v>1678</v>
      </c>
      <c r="E315" t="s">
        <v>1678</v>
      </c>
      <c r="F315" s="1">
        <v>46084.528194444443</v>
      </c>
      <c r="G315" t="s">
        <v>177</v>
      </c>
      <c r="H315">
        <v>0</v>
      </c>
      <c r="I315">
        <v>46</v>
      </c>
      <c r="J315">
        <v>533</v>
      </c>
      <c r="K315">
        <v>579</v>
      </c>
      <c r="L315">
        <v>169</v>
      </c>
      <c r="M315">
        <v>1795</v>
      </c>
      <c r="N315">
        <v>1882</v>
      </c>
      <c r="O315">
        <v>3</v>
      </c>
      <c r="P315">
        <v>5</v>
      </c>
      <c r="Q315">
        <v>4</v>
      </c>
      <c r="R315" t="s">
        <v>1679</v>
      </c>
      <c r="S315" t="s">
        <v>1680</v>
      </c>
      <c r="T315" t="s">
        <v>1681</v>
      </c>
      <c r="U315" t="s">
        <v>1682</v>
      </c>
      <c r="V315" t="s">
        <v>1683</v>
      </c>
      <c r="W315" t="s">
        <v>1684</v>
      </c>
      <c r="X315" t="s">
        <v>38</v>
      </c>
      <c r="Y315" t="b">
        <v>0</v>
      </c>
      <c r="Z315" t="s">
        <v>39</v>
      </c>
      <c r="AA315" t="s">
        <v>1685</v>
      </c>
      <c r="AB315" t="s">
        <v>41</v>
      </c>
      <c r="AC315">
        <f t="shared" si="4"/>
        <v>4</v>
      </c>
    </row>
    <row r="316" spans="1:29" x14ac:dyDescent="0.3">
      <c r="A316">
        <v>2472025</v>
      </c>
      <c r="B316" t="s">
        <v>1821</v>
      </c>
      <c r="C316" t="s">
        <v>29</v>
      </c>
      <c r="D316" t="s">
        <v>1822</v>
      </c>
      <c r="E316" t="s">
        <v>1823</v>
      </c>
      <c r="F316" s="1">
        <v>46091.40121527778</v>
      </c>
      <c r="G316" t="s">
        <v>31</v>
      </c>
      <c r="H316">
        <v>0</v>
      </c>
      <c r="I316">
        <v>40</v>
      </c>
      <c r="J316">
        <v>93</v>
      </c>
      <c r="K316">
        <v>133</v>
      </c>
      <c r="L316">
        <v>147</v>
      </c>
      <c r="M316">
        <v>390</v>
      </c>
      <c r="N316">
        <v>2026</v>
      </c>
      <c r="O316">
        <v>4</v>
      </c>
      <c r="P316">
        <v>5</v>
      </c>
      <c r="Q316">
        <v>5</v>
      </c>
      <c r="R316" t="s">
        <v>1824</v>
      </c>
      <c r="S316" t="s">
        <v>1040</v>
      </c>
      <c r="T316" t="s">
        <v>1825</v>
      </c>
      <c r="U316" t="s">
        <v>200</v>
      </c>
      <c r="V316" t="s">
        <v>1826</v>
      </c>
      <c r="W316" t="s">
        <v>309</v>
      </c>
      <c r="X316" t="s">
        <v>154</v>
      </c>
      <c r="Y316" t="b">
        <v>0</v>
      </c>
      <c r="Z316" t="s">
        <v>39</v>
      </c>
      <c r="AA316" t="s">
        <v>1827</v>
      </c>
      <c r="AB316" t="s">
        <v>41</v>
      </c>
      <c r="AC316">
        <f t="shared" si="4"/>
        <v>5</v>
      </c>
    </row>
    <row r="317" spans="1:29" x14ac:dyDescent="0.3">
      <c r="A317">
        <v>2472025</v>
      </c>
      <c r="B317" t="s">
        <v>2425</v>
      </c>
      <c r="C317" t="s">
        <v>29</v>
      </c>
      <c r="D317" t="s">
        <v>2426</v>
      </c>
      <c r="E317" t="s">
        <v>2426</v>
      </c>
      <c r="F317" s="1">
        <v>46126.466157407413</v>
      </c>
      <c r="G317" t="s">
        <v>45</v>
      </c>
      <c r="H317">
        <v>0</v>
      </c>
      <c r="I317">
        <v>195</v>
      </c>
      <c r="J317">
        <v>294</v>
      </c>
      <c r="K317">
        <v>489</v>
      </c>
      <c r="L317">
        <v>758</v>
      </c>
      <c r="M317">
        <v>1101</v>
      </c>
      <c r="N317">
        <v>2723</v>
      </c>
      <c r="O317">
        <v>4</v>
      </c>
      <c r="P317">
        <v>5</v>
      </c>
      <c r="Q317">
        <v>4</v>
      </c>
      <c r="R317" t="s">
        <v>520</v>
      </c>
      <c r="S317" t="s">
        <v>2427</v>
      </c>
      <c r="T317" t="s">
        <v>2428</v>
      </c>
      <c r="U317" t="s">
        <v>2429</v>
      </c>
      <c r="V317" t="s">
        <v>2430</v>
      </c>
      <c r="W317" t="s">
        <v>2431</v>
      </c>
      <c r="X317" t="s">
        <v>154</v>
      </c>
      <c r="Y317" t="b">
        <v>0</v>
      </c>
      <c r="Z317" t="s">
        <v>39</v>
      </c>
      <c r="AA317" t="s">
        <v>2432</v>
      </c>
      <c r="AB317" t="s">
        <v>41</v>
      </c>
      <c r="AC317">
        <f t="shared" si="4"/>
        <v>5</v>
      </c>
    </row>
    <row r="318" spans="1:29" x14ac:dyDescent="0.3">
      <c r="A318">
        <v>2472025</v>
      </c>
      <c r="B318" t="s">
        <v>3877</v>
      </c>
      <c r="C318" t="s">
        <v>29</v>
      </c>
      <c r="D318" t="s">
        <v>3878</v>
      </c>
      <c r="E318" t="s">
        <v>3878</v>
      </c>
      <c r="F318" s="1">
        <v>46098.52003472222</v>
      </c>
      <c r="G318" t="s">
        <v>138</v>
      </c>
      <c r="H318">
        <v>0</v>
      </c>
      <c r="I318">
        <v>55</v>
      </c>
      <c r="J318">
        <v>527</v>
      </c>
      <c r="K318">
        <v>582</v>
      </c>
      <c r="L318">
        <v>216</v>
      </c>
      <c r="M318">
        <v>1948</v>
      </c>
      <c r="N318">
        <v>4503</v>
      </c>
      <c r="O318">
        <v>4</v>
      </c>
      <c r="P318">
        <v>5</v>
      </c>
      <c r="Q318">
        <v>5</v>
      </c>
      <c r="R318" t="s">
        <v>2245</v>
      </c>
      <c r="S318" t="s">
        <v>252</v>
      </c>
      <c r="T318" t="s">
        <v>1862</v>
      </c>
      <c r="U318" t="s">
        <v>362</v>
      </c>
      <c r="V318" t="s">
        <v>3879</v>
      </c>
      <c r="W318" t="s">
        <v>3880</v>
      </c>
      <c r="X318" t="s">
        <v>154</v>
      </c>
      <c r="Y318" t="b">
        <v>0</v>
      </c>
      <c r="Z318" t="s">
        <v>39</v>
      </c>
      <c r="AA318" t="s">
        <v>3881</v>
      </c>
      <c r="AB318" t="s">
        <v>41</v>
      </c>
      <c r="AC318">
        <f t="shared" si="4"/>
        <v>5</v>
      </c>
    </row>
    <row r="319" spans="1:29" x14ac:dyDescent="0.3">
      <c r="A319">
        <v>2472025</v>
      </c>
      <c r="B319" t="s">
        <v>4204</v>
      </c>
      <c r="C319" t="s">
        <v>29</v>
      </c>
      <c r="D319" t="s">
        <v>4205</v>
      </c>
      <c r="E319" t="s">
        <v>4205</v>
      </c>
      <c r="F319" s="1">
        <v>46126.457199074073</v>
      </c>
      <c r="G319" t="s">
        <v>45</v>
      </c>
      <c r="H319">
        <v>0</v>
      </c>
      <c r="I319">
        <v>933</v>
      </c>
      <c r="J319">
        <v>1066</v>
      </c>
      <c r="K319">
        <v>1999</v>
      </c>
      <c r="L319">
        <v>3183</v>
      </c>
      <c r="M319">
        <v>3842</v>
      </c>
      <c r="N319">
        <v>4925</v>
      </c>
      <c r="O319">
        <v>4</v>
      </c>
      <c r="P319">
        <v>5</v>
      </c>
      <c r="Q319">
        <v>5</v>
      </c>
      <c r="R319" t="s">
        <v>520</v>
      </c>
      <c r="S319" t="s">
        <v>1607</v>
      </c>
      <c r="T319" t="s">
        <v>4206</v>
      </c>
      <c r="U319" t="s">
        <v>4133</v>
      </c>
      <c r="V319" t="s">
        <v>4207</v>
      </c>
      <c r="W319" t="s">
        <v>4208</v>
      </c>
      <c r="X319" t="s">
        <v>154</v>
      </c>
      <c r="Y319" t="b">
        <v>0</v>
      </c>
      <c r="Z319" t="s">
        <v>39</v>
      </c>
      <c r="AA319" t="s">
        <v>4209</v>
      </c>
      <c r="AB319" t="s">
        <v>41</v>
      </c>
      <c r="AC319">
        <f t="shared" si="4"/>
        <v>5</v>
      </c>
    </row>
    <row r="320" spans="1:29" x14ac:dyDescent="0.3">
      <c r="A320">
        <v>2472026</v>
      </c>
      <c r="B320" t="s">
        <v>2532</v>
      </c>
      <c r="C320" t="s">
        <v>29</v>
      </c>
      <c r="D320" t="s">
        <v>2347</v>
      </c>
      <c r="E320" t="s">
        <v>2348</v>
      </c>
      <c r="F320" s="1">
        <v>46092.673356481479</v>
      </c>
      <c r="G320" t="s">
        <v>31</v>
      </c>
      <c r="H320">
        <v>0</v>
      </c>
      <c r="I320">
        <v>38</v>
      </c>
      <c r="J320">
        <v>13</v>
      </c>
      <c r="K320">
        <v>51</v>
      </c>
      <c r="L320">
        <v>113</v>
      </c>
      <c r="M320">
        <v>31</v>
      </c>
      <c r="N320">
        <v>2847</v>
      </c>
      <c r="O320">
        <v>3</v>
      </c>
      <c r="P320">
        <v>4</v>
      </c>
      <c r="Q320">
        <v>3</v>
      </c>
      <c r="R320" t="s">
        <v>2533</v>
      </c>
      <c r="S320" t="s">
        <v>2534</v>
      </c>
      <c r="T320" t="s">
        <v>2535</v>
      </c>
      <c r="U320" t="s">
        <v>2536</v>
      </c>
      <c r="V320" t="s">
        <v>2537</v>
      </c>
      <c r="W320" t="s">
        <v>2538</v>
      </c>
      <c r="X320" t="s">
        <v>84</v>
      </c>
      <c r="Y320" t="b">
        <v>0</v>
      </c>
      <c r="Z320" t="s">
        <v>39</v>
      </c>
      <c r="AA320" t="s">
        <v>2539</v>
      </c>
      <c r="AB320" t="s">
        <v>41</v>
      </c>
      <c r="AC320">
        <f t="shared" si="4"/>
        <v>3</v>
      </c>
    </row>
    <row r="321" spans="1:29" x14ac:dyDescent="0.3">
      <c r="A321">
        <v>2472026</v>
      </c>
      <c r="B321" t="s">
        <v>2647</v>
      </c>
      <c r="C321" t="s">
        <v>29</v>
      </c>
      <c r="D321" t="s">
        <v>2648</v>
      </c>
      <c r="E321" t="s">
        <v>2649</v>
      </c>
      <c r="F321" s="1">
        <v>46085.661134259259</v>
      </c>
      <c r="G321" t="s">
        <v>177</v>
      </c>
      <c r="H321">
        <v>0</v>
      </c>
      <c r="I321">
        <v>29</v>
      </c>
      <c r="J321">
        <v>276</v>
      </c>
      <c r="K321">
        <v>305</v>
      </c>
      <c r="L321">
        <v>114</v>
      </c>
      <c r="M321">
        <v>1084</v>
      </c>
      <c r="N321">
        <v>3000</v>
      </c>
      <c r="O321">
        <v>3</v>
      </c>
      <c r="P321">
        <v>4</v>
      </c>
      <c r="Q321">
        <v>4</v>
      </c>
      <c r="R321" t="s">
        <v>2650</v>
      </c>
      <c r="S321" t="s">
        <v>2651</v>
      </c>
      <c r="T321" t="s">
        <v>2652</v>
      </c>
      <c r="U321" t="s">
        <v>2653</v>
      </c>
      <c r="V321" t="s">
        <v>2654</v>
      </c>
      <c r="W321" t="s">
        <v>1159</v>
      </c>
      <c r="X321" t="s">
        <v>38</v>
      </c>
      <c r="Y321" t="b">
        <v>0</v>
      </c>
      <c r="Z321" t="s">
        <v>39</v>
      </c>
      <c r="AA321" t="s">
        <v>2655</v>
      </c>
      <c r="AB321" t="s">
        <v>41</v>
      </c>
      <c r="AC321">
        <f t="shared" si="4"/>
        <v>4</v>
      </c>
    </row>
    <row r="322" spans="1:29" x14ac:dyDescent="0.3">
      <c r="A322">
        <v>2472027</v>
      </c>
      <c r="B322" t="s">
        <v>185</v>
      </c>
      <c r="C322" t="s">
        <v>29</v>
      </c>
      <c r="D322" t="s">
        <v>186</v>
      </c>
      <c r="E322" t="s">
        <v>187</v>
      </c>
      <c r="F322" s="1">
        <v>46098.512083333328</v>
      </c>
      <c r="G322" t="s">
        <v>138</v>
      </c>
      <c r="H322">
        <v>0</v>
      </c>
      <c r="I322">
        <v>180</v>
      </c>
      <c r="J322">
        <v>154</v>
      </c>
      <c r="K322">
        <v>334</v>
      </c>
      <c r="L322">
        <v>592</v>
      </c>
      <c r="M322">
        <v>417</v>
      </c>
      <c r="N322">
        <v>190</v>
      </c>
      <c r="O322">
        <v>4</v>
      </c>
      <c r="P322">
        <v>5</v>
      </c>
      <c r="Q322">
        <v>4</v>
      </c>
      <c r="R322" t="s">
        <v>188</v>
      </c>
      <c r="S322" t="s">
        <v>189</v>
      </c>
      <c r="T322" t="s">
        <v>190</v>
      </c>
      <c r="U322" t="s">
        <v>191</v>
      </c>
      <c r="V322" t="s">
        <v>192</v>
      </c>
      <c r="W322" t="s">
        <v>193</v>
      </c>
      <c r="X322" t="s">
        <v>38</v>
      </c>
      <c r="Y322" t="b">
        <v>0</v>
      </c>
      <c r="Z322" t="s">
        <v>39</v>
      </c>
      <c r="AA322" t="s">
        <v>194</v>
      </c>
      <c r="AB322" t="s">
        <v>41</v>
      </c>
      <c r="AC322">
        <f t="shared" si="4"/>
        <v>4</v>
      </c>
    </row>
    <row r="323" spans="1:29" x14ac:dyDescent="0.3">
      <c r="A323">
        <v>2472027</v>
      </c>
      <c r="B323" t="s">
        <v>876</v>
      </c>
      <c r="C323" t="s">
        <v>29</v>
      </c>
      <c r="D323" t="s">
        <v>877</v>
      </c>
      <c r="E323" t="s">
        <v>878</v>
      </c>
      <c r="F323" s="1">
        <v>46091.552824074082</v>
      </c>
      <c r="G323" t="s">
        <v>31</v>
      </c>
      <c r="H323">
        <v>0</v>
      </c>
      <c r="I323">
        <v>168</v>
      </c>
      <c r="J323">
        <v>73</v>
      </c>
      <c r="K323">
        <v>241</v>
      </c>
      <c r="L323">
        <v>600</v>
      </c>
      <c r="M323">
        <v>289</v>
      </c>
      <c r="N323">
        <v>849</v>
      </c>
      <c r="O323">
        <v>4</v>
      </c>
      <c r="P323">
        <v>5</v>
      </c>
      <c r="Q323">
        <v>5</v>
      </c>
      <c r="R323" t="s">
        <v>148</v>
      </c>
      <c r="S323" t="s">
        <v>879</v>
      </c>
      <c r="T323" t="s">
        <v>150</v>
      </c>
      <c r="U323" t="s">
        <v>125</v>
      </c>
      <c r="V323" t="s">
        <v>880</v>
      </c>
      <c r="W323" t="s">
        <v>881</v>
      </c>
      <c r="X323" t="s">
        <v>154</v>
      </c>
      <c r="Y323" t="b">
        <v>0</v>
      </c>
      <c r="Z323" t="s">
        <v>39</v>
      </c>
      <c r="AA323" t="s">
        <v>882</v>
      </c>
      <c r="AB323" t="s">
        <v>41</v>
      </c>
      <c r="AC323">
        <f t="shared" ref="AC323:AC386" si="5">IF(LOWER(TRIM(X323))="excellent",5,
 IF(LOWER(TRIM(X323))="good",4,
 IF(LOWER(TRIM(X323))="fair",3,
 IF(LOWER(TRIM(X323))="poor",2,
 IF(LOWER(TRIM(X323))="weak",1,0)))))</f>
        <v>5</v>
      </c>
    </row>
    <row r="324" spans="1:29" x14ac:dyDescent="0.3">
      <c r="A324">
        <v>2472027</v>
      </c>
      <c r="B324" t="s">
        <v>899</v>
      </c>
      <c r="C324" t="s">
        <v>29</v>
      </c>
      <c r="D324" t="s">
        <v>900</v>
      </c>
      <c r="E324" t="s">
        <v>901</v>
      </c>
      <c r="F324" s="1">
        <v>46098.508761574078</v>
      </c>
      <c r="G324" t="s">
        <v>138</v>
      </c>
      <c r="H324">
        <v>0</v>
      </c>
      <c r="I324">
        <v>316</v>
      </c>
      <c r="J324">
        <v>352</v>
      </c>
      <c r="K324">
        <v>668</v>
      </c>
      <c r="L324">
        <v>1110</v>
      </c>
      <c r="M324">
        <v>1220</v>
      </c>
      <c r="N324">
        <v>881</v>
      </c>
      <c r="O324">
        <v>4</v>
      </c>
      <c r="P324">
        <v>5</v>
      </c>
      <c r="Q324">
        <v>5</v>
      </c>
      <c r="R324" t="s">
        <v>902</v>
      </c>
      <c r="S324" t="s">
        <v>387</v>
      </c>
      <c r="T324" t="s">
        <v>903</v>
      </c>
      <c r="U324" t="s">
        <v>270</v>
      </c>
      <c r="V324" t="s">
        <v>904</v>
      </c>
      <c r="W324" t="s">
        <v>905</v>
      </c>
      <c r="X324" t="s">
        <v>154</v>
      </c>
      <c r="Y324" t="b">
        <v>0</v>
      </c>
      <c r="Z324" t="s">
        <v>39</v>
      </c>
      <c r="AA324" t="s">
        <v>906</v>
      </c>
      <c r="AB324" t="s">
        <v>41</v>
      </c>
      <c r="AC324">
        <f t="shared" si="5"/>
        <v>5</v>
      </c>
    </row>
    <row r="325" spans="1:29" x14ac:dyDescent="0.3">
      <c r="A325">
        <v>2472027</v>
      </c>
      <c r="B325" t="s">
        <v>2333</v>
      </c>
      <c r="C325" t="s">
        <v>29</v>
      </c>
      <c r="D325" t="s">
        <v>2334</v>
      </c>
      <c r="E325" t="s">
        <v>2334</v>
      </c>
      <c r="F325" s="1">
        <v>46091.519976851851</v>
      </c>
      <c r="G325" t="s">
        <v>31</v>
      </c>
      <c r="H325">
        <v>0</v>
      </c>
      <c r="I325">
        <v>35</v>
      </c>
      <c r="J325">
        <v>223</v>
      </c>
      <c r="K325">
        <v>258</v>
      </c>
      <c r="L325">
        <v>118</v>
      </c>
      <c r="M325">
        <v>848</v>
      </c>
      <c r="N325">
        <v>2660</v>
      </c>
      <c r="O325">
        <v>4</v>
      </c>
      <c r="P325">
        <v>5</v>
      </c>
      <c r="Q325">
        <v>4</v>
      </c>
      <c r="R325" t="s">
        <v>813</v>
      </c>
      <c r="S325" t="s">
        <v>2335</v>
      </c>
      <c r="T325" t="s">
        <v>2336</v>
      </c>
      <c r="U325" t="s">
        <v>208</v>
      </c>
      <c r="V325" t="s">
        <v>2337</v>
      </c>
      <c r="W325" t="s">
        <v>2338</v>
      </c>
      <c r="X325" t="s">
        <v>38</v>
      </c>
      <c r="Y325" t="b">
        <v>0</v>
      </c>
      <c r="Z325" t="s">
        <v>39</v>
      </c>
      <c r="AA325" t="s">
        <v>2339</v>
      </c>
      <c r="AB325" t="s">
        <v>41</v>
      </c>
      <c r="AC325">
        <f t="shared" si="5"/>
        <v>4</v>
      </c>
    </row>
    <row r="326" spans="1:29" x14ac:dyDescent="0.3">
      <c r="A326">
        <v>2472027</v>
      </c>
      <c r="B326" t="s">
        <v>2396</v>
      </c>
      <c r="C326" t="s">
        <v>29</v>
      </c>
      <c r="D326" t="s">
        <v>2397</v>
      </c>
      <c r="E326" t="s">
        <v>2397</v>
      </c>
      <c r="F326" s="1">
        <v>46126.479224537034</v>
      </c>
      <c r="G326" t="s">
        <v>45</v>
      </c>
      <c r="H326">
        <v>0</v>
      </c>
      <c r="I326">
        <v>64</v>
      </c>
      <c r="J326">
        <v>324</v>
      </c>
      <c r="K326">
        <v>388</v>
      </c>
      <c r="L326">
        <v>216</v>
      </c>
      <c r="M326">
        <v>1087</v>
      </c>
      <c r="N326">
        <v>2712</v>
      </c>
      <c r="O326">
        <v>3</v>
      </c>
      <c r="P326">
        <v>5</v>
      </c>
      <c r="Q326">
        <v>4</v>
      </c>
      <c r="R326" t="s">
        <v>2398</v>
      </c>
      <c r="S326" t="s">
        <v>1621</v>
      </c>
      <c r="T326" t="s">
        <v>2399</v>
      </c>
      <c r="U326" t="s">
        <v>208</v>
      </c>
      <c r="V326" t="s">
        <v>2400</v>
      </c>
      <c r="W326" t="s">
        <v>2401</v>
      </c>
      <c r="X326" t="s">
        <v>38</v>
      </c>
      <c r="Y326" t="b">
        <v>0</v>
      </c>
      <c r="Z326" t="s">
        <v>39</v>
      </c>
      <c r="AA326" t="s">
        <v>2402</v>
      </c>
      <c r="AB326" t="s">
        <v>41</v>
      </c>
      <c r="AC326">
        <f t="shared" si="5"/>
        <v>4</v>
      </c>
    </row>
    <row r="327" spans="1:29" x14ac:dyDescent="0.3">
      <c r="A327">
        <v>2472027</v>
      </c>
      <c r="B327" t="s">
        <v>2942</v>
      </c>
      <c r="C327" t="s">
        <v>29</v>
      </c>
      <c r="D327" t="s">
        <v>2943</v>
      </c>
      <c r="E327" t="s">
        <v>2943</v>
      </c>
      <c r="F327" s="1">
        <v>46091.5153587963</v>
      </c>
      <c r="G327" t="s">
        <v>31</v>
      </c>
      <c r="H327">
        <v>0</v>
      </c>
      <c r="I327">
        <v>408</v>
      </c>
      <c r="J327">
        <v>738</v>
      </c>
      <c r="K327">
        <v>1146</v>
      </c>
      <c r="L327">
        <v>1423</v>
      </c>
      <c r="M327">
        <v>2506</v>
      </c>
      <c r="N327">
        <v>3396</v>
      </c>
      <c r="O327">
        <v>4</v>
      </c>
      <c r="P327">
        <v>5</v>
      </c>
      <c r="Q327">
        <v>5</v>
      </c>
      <c r="R327" t="s">
        <v>276</v>
      </c>
      <c r="S327" t="s">
        <v>2944</v>
      </c>
      <c r="T327" t="s">
        <v>2945</v>
      </c>
      <c r="U327" t="s">
        <v>2946</v>
      </c>
      <c r="V327" t="s">
        <v>2947</v>
      </c>
      <c r="W327" t="s">
        <v>2948</v>
      </c>
      <c r="X327" t="s">
        <v>154</v>
      </c>
      <c r="Y327" t="b">
        <v>0</v>
      </c>
      <c r="Z327" t="s">
        <v>39</v>
      </c>
      <c r="AA327" t="s">
        <v>2949</v>
      </c>
      <c r="AB327" t="s">
        <v>41</v>
      </c>
      <c r="AC327">
        <f t="shared" si="5"/>
        <v>5</v>
      </c>
    </row>
    <row r="328" spans="1:29" x14ac:dyDescent="0.3">
      <c r="A328">
        <v>2472027</v>
      </c>
      <c r="B328" t="s">
        <v>2984</v>
      </c>
      <c r="C328" t="s">
        <v>29</v>
      </c>
      <c r="D328" t="s">
        <v>2985</v>
      </c>
      <c r="E328" t="s">
        <v>2986</v>
      </c>
      <c r="F328" s="1">
        <v>46091.550486111111</v>
      </c>
      <c r="G328" t="s">
        <v>31</v>
      </c>
      <c r="H328">
        <v>0</v>
      </c>
      <c r="I328">
        <v>41</v>
      </c>
      <c r="J328">
        <v>22</v>
      </c>
      <c r="K328">
        <v>63</v>
      </c>
      <c r="L328">
        <v>162</v>
      </c>
      <c r="M328">
        <v>97</v>
      </c>
      <c r="N328">
        <v>3435</v>
      </c>
      <c r="O328">
        <v>4</v>
      </c>
      <c r="P328">
        <v>4</v>
      </c>
      <c r="Q328">
        <v>4</v>
      </c>
      <c r="R328" t="s">
        <v>2987</v>
      </c>
      <c r="S328" t="s">
        <v>712</v>
      </c>
      <c r="T328" t="s">
        <v>2988</v>
      </c>
      <c r="U328" t="s">
        <v>1779</v>
      </c>
      <c r="V328" t="s">
        <v>2989</v>
      </c>
      <c r="W328" t="s">
        <v>2990</v>
      </c>
      <c r="X328" t="s">
        <v>38</v>
      </c>
      <c r="Y328" t="b">
        <v>0</v>
      </c>
      <c r="Z328" t="s">
        <v>39</v>
      </c>
      <c r="AA328" t="s">
        <v>2991</v>
      </c>
      <c r="AB328" t="s">
        <v>41</v>
      </c>
      <c r="AC328">
        <f t="shared" si="5"/>
        <v>4</v>
      </c>
    </row>
    <row r="329" spans="1:29" x14ac:dyDescent="0.3">
      <c r="A329">
        <v>2472027</v>
      </c>
      <c r="B329" t="s">
        <v>3437</v>
      </c>
      <c r="C329" t="s">
        <v>29</v>
      </c>
      <c r="D329" t="s">
        <v>3438</v>
      </c>
      <c r="E329" t="s">
        <v>3438</v>
      </c>
      <c r="F329" s="1">
        <v>46084.509432870371</v>
      </c>
      <c r="G329" t="s">
        <v>177</v>
      </c>
      <c r="H329">
        <v>0</v>
      </c>
      <c r="I329">
        <v>163</v>
      </c>
      <c r="J329">
        <v>198</v>
      </c>
      <c r="K329">
        <v>361</v>
      </c>
      <c r="L329">
        <v>615</v>
      </c>
      <c r="M329">
        <v>708</v>
      </c>
      <c r="N329">
        <v>3950</v>
      </c>
      <c r="O329">
        <v>4</v>
      </c>
      <c r="P329">
        <v>5</v>
      </c>
      <c r="Q329">
        <v>4</v>
      </c>
      <c r="R329" t="s">
        <v>3439</v>
      </c>
      <c r="S329" t="s">
        <v>3440</v>
      </c>
      <c r="T329" t="s">
        <v>3441</v>
      </c>
      <c r="U329" t="s">
        <v>270</v>
      </c>
      <c r="V329" t="s">
        <v>3442</v>
      </c>
      <c r="W329" t="s">
        <v>542</v>
      </c>
      <c r="X329" t="s">
        <v>38</v>
      </c>
      <c r="Y329" t="b">
        <v>0</v>
      </c>
      <c r="Z329" t="s">
        <v>39</v>
      </c>
      <c r="AA329" t="s">
        <v>3443</v>
      </c>
      <c r="AB329" t="s">
        <v>41</v>
      </c>
      <c r="AC329">
        <f t="shared" si="5"/>
        <v>4</v>
      </c>
    </row>
    <row r="330" spans="1:29" x14ac:dyDescent="0.3">
      <c r="A330">
        <v>2472027</v>
      </c>
      <c r="B330" t="s">
        <v>4035</v>
      </c>
      <c r="C330" t="s">
        <v>29</v>
      </c>
      <c r="D330" t="s">
        <v>4036</v>
      </c>
      <c r="E330" t="s">
        <v>4037</v>
      </c>
      <c r="F330" s="1">
        <v>46119.50571759259</v>
      </c>
      <c r="G330" t="s">
        <v>56</v>
      </c>
      <c r="H330">
        <v>0</v>
      </c>
      <c r="I330">
        <v>100</v>
      </c>
      <c r="J330">
        <v>383</v>
      </c>
      <c r="K330">
        <v>483</v>
      </c>
      <c r="L330">
        <v>305</v>
      </c>
      <c r="M330">
        <v>1198</v>
      </c>
      <c r="N330">
        <v>4705</v>
      </c>
      <c r="O330">
        <v>4</v>
      </c>
      <c r="P330">
        <v>4</v>
      </c>
      <c r="Q330">
        <v>4</v>
      </c>
      <c r="R330" t="s">
        <v>4038</v>
      </c>
      <c r="S330" t="s">
        <v>208</v>
      </c>
      <c r="T330" t="s">
        <v>4039</v>
      </c>
      <c r="U330" t="s">
        <v>4040</v>
      </c>
      <c r="V330" t="s">
        <v>4041</v>
      </c>
      <c r="W330" t="s">
        <v>4042</v>
      </c>
      <c r="X330" t="s">
        <v>38</v>
      </c>
      <c r="Y330" t="b">
        <v>0</v>
      </c>
      <c r="Z330" t="s">
        <v>39</v>
      </c>
      <c r="AA330" t="s">
        <v>4043</v>
      </c>
      <c r="AB330" t="s">
        <v>41</v>
      </c>
      <c r="AC330">
        <f t="shared" si="5"/>
        <v>4</v>
      </c>
    </row>
    <row r="331" spans="1:29" x14ac:dyDescent="0.3">
      <c r="A331">
        <v>2472027</v>
      </c>
      <c r="B331" t="s">
        <v>4078</v>
      </c>
      <c r="C331" t="s">
        <v>29</v>
      </c>
      <c r="D331" t="s">
        <v>4079</v>
      </c>
      <c r="E331" t="s">
        <v>4079</v>
      </c>
      <c r="F331" s="1">
        <v>46091.535150462973</v>
      </c>
      <c r="G331" t="s">
        <v>31</v>
      </c>
      <c r="H331">
        <v>0</v>
      </c>
      <c r="I331">
        <v>34</v>
      </c>
      <c r="J331">
        <v>104</v>
      </c>
      <c r="K331">
        <v>138</v>
      </c>
      <c r="L331">
        <v>137</v>
      </c>
      <c r="M331">
        <v>358</v>
      </c>
      <c r="N331">
        <v>4766</v>
      </c>
      <c r="O331">
        <v>3</v>
      </c>
      <c r="P331">
        <v>4</v>
      </c>
      <c r="Q331">
        <v>3</v>
      </c>
      <c r="R331" t="s">
        <v>4080</v>
      </c>
      <c r="S331" t="s">
        <v>4081</v>
      </c>
      <c r="T331" t="s">
        <v>4082</v>
      </c>
      <c r="U331" t="s">
        <v>4083</v>
      </c>
      <c r="V331" t="s">
        <v>4084</v>
      </c>
      <c r="W331" t="s">
        <v>4085</v>
      </c>
      <c r="X331" t="s">
        <v>38</v>
      </c>
      <c r="Y331" t="b">
        <v>0</v>
      </c>
      <c r="Z331" t="s">
        <v>39</v>
      </c>
      <c r="AA331" t="s">
        <v>4086</v>
      </c>
      <c r="AB331" t="s">
        <v>41</v>
      </c>
      <c r="AC331">
        <f t="shared" si="5"/>
        <v>4</v>
      </c>
    </row>
    <row r="332" spans="1:29" x14ac:dyDescent="0.3">
      <c r="A332">
        <v>2472028</v>
      </c>
      <c r="B332" t="s">
        <v>204</v>
      </c>
      <c r="C332" t="s">
        <v>29</v>
      </c>
      <c r="D332" t="s">
        <v>205</v>
      </c>
      <c r="E332" t="s">
        <v>206</v>
      </c>
      <c r="F332" s="1">
        <v>46127.553090277783</v>
      </c>
      <c r="G332" t="s">
        <v>45</v>
      </c>
      <c r="H332">
        <v>0</v>
      </c>
      <c r="I332">
        <v>49</v>
      </c>
      <c r="J332">
        <v>352</v>
      </c>
      <c r="K332">
        <v>401</v>
      </c>
      <c r="L332">
        <v>144</v>
      </c>
      <c r="M332">
        <v>1075</v>
      </c>
      <c r="N332">
        <v>233</v>
      </c>
      <c r="O332">
        <v>4</v>
      </c>
      <c r="P332">
        <v>5</v>
      </c>
      <c r="Q332">
        <v>4</v>
      </c>
      <c r="R332" t="s">
        <v>207</v>
      </c>
      <c r="S332" t="s">
        <v>208</v>
      </c>
      <c r="T332" t="s">
        <v>209</v>
      </c>
      <c r="U332" t="s">
        <v>170</v>
      </c>
      <c r="V332" t="s">
        <v>210</v>
      </c>
      <c r="W332" t="s">
        <v>211</v>
      </c>
      <c r="X332" t="s">
        <v>38</v>
      </c>
      <c r="Y332" t="b">
        <v>0</v>
      </c>
      <c r="Z332" t="s">
        <v>39</v>
      </c>
      <c r="AA332" t="s">
        <v>212</v>
      </c>
      <c r="AB332" t="s">
        <v>41</v>
      </c>
      <c r="AC332">
        <f t="shared" si="5"/>
        <v>4</v>
      </c>
    </row>
    <row r="333" spans="1:29" x14ac:dyDescent="0.3">
      <c r="A333">
        <v>2472028</v>
      </c>
      <c r="B333" t="s">
        <v>400</v>
      </c>
      <c r="C333" t="s">
        <v>29</v>
      </c>
      <c r="D333" t="s">
        <v>401</v>
      </c>
      <c r="E333" t="s">
        <v>401</v>
      </c>
      <c r="F333" s="1">
        <v>46092.675937499997</v>
      </c>
      <c r="G333" t="s">
        <v>31</v>
      </c>
      <c r="H333">
        <v>0</v>
      </c>
      <c r="I333">
        <v>31</v>
      </c>
      <c r="J333">
        <v>42</v>
      </c>
      <c r="K333">
        <v>73</v>
      </c>
      <c r="L333">
        <v>126</v>
      </c>
      <c r="M333">
        <v>159</v>
      </c>
      <c r="N333">
        <v>407</v>
      </c>
      <c r="O333">
        <v>4</v>
      </c>
      <c r="P333">
        <v>5</v>
      </c>
      <c r="Q333">
        <v>4</v>
      </c>
      <c r="R333" t="s">
        <v>402</v>
      </c>
      <c r="S333" t="s">
        <v>403</v>
      </c>
      <c r="T333" t="s">
        <v>404</v>
      </c>
      <c r="U333" t="s">
        <v>405</v>
      </c>
      <c r="V333" t="s">
        <v>406</v>
      </c>
      <c r="W333" t="s">
        <v>407</v>
      </c>
      <c r="X333" t="s">
        <v>38</v>
      </c>
      <c r="Y333" t="b">
        <v>0</v>
      </c>
      <c r="Z333" t="s">
        <v>39</v>
      </c>
      <c r="AA333" t="s">
        <v>408</v>
      </c>
      <c r="AB333" t="s">
        <v>41</v>
      </c>
      <c r="AC333">
        <f t="shared" si="5"/>
        <v>4</v>
      </c>
    </row>
    <row r="334" spans="1:29" x14ac:dyDescent="0.3">
      <c r="A334">
        <v>2472028</v>
      </c>
      <c r="B334" t="s">
        <v>445</v>
      </c>
      <c r="C334" t="s">
        <v>29</v>
      </c>
      <c r="D334" t="s">
        <v>446</v>
      </c>
      <c r="E334" t="s">
        <v>447</v>
      </c>
      <c r="F334" s="1">
        <v>46127.594675925917</v>
      </c>
      <c r="G334" t="s">
        <v>45</v>
      </c>
      <c r="H334">
        <v>0</v>
      </c>
      <c r="I334">
        <v>166</v>
      </c>
      <c r="J334">
        <v>1018</v>
      </c>
      <c r="K334">
        <v>1184</v>
      </c>
      <c r="L334">
        <v>607</v>
      </c>
      <c r="M334">
        <v>3843</v>
      </c>
      <c r="N334">
        <v>430</v>
      </c>
      <c r="O334">
        <v>4</v>
      </c>
      <c r="P334">
        <v>2</v>
      </c>
      <c r="Q334">
        <v>3</v>
      </c>
      <c r="R334" t="s">
        <v>448</v>
      </c>
      <c r="S334" t="s">
        <v>449</v>
      </c>
      <c r="T334" t="s">
        <v>450</v>
      </c>
      <c r="U334" t="s">
        <v>451</v>
      </c>
      <c r="V334" t="s">
        <v>452</v>
      </c>
      <c r="W334" t="s">
        <v>453</v>
      </c>
      <c r="X334" t="s">
        <v>84</v>
      </c>
      <c r="Y334" t="b">
        <v>0</v>
      </c>
      <c r="Z334" t="s">
        <v>39</v>
      </c>
      <c r="AA334" t="s">
        <v>454</v>
      </c>
      <c r="AB334" t="s">
        <v>41</v>
      </c>
      <c r="AC334">
        <f t="shared" si="5"/>
        <v>3</v>
      </c>
    </row>
    <row r="335" spans="1:29" x14ac:dyDescent="0.3">
      <c r="A335">
        <v>2472028</v>
      </c>
      <c r="B335" t="s">
        <v>1372</v>
      </c>
      <c r="C335" t="s">
        <v>29</v>
      </c>
      <c r="D335" t="s">
        <v>1373</v>
      </c>
      <c r="E335" t="s">
        <v>1373</v>
      </c>
      <c r="F335" s="1">
        <v>46078.688854166663</v>
      </c>
      <c r="G335" t="s">
        <v>67</v>
      </c>
      <c r="H335">
        <v>0</v>
      </c>
      <c r="I335">
        <v>35</v>
      </c>
      <c r="J335">
        <v>359</v>
      </c>
      <c r="K335">
        <v>394</v>
      </c>
      <c r="L335">
        <v>132</v>
      </c>
      <c r="M335">
        <v>1318</v>
      </c>
      <c r="N335">
        <v>1507</v>
      </c>
      <c r="O335">
        <v>3</v>
      </c>
      <c r="P335">
        <v>4</v>
      </c>
      <c r="Q335">
        <v>4</v>
      </c>
      <c r="R335" t="s">
        <v>1374</v>
      </c>
      <c r="S335" t="s">
        <v>1375</v>
      </c>
      <c r="T335" t="s">
        <v>1376</v>
      </c>
      <c r="U335" t="s">
        <v>1377</v>
      </c>
      <c r="V335" t="s">
        <v>1378</v>
      </c>
      <c r="W335" t="s">
        <v>1379</v>
      </c>
      <c r="X335" t="s">
        <v>38</v>
      </c>
      <c r="Y335" t="b">
        <v>0</v>
      </c>
      <c r="Z335" t="s">
        <v>39</v>
      </c>
      <c r="AA335" t="s">
        <v>1380</v>
      </c>
      <c r="AB335" t="s">
        <v>41</v>
      </c>
      <c r="AC335">
        <f t="shared" si="5"/>
        <v>4</v>
      </c>
    </row>
    <row r="336" spans="1:29" x14ac:dyDescent="0.3">
      <c r="A336">
        <v>2472028</v>
      </c>
      <c r="B336" t="s">
        <v>2679</v>
      </c>
      <c r="C336" t="s">
        <v>29</v>
      </c>
      <c r="D336" t="s">
        <v>2412</v>
      </c>
      <c r="E336" t="s">
        <v>2413</v>
      </c>
      <c r="F336" s="1">
        <v>46092.691886574074</v>
      </c>
      <c r="G336" t="s">
        <v>31</v>
      </c>
      <c r="H336">
        <v>0</v>
      </c>
      <c r="I336">
        <v>38</v>
      </c>
      <c r="J336">
        <v>22</v>
      </c>
      <c r="K336">
        <v>60</v>
      </c>
      <c r="L336">
        <v>119</v>
      </c>
      <c r="M336">
        <v>83</v>
      </c>
      <c r="N336">
        <v>3019</v>
      </c>
      <c r="O336">
        <v>4</v>
      </c>
      <c r="P336">
        <v>5</v>
      </c>
      <c r="Q336">
        <v>4</v>
      </c>
      <c r="R336" t="s">
        <v>2680</v>
      </c>
      <c r="S336" t="s">
        <v>2681</v>
      </c>
      <c r="T336" t="s">
        <v>190</v>
      </c>
      <c r="U336" t="s">
        <v>2682</v>
      </c>
      <c r="V336" t="s">
        <v>2683</v>
      </c>
      <c r="W336" t="s">
        <v>2684</v>
      </c>
      <c r="X336" t="s">
        <v>38</v>
      </c>
      <c r="Y336" t="b">
        <v>0</v>
      </c>
      <c r="Z336" t="s">
        <v>39</v>
      </c>
      <c r="AA336" t="s">
        <v>2685</v>
      </c>
      <c r="AB336" t="s">
        <v>41</v>
      </c>
      <c r="AC336">
        <f t="shared" si="5"/>
        <v>4</v>
      </c>
    </row>
    <row r="337" spans="1:29" x14ac:dyDescent="0.3">
      <c r="A337">
        <v>2472028</v>
      </c>
      <c r="B337" t="s">
        <v>2770</v>
      </c>
      <c r="C337" t="s">
        <v>29</v>
      </c>
      <c r="D337" t="s">
        <v>2771</v>
      </c>
      <c r="E337" t="s">
        <v>2771</v>
      </c>
      <c r="F337" s="1">
        <v>46092.56177083333</v>
      </c>
      <c r="G337" t="s">
        <v>31</v>
      </c>
      <c r="H337">
        <v>0</v>
      </c>
      <c r="I337">
        <v>44</v>
      </c>
      <c r="J337">
        <v>79</v>
      </c>
      <c r="K337">
        <v>123</v>
      </c>
      <c r="L337">
        <v>177</v>
      </c>
      <c r="M337">
        <v>315</v>
      </c>
      <c r="N337">
        <v>3124</v>
      </c>
      <c r="O337">
        <v>3</v>
      </c>
      <c r="P337">
        <v>4</v>
      </c>
      <c r="Q337">
        <v>4</v>
      </c>
      <c r="R337" t="s">
        <v>2772</v>
      </c>
      <c r="S337" t="s">
        <v>2773</v>
      </c>
      <c r="T337" t="s">
        <v>1577</v>
      </c>
      <c r="U337" t="s">
        <v>2774</v>
      </c>
      <c r="V337" t="s">
        <v>2775</v>
      </c>
      <c r="W337" t="s">
        <v>2776</v>
      </c>
      <c r="X337" t="s">
        <v>38</v>
      </c>
      <c r="Y337" t="b">
        <v>0</v>
      </c>
      <c r="Z337" t="s">
        <v>39</v>
      </c>
      <c r="AA337" t="s">
        <v>2777</v>
      </c>
      <c r="AB337" t="s">
        <v>41</v>
      </c>
      <c r="AC337">
        <f t="shared" si="5"/>
        <v>4</v>
      </c>
    </row>
    <row r="338" spans="1:29" x14ac:dyDescent="0.3">
      <c r="A338">
        <v>2472029</v>
      </c>
      <c r="B338" t="s">
        <v>1051</v>
      </c>
      <c r="C338" t="s">
        <v>29</v>
      </c>
      <c r="D338" t="s">
        <v>1052</v>
      </c>
      <c r="E338" t="s">
        <v>1053</v>
      </c>
      <c r="F338" s="1">
        <v>46126.492037037038</v>
      </c>
      <c r="G338" t="s">
        <v>45</v>
      </c>
      <c r="H338">
        <v>0</v>
      </c>
      <c r="I338">
        <v>805</v>
      </c>
      <c r="J338">
        <v>1041</v>
      </c>
      <c r="K338">
        <v>1846</v>
      </c>
      <c r="L338">
        <v>2814</v>
      </c>
      <c r="M338">
        <v>3294</v>
      </c>
      <c r="N338">
        <v>1042</v>
      </c>
      <c r="O338">
        <v>4</v>
      </c>
      <c r="P338">
        <v>3</v>
      </c>
      <c r="Q338">
        <v>3</v>
      </c>
      <c r="R338" t="s">
        <v>1054</v>
      </c>
      <c r="S338" t="s">
        <v>1055</v>
      </c>
      <c r="T338" t="s">
        <v>1056</v>
      </c>
      <c r="U338" t="s">
        <v>1057</v>
      </c>
      <c r="V338" t="s">
        <v>1058</v>
      </c>
      <c r="W338" t="s">
        <v>1059</v>
      </c>
      <c r="X338" t="s">
        <v>84</v>
      </c>
      <c r="Y338" t="b">
        <v>0</v>
      </c>
      <c r="Z338" t="s">
        <v>39</v>
      </c>
      <c r="AA338" t="s">
        <v>1060</v>
      </c>
      <c r="AB338" t="s">
        <v>41</v>
      </c>
      <c r="AC338">
        <f t="shared" si="5"/>
        <v>3</v>
      </c>
    </row>
    <row r="339" spans="1:29" x14ac:dyDescent="0.3">
      <c r="A339">
        <v>2472029</v>
      </c>
      <c r="B339" t="s">
        <v>1186</v>
      </c>
      <c r="C339" t="s">
        <v>29</v>
      </c>
      <c r="D339" t="s">
        <v>1187</v>
      </c>
      <c r="E339" t="s">
        <v>1188</v>
      </c>
      <c r="F339" s="1">
        <v>46126.470949074072</v>
      </c>
      <c r="G339" t="s">
        <v>45</v>
      </c>
      <c r="H339">
        <v>0</v>
      </c>
      <c r="I339">
        <v>357</v>
      </c>
      <c r="J339">
        <v>1044</v>
      </c>
      <c r="K339">
        <v>1401</v>
      </c>
      <c r="L339">
        <v>1444</v>
      </c>
      <c r="M339">
        <v>3432</v>
      </c>
      <c r="N339">
        <v>1280</v>
      </c>
      <c r="O339">
        <v>3</v>
      </c>
      <c r="P339">
        <v>2</v>
      </c>
      <c r="Q339">
        <v>2</v>
      </c>
      <c r="R339" t="s">
        <v>1189</v>
      </c>
      <c r="S339" t="s">
        <v>935</v>
      </c>
      <c r="T339" t="s">
        <v>1190</v>
      </c>
      <c r="U339" t="s">
        <v>1191</v>
      </c>
      <c r="V339" t="s">
        <v>1192</v>
      </c>
      <c r="W339" t="s">
        <v>1193</v>
      </c>
      <c r="X339" t="s">
        <v>126</v>
      </c>
      <c r="Y339" t="b">
        <v>0</v>
      </c>
      <c r="Z339" t="s">
        <v>39</v>
      </c>
      <c r="AA339" t="s">
        <v>1194</v>
      </c>
      <c r="AB339" t="s">
        <v>41</v>
      </c>
      <c r="AC339">
        <f t="shared" si="5"/>
        <v>1</v>
      </c>
    </row>
    <row r="340" spans="1:29" x14ac:dyDescent="0.3">
      <c r="A340">
        <v>2472029</v>
      </c>
      <c r="B340" t="s">
        <v>1213</v>
      </c>
      <c r="C340" t="s">
        <v>29</v>
      </c>
      <c r="D340" t="s">
        <v>1214</v>
      </c>
      <c r="E340" t="s">
        <v>1214</v>
      </c>
      <c r="F340" s="1">
        <v>46098.565451388888</v>
      </c>
      <c r="G340" t="s">
        <v>138</v>
      </c>
      <c r="H340">
        <v>0</v>
      </c>
      <c r="I340">
        <v>925</v>
      </c>
      <c r="J340">
        <v>155</v>
      </c>
      <c r="K340">
        <v>1080</v>
      </c>
      <c r="L340">
        <v>3404</v>
      </c>
      <c r="M340">
        <v>572</v>
      </c>
      <c r="N340">
        <v>1332</v>
      </c>
      <c r="O340">
        <v>4</v>
      </c>
      <c r="P340">
        <v>4</v>
      </c>
      <c r="Q340">
        <v>4</v>
      </c>
      <c r="R340" t="s">
        <v>1215</v>
      </c>
      <c r="S340" t="s">
        <v>1216</v>
      </c>
      <c r="T340" t="s">
        <v>1217</v>
      </c>
      <c r="U340" t="s">
        <v>1218</v>
      </c>
      <c r="V340" t="s">
        <v>1219</v>
      </c>
      <c r="W340" t="s">
        <v>1220</v>
      </c>
      <c r="X340" t="s">
        <v>38</v>
      </c>
      <c r="Y340" t="b">
        <v>0</v>
      </c>
      <c r="Z340" t="s">
        <v>39</v>
      </c>
      <c r="AA340" t="s">
        <v>1221</v>
      </c>
      <c r="AB340" t="s">
        <v>41</v>
      </c>
      <c r="AC340">
        <f t="shared" si="5"/>
        <v>4</v>
      </c>
    </row>
    <row r="341" spans="1:29" x14ac:dyDescent="0.3">
      <c r="A341">
        <v>2472029</v>
      </c>
      <c r="B341" t="s">
        <v>1293</v>
      </c>
      <c r="C341" t="s">
        <v>29</v>
      </c>
      <c r="D341" t="s">
        <v>1294</v>
      </c>
      <c r="E341" t="s">
        <v>1294</v>
      </c>
      <c r="F341" s="1">
        <v>46077.661990740737</v>
      </c>
      <c r="G341" t="s">
        <v>67</v>
      </c>
      <c r="H341">
        <v>0</v>
      </c>
      <c r="I341">
        <v>593</v>
      </c>
      <c r="J341">
        <v>178</v>
      </c>
      <c r="K341">
        <v>771</v>
      </c>
      <c r="L341">
        <v>2338</v>
      </c>
      <c r="M341">
        <v>758</v>
      </c>
      <c r="N341">
        <v>1455</v>
      </c>
      <c r="O341">
        <v>3</v>
      </c>
      <c r="P341">
        <v>4</v>
      </c>
      <c r="Q341">
        <v>3</v>
      </c>
      <c r="R341" t="s">
        <v>1295</v>
      </c>
      <c r="S341" t="s">
        <v>1296</v>
      </c>
      <c r="T341" t="s">
        <v>1297</v>
      </c>
      <c r="U341" t="s">
        <v>1298</v>
      </c>
      <c r="V341" t="s">
        <v>1299</v>
      </c>
      <c r="W341" t="s">
        <v>1300</v>
      </c>
      <c r="X341" t="s">
        <v>38</v>
      </c>
      <c r="Y341" t="b">
        <v>0</v>
      </c>
      <c r="Z341" t="s">
        <v>39</v>
      </c>
      <c r="AA341" t="s">
        <v>1301</v>
      </c>
      <c r="AB341" t="s">
        <v>41</v>
      </c>
      <c r="AC341">
        <f t="shared" si="5"/>
        <v>4</v>
      </c>
    </row>
    <row r="342" spans="1:29" x14ac:dyDescent="0.3">
      <c r="A342">
        <v>2472029</v>
      </c>
      <c r="B342" t="s">
        <v>1348</v>
      </c>
      <c r="C342" t="s">
        <v>29</v>
      </c>
      <c r="D342" t="s">
        <v>1349</v>
      </c>
      <c r="E342" t="s">
        <v>1350</v>
      </c>
      <c r="F342" s="1">
        <v>46126.453912037039</v>
      </c>
      <c r="G342" t="s">
        <v>45</v>
      </c>
      <c r="H342">
        <v>0</v>
      </c>
      <c r="I342">
        <v>312</v>
      </c>
      <c r="J342">
        <v>1008</v>
      </c>
      <c r="K342">
        <v>1320</v>
      </c>
      <c r="L342">
        <v>1295</v>
      </c>
      <c r="M342">
        <v>3748</v>
      </c>
      <c r="N342">
        <v>1487</v>
      </c>
      <c r="O342">
        <v>4</v>
      </c>
      <c r="P342">
        <v>5</v>
      </c>
      <c r="Q342">
        <v>5</v>
      </c>
      <c r="R342" t="s">
        <v>1351</v>
      </c>
      <c r="S342" t="s">
        <v>387</v>
      </c>
      <c r="T342" t="s">
        <v>1352</v>
      </c>
      <c r="U342" t="s">
        <v>487</v>
      </c>
      <c r="V342" t="s">
        <v>1353</v>
      </c>
      <c r="W342" t="s">
        <v>1354</v>
      </c>
      <c r="X342" t="s">
        <v>154</v>
      </c>
      <c r="Y342" t="b">
        <v>0</v>
      </c>
      <c r="Z342" t="s">
        <v>39</v>
      </c>
      <c r="AA342" t="s">
        <v>1355</v>
      </c>
      <c r="AB342" t="s">
        <v>41</v>
      </c>
      <c r="AC342">
        <f t="shared" si="5"/>
        <v>5</v>
      </c>
    </row>
    <row r="343" spans="1:29" x14ac:dyDescent="0.3">
      <c r="A343">
        <v>2472029</v>
      </c>
      <c r="B343" t="s">
        <v>1431</v>
      </c>
      <c r="C343" t="s">
        <v>29</v>
      </c>
      <c r="D343" t="s">
        <v>1432</v>
      </c>
      <c r="E343" t="s">
        <v>1433</v>
      </c>
      <c r="F343" s="1">
        <v>46098.505671296298</v>
      </c>
      <c r="G343" t="s">
        <v>138</v>
      </c>
      <c r="H343">
        <v>0</v>
      </c>
      <c r="I343">
        <v>1186</v>
      </c>
      <c r="J343">
        <v>653</v>
      </c>
      <c r="K343">
        <v>1839</v>
      </c>
      <c r="L343">
        <v>3692</v>
      </c>
      <c r="M343">
        <v>2267</v>
      </c>
      <c r="N343">
        <v>1538</v>
      </c>
      <c r="O343">
        <v>4</v>
      </c>
      <c r="P343">
        <v>5</v>
      </c>
      <c r="Q343">
        <v>4</v>
      </c>
      <c r="R343" t="s">
        <v>1215</v>
      </c>
      <c r="S343" t="s">
        <v>1434</v>
      </c>
      <c r="T343" t="s">
        <v>1435</v>
      </c>
      <c r="U343" t="s">
        <v>1436</v>
      </c>
      <c r="V343" t="s">
        <v>1437</v>
      </c>
      <c r="W343" t="s">
        <v>1438</v>
      </c>
      <c r="X343" t="s">
        <v>38</v>
      </c>
      <c r="Y343" t="b">
        <v>0</v>
      </c>
      <c r="Z343" t="s">
        <v>39</v>
      </c>
      <c r="AA343" t="s">
        <v>1439</v>
      </c>
      <c r="AB343" t="s">
        <v>41</v>
      </c>
      <c r="AC343">
        <f t="shared" si="5"/>
        <v>4</v>
      </c>
    </row>
    <row r="344" spans="1:29" x14ac:dyDescent="0.3">
      <c r="A344">
        <v>2472029</v>
      </c>
      <c r="B344" t="s">
        <v>2056</v>
      </c>
      <c r="C344" t="s">
        <v>29</v>
      </c>
      <c r="D344" t="s">
        <v>2057</v>
      </c>
      <c r="E344" t="s">
        <v>2058</v>
      </c>
      <c r="F344" s="1">
        <v>46119.532962962963</v>
      </c>
      <c r="G344" t="s">
        <v>56</v>
      </c>
      <c r="H344">
        <v>0</v>
      </c>
      <c r="I344">
        <v>902</v>
      </c>
      <c r="J344">
        <v>438</v>
      </c>
      <c r="K344">
        <v>1340</v>
      </c>
      <c r="L344">
        <v>3078</v>
      </c>
      <c r="M344">
        <v>1248</v>
      </c>
      <c r="N344">
        <v>2360</v>
      </c>
      <c r="O344">
        <v>4</v>
      </c>
      <c r="P344">
        <v>4</v>
      </c>
      <c r="Q344">
        <v>4</v>
      </c>
      <c r="R344" t="s">
        <v>2059</v>
      </c>
      <c r="S344" t="s">
        <v>2060</v>
      </c>
      <c r="T344" t="s">
        <v>2061</v>
      </c>
      <c r="U344" t="s">
        <v>2062</v>
      </c>
      <c r="V344" t="s">
        <v>2063</v>
      </c>
      <c r="W344" t="s">
        <v>2064</v>
      </c>
      <c r="X344" t="s">
        <v>38</v>
      </c>
      <c r="Y344" t="b">
        <v>0</v>
      </c>
      <c r="Z344" t="s">
        <v>39</v>
      </c>
      <c r="AA344" t="s">
        <v>2065</v>
      </c>
      <c r="AB344" t="s">
        <v>41</v>
      </c>
      <c r="AC344">
        <f t="shared" si="5"/>
        <v>4</v>
      </c>
    </row>
    <row r="345" spans="1:29" x14ac:dyDescent="0.3">
      <c r="A345">
        <v>2472029</v>
      </c>
      <c r="B345" t="s">
        <v>1186</v>
      </c>
      <c r="C345" t="s">
        <v>29</v>
      </c>
      <c r="D345" t="s">
        <v>1187</v>
      </c>
      <c r="E345" t="s">
        <v>2241</v>
      </c>
      <c r="F345" s="1">
        <v>46126.472928240742</v>
      </c>
      <c r="G345" t="s">
        <v>45</v>
      </c>
      <c r="H345">
        <v>0</v>
      </c>
      <c r="I345">
        <v>357</v>
      </c>
      <c r="J345">
        <v>1042</v>
      </c>
      <c r="K345">
        <v>1399</v>
      </c>
      <c r="L345">
        <v>1444</v>
      </c>
      <c r="M345">
        <v>3507</v>
      </c>
      <c r="N345">
        <v>2554</v>
      </c>
      <c r="O345">
        <v>3</v>
      </c>
      <c r="P345">
        <v>2</v>
      </c>
      <c r="Q345">
        <v>2</v>
      </c>
      <c r="R345" t="s">
        <v>1189</v>
      </c>
      <c r="S345" t="s">
        <v>935</v>
      </c>
      <c r="T345" t="s">
        <v>1190</v>
      </c>
      <c r="U345" t="s">
        <v>1191</v>
      </c>
      <c r="V345" t="s">
        <v>1192</v>
      </c>
      <c r="W345" t="s">
        <v>1193</v>
      </c>
      <c r="X345" t="s">
        <v>126</v>
      </c>
      <c r="Y345" t="b">
        <v>0</v>
      </c>
      <c r="Z345" t="s">
        <v>39</v>
      </c>
      <c r="AA345" t="s">
        <v>1194</v>
      </c>
      <c r="AB345" t="s">
        <v>2242</v>
      </c>
      <c r="AC345">
        <f t="shared" si="5"/>
        <v>1</v>
      </c>
    </row>
    <row r="346" spans="1:29" x14ac:dyDescent="0.3">
      <c r="A346">
        <v>2472029</v>
      </c>
      <c r="B346" t="s">
        <v>2362</v>
      </c>
      <c r="C346" t="s">
        <v>29</v>
      </c>
      <c r="D346" t="s">
        <v>2363</v>
      </c>
      <c r="E346" t="s">
        <v>2364</v>
      </c>
      <c r="F346" s="1">
        <v>46098.556990740741</v>
      </c>
      <c r="G346" t="s">
        <v>138</v>
      </c>
      <c r="H346">
        <v>0</v>
      </c>
      <c r="I346">
        <v>665</v>
      </c>
      <c r="J346">
        <v>494</v>
      </c>
      <c r="K346">
        <v>1159</v>
      </c>
      <c r="L346">
        <v>2498</v>
      </c>
      <c r="M346">
        <v>1916</v>
      </c>
      <c r="N346">
        <v>2685</v>
      </c>
      <c r="O346">
        <v>4</v>
      </c>
      <c r="P346">
        <v>5</v>
      </c>
      <c r="Q346">
        <v>5</v>
      </c>
      <c r="R346" t="s">
        <v>1215</v>
      </c>
      <c r="S346" t="s">
        <v>1434</v>
      </c>
      <c r="T346" t="s">
        <v>2365</v>
      </c>
      <c r="U346" t="s">
        <v>2366</v>
      </c>
      <c r="V346" t="s">
        <v>2367</v>
      </c>
      <c r="W346" t="s">
        <v>391</v>
      </c>
      <c r="X346" t="s">
        <v>154</v>
      </c>
      <c r="Y346" t="b">
        <v>0</v>
      </c>
      <c r="Z346" t="s">
        <v>39</v>
      </c>
      <c r="AA346" t="s">
        <v>2368</v>
      </c>
      <c r="AB346" t="s">
        <v>41</v>
      </c>
      <c r="AC346">
        <f t="shared" si="5"/>
        <v>5</v>
      </c>
    </row>
    <row r="347" spans="1:29" x14ac:dyDescent="0.3">
      <c r="A347">
        <v>2472029</v>
      </c>
      <c r="B347" t="s">
        <v>2448</v>
      </c>
      <c r="C347" t="s">
        <v>29</v>
      </c>
      <c r="D347" t="s">
        <v>2449</v>
      </c>
      <c r="E347" t="s">
        <v>2449</v>
      </c>
      <c r="F347" s="1">
        <v>46091.534687500003</v>
      </c>
      <c r="G347" t="s">
        <v>31</v>
      </c>
      <c r="H347">
        <v>0</v>
      </c>
      <c r="I347">
        <v>396</v>
      </c>
      <c r="J347">
        <v>50</v>
      </c>
      <c r="K347">
        <v>446</v>
      </c>
      <c r="L347">
        <v>1654</v>
      </c>
      <c r="M347">
        <v>279</v>
      </c>
      <c r="N347">
        <v>2752</v>
      </c>
      <c r="O347">
        <v>4</v>
      </c>
      <c r="P347">
        <v>5</v>
      </c>
      <c r="Q347">
        <v>5</v>
      </c>
      <c r="R347" t="s">
        <v>2450</v>
      </c>
      <c r="S347" t="s">
        <v>208</v>
      </c>
      <c r="T347" t="s">
        <v>986</v>
      </c>
      <c r="U347" t="s">
        <v>125</v>
      </c>
      <c r="V347" t="s">
        <v>2451</v>
      </c>
      <c r="W347" t="s">
        <v>542</v>
      </c>
      <c r="X347" t="s">
        <v>154</v>
      </c>
      <c r="Y347" t="b">
        <v>0</v>
      </c>
      <c r="Z347" t="s">
        <v>39</v>
      </c>
      <c r="AA347" t="s">
        <v>2452</v>
      </c>
      <c r="AB347" t="s">
        <v>41</v>
      </c>
      <c r="AC347">
        <f t="shared" si="5"/>
        <v>5</v>
      </c>
    </row>
    <row r="348" spans="1:29" x14ac:dyDescent="0.3">
      <c r="A348">
        <v>2472029</v>
      </c>
      <c r="B348" t="s">
        <v>2477</v>
      </c>
      <c r="C348" t="s">
        <v>29</v>
      </c>
      <c r="D348" t="s">
        <v>2478</v>
      </c>
      <c r="E348" t="s">
        <v>2478</v>
      </c>
      <c r="F348" s="1">
        <v>46091.532824074071</v>
      </c>
      <c r="G348" t="s">
        <v>31</v>
      </c>
      <c r="H348">
        <v>0</v>
      </c>
      <c r="I348">
        <v>464</v>
      </c>
      <c r="J348">
        <v>108</v>
      </c>
      <c r="K348">
        <v>572</v>
      </c>
      <c r="L348">
        <v>1940</v>
      </c>
      <c r="M348">
        <v>338</v>
      </c>
      <c r="N348">
        <v>2796</v>
      </c>
      <c r="O348">
        <v>4</v>
      </c>
      <c r="P348">
        <v>5</v>
      </c>
      <c r="Q348">
        <v>4</v>
      </c>
      <c r="R348" t="s">
        <v>2479</v>
      </c>
      <c r="S348" t="s">
        <v>2253</v>
      </c>
      <c r="T348" t="s">
        <v>2480</v>
      </c>
      <c r="U348" t="s">
        <v>270</v>
      </c>
      <c r="V348" t="s">
        <v>2481</v>
      </c>
      <c r="W348" t="s">
        <v>2482</v>
      </c>
      <c r="X348" t="s">
        <v>38</v>
      </c>
      <c r="Y348" t="b">
        <v>0</v>
      </c>
      <c r="Z348" t="s">
        <v>39</v>
      </c>
      <c r="AA348" t="s">
        <v>2483</v>
      </c>
      <c r="AB348" t="s">
        <v>41</v>
      </c>
      <c r="AC348">
        <f t="shared" si="5"/>
        <v>4</v>
      </c>
    </row>
    <row r="349" spans="1:29" x14ac:dyDescent="0.3">
      <c r="A349">
        <v>2472029</v>
      </c>
      <c r="B349" t="s">
        <v>2575</v>
      </c>
      <c r="C349" t="s">
        <v>29</v>
      </c>
      <c r="D349" t="s">
        <v>2576</v>
      </c>
      <c r="E349" t="s">
        <v>2576</v>
      </c>
      <c r="F349" s="1">
        <v>46126.423449074071</v>
      </c>
      <c r="G349" t="s">
        <v>45</v>
      </c>
      <c r="H349">
        <v>0</v>
      </c>
      <c r="I349">
        <v>142</v>
      </c>
      <c r="J349">
        <v>113</v>
      </c>
      <c r="K349">
        <v>255</v>
      </c>
      <c r="L349">
        <v>463</v>
      </c>
      <c r="M349">
        <v>416</v>
      </c>
      <c r="N349">
        <v>2900</v>
      </c>
      <c r="O349">
        <v>4</v>
      </c>
      <c r="P349">
        <v>5</v>
      </c>
      <c r="Q349">
        <v>4</v>
      </c>
      <c r="R349" t="s">
        <v>2577</v>
      </c>
      <c r="S349" t="s">
        <v>2578</v>
      </c>
      <c r="T349" t="s">
        <v>2579</v>
      </c>
      <c r="U349" t="s">
        <v>2580</v>
      </c>
      <c r="V349" t="s">
        <v>2581</v>
      </c>
      <c r="W349" t="s">
        <v>2582</v>
      </c>
      <c r="X349" t="s">
        <v>38</v>
      </c>
      <c r="Y349" t="b">
        <v>0</v>
      </c>
      <c r="Z349" t="s">
        <v>39</v>
      </c>
      <c r="AA349" t="s">
        <v>2583</v>
      </c>
      <c r="AB349" t="s">
        <v>41</v>
      </c>
      <c r="AC349">
        <f t="shared" si="5"/>
        <v>4</v>
      </c>
    </row>
    <row r="350" spans="1:29" x14ac:dyDescent="0.3">
      <c r="A350">
        <v>2472029</v>
      </c>
      <c r="B350" t="s">
        <v>3249</v>
      </c>
      <c r="C350" t="s">
        <v>29</v>
      </c>
      <c r="D350" t="s">
        <v>3250</v>
      </c>
      <c r="E350" t="s">
        <v>3250</v>
      </c>
      <c r="F350" s="1">
        <v>46091.408333333333</v>
      </c>
      <c r="G350" t="s">
        <v>31</v>
      </c>
      <c r="H350">
        <v>0</v>
      </c>
      <c r="I350">
        <v>100</v>
      </c>
      <c r="J350">
        <v>236</v>
      </c>
      <c r="K350">
        <v>336</v>
      </c>
      <c r="L350">
        <v>500</v>
      </c>
      <c r="M350">
        <v>1150</v>
      </c>
      <c r="N350">
        <v>3665</v>
      </c>
      <c r="O350">
        <v>4</v>
      </c>
      <c r="P350">
        <v>5</v>
      </c>
      <c r="Q350">
        <v>4</v>
      </c>
      <c r="R350" t="s">
        <v>3251</v>
      </c>
      <c r="S350" t="s">
        <v>3159</v>
      </c>
      <c r="T350" t="s">
        <v>3252</v>
      </c>
      <c r="U350" t="s">
        <v>523</v>
      </c>
      <c r="V350" t="s">
        <v>3253</v>
      </c>
      <c r="W350" t="s">
        <v>3254</v>
      </c>
      <c r="X350" t="s">
        <v>38</v>
      </c>
      <c r="Y350" t="b">
        <v>0</v>
      </c>
      <c r="Z350" t="s">
        <v>39</v>
      </c>
      <c r="AA350" t="s">
        <v>3255</v>
      </c>
      <c r="AB350" t="s">
        <v>41</v>
      </c>
      <c r="AC350">
        <f t="shared" si="5"/>
        <v>4</v>
      </c>
    </row>
    <row r="351" spans="1:29" x14ac:dyDescent="0.3">
      <c r="A351">
        <v>2472029</v>
      </c>
      <c r="B351" t="s">
        <v>3857</v>
      </c>
      <c r="C351" t="s">
        <v>29</v>
      </c>
      <c r="D351" t="s">
        <v>3858</v>
      </c>
      <c r="E351" t="s">
        <v>3859</v>
      </c>
      <c r="F351" s="1">
        <v>46126.46502314815</v>
      </c>
      <c r="G351" t="s">
        <v>45</v>
      </c>
      <c r="H351">
        <v>0</v>
      </c>
      <c r="I351">
        <v>626</v>
      </c>
      <c r="J351">
        <v>892</v>
      </c>
      <c r="K351">
        <v>1518</v>
      </c>
      <c r="L351">
        <v>2349</v>
      </c>
      <c r="M351">
        <v>3370</v>
      </c>
      <c r="N351">
        <v>4471</v>
      </c>
      <c r="O351">
        <v>4</v>
      </c>
      <c r="P351">
        <v>5</v>
      </c>
      <c r="Q351">
        <v>5</v>
      </c>
      <c r="R351" t="s">
        <v>3860</v>
      </c>
      <c r="S351" t="s">
        <v>2060</v>
      </c>
      <c r="T351" t="s">
        <v>3861</v>
      </c>
      <c r="U351" t="s">
        <v>3862</v>
      </c>
      <c r="V351" t="s">
        <v>3863</v>
      </c>
      <c r="W351" t="s">
        <v>3864</v>
      </c>
      <c r="X351" t="s">
        <v>154</v>
      </c>
      <c r="Y351" t="b">
        <v>0</v>
      </c>
      <c r="Z351" t="s">
        <v>39</v>
      </c>
      <c r="AA351" t="s">
        <v>3865</v>
      </c>
      <c r="AB351" t="s">
        <v>41</v>
      </c>
      <c r="AC351">
        <f t="shared" si="5"/>
        <v>5</v>
      </c>
    </row>
    <row r="352" spans="1:29" x14ac:dyDescent="0.3">
      <c r="A352">
        <v>2472029</v>
      </c>
      <c r="B352" t="s">
        <v>3957</v>
      </c>
      <c r="C352" t="s">
        <v>29</v>
      </c>
      <c r="D352" t="s">
        <v>3958</v>
      </c>
      <c r="E352" t="s">
        <v>3958</v>
      </c>
      <c r="F352" s="1">
        <v>46077.659317129634</v>
      </c>
      <c r="G352" t="s">
        <v>67</v>
      </c>
      <c r="H352">
        <v>0</v>
      </c>
      <c r="I352">
        <v>567</v>
      </c>
      <c r="J352">
        <v>139</v>
      </c>
      <c r="K352">
        <v>706</v>
      </c>
      <c r="L352">
        <v>2253</v>
      </c>
      <c r="M352">
        <v>661</v>
      </c>
      <c r="N352">
        <v>4613</v>
      </c>
      <c r="O352">
        <v>3</v>
      </c>
      <c r="P352">
        <v>5</v>
      </c>
      <c r="Q352">
        <v>4</v>
      </c>
      <c r="R352" t="s">
        <v>1295</v>
      </c>
      <c r="S352" t="s">
        <v>3959</v>
      </c>
      <c r="T352" t="s">
        <v>3960</v>
      </c>
      <c r="U352" t="s">
        <v>3961</v>
      </c>
      <c r="V352" t="s">
        <v>3962</v>
      </c>
      <c r="W352" t="s">
        <v>3963</v>
      </c>
      <c r="X352" t="s">
        <v>38</v>
      </c>
      <c r="Y352" t="b">
        <v>0</v>
      </c>
      <c r="Z352" t="s">
        <v>39</v>
      </c>
      <c r="AA352" t="s">
        <v>3964</v>
      </c>
      <c r="AB352" t="s">
        <v>41</v>
      </c>
      <c r="AC352">
        <f t="shared" si="5"/>
        <v>4</v>
      </c>
    </row>
    <row r="353" spans="1:29" x14ac:dyDescent="0.3">
      <c r="A353">
        <v>2472030</v>
      </c>
      <c r="B353" t="s">
        <v>464</v>
      </c>
      <c r="C353" t="s">
        <v>29</v>
      </c>
      <c r="D353" t="s">
        <v>465</v>
      </c>
      <c r="E353" t="s">
        <v>465</v>
      </c>
      <c r="F353" s="1">
        <v>46092.552870370368</v>
      </c>
      <c r="G353" t="s">
        <v>31</v>
      </c>
      <c r="H353">
        <v>0</v>
      </c>
      <c r="I353">
        <v>34</v>
      </c>
      <c r="J353">
        <v>130</v>
      </c>
      <c r="K353">
        <v>164</v>
      </c>
      <c r="L353">
        <v>123</v>
      </c>
      <c r="M353">
        <v>487</v>
      </c>
      <c r="N353">
        <v>442</v>
      </c>
      <c r="O353">
        <v>4</v>
      </c>
      <c r="P353">
        <v>5</v>
      </c>
      <c r="Q353">
        <v>5</v>
      </c>
      <c r="R353" t="s">
        <v>466</v>
      </c>
      <c r="S353" t="s">
        <v>467</v>
      </c>
      <c r="T353" t="s">
        <v>468</v>
      </c>
      <c r="U353" t="s">
        <v>200</v>
      </c>
      <c r="V353" t="s">
        <v>469</v>
      </c>
      <c r="W353" t="s">
        <v>470</v>
      </c>
      <c r="X353" t="s">
        <v>154</v>
      </c>
      <c r="Y353" t="b">
        <v>0</v>
      </c>
      <c r="Z353" t="s">
        <v>39</v>
      </c>
      <c r="AA353" t="s">
        <v>471</v>
      </c>
      <c r="AB353" t="s">
        <v>41</v>
      </c>
      <c r="AC353">
        <f t="shared" si="5"/>
        <v>5</v>
      </c>
    </row>
    <row r="354" spans="1:29" x14ac:dyDescent="0.3">
      <c r="A354">
        <v>2472030</v>
      </c>
      <c r="B354" t="s">
        <v>2002</v>
      </c>
      <c r="C354" t="s">
        <v>29</v>
      </c>
      <c r="D354" t="s">
        <v>2003</v>
      </c>
      <c r="E354" t="s">
        <v>2003</v>
      </c>
      <c r="F354" s="1">
        <v>46120.65834490741</v>
      </c>
      <c r="G354" t="s">
        <v>56</v>
      </c>
      <c r="H354">
        <v>0</v>
      </c>
      <c r="I354">
        <v>455</v>
      </c>
      <c r="J354">
        <v>90</v>
      </c>
      <c r="K354">
        <v>545</v>
      </c>
      <c r="L354">
        <v>1663</v>
      </c>
      <c r="M354">
        <v>382</v>
      </c>
      <c r="N354">
        <v>2306</v>
      </c>
      <c r="O354">
        <v>4</v>
      </c>
      <c r="P354">
        <v>4</v>
      </c>
      <c r="Q354">
        <v>4</v>
      </c>
      <c r="R354" t="s">
        <v>1736</v>
      </c>
      <c r="S354" t="s">
        <v>2004</v>
      </c>
      <c r="T354" t="s">
        <v>2005</v>
      </c>
      <c r="U354" t="s">
        <v>2006</v>
      </c>
      <c r="V354" t="s">
        <v>2007</v>
      </c>
      <c r="W354" t="s">
        <v>2008</v>
      </c>
      <c r="X354" t="s">
        <v>38</v>
      </c>
      <c r="Y354" t="b">
        <v>0</v>
      </c>
      <c r="Z354" t="s">
        <v>39</v>
      </c>
      <c r="AA354" t="s">
        <v>2009</v>
      </c>
      <c r="AB354" t="s">
        <v>41</v>
      </c>
      <c r="AC354">
        <f t="shared" si="5"/>
        <v>4</v>
      </c>
    </row>
    <row r="355" spans="1:29" x14ac:dyDescent="0.3">
      <c r="A355">
        <v>2472032</v>
      </c>
      <c r="B355" t="s">
        <v>742</v>
      </c>
      <c r="C355" t="s">
        <v>29</v>
      </c>
      <c r="D355" t="s">
        <v>743</v>
      </c>
      <c r="E355" t="s">
        <v>744</v>
      </c>
      <c r="F355" s="1">
        <v>46084.502303240741</v>
      </c>
      <c r="G355" t="s">
        <v>177</v>
      </c>
      <c r="H355">
        <v>0</v>
      </c>
      <c r="I355">
        <v>38</v>
      </c>
      <c r="J355">
        <v>185</v>
      </c>
      <c r="K355">
        <v>223</v>
      </c>
      <c r="L355">
        <v>147</v>
      </c>
      <c r="M355">
        <v>687</v>
      </c>
      <c r="N355">
        <v>765</v>
      </c>
      <c r="O355">
        <v>3</v>
      </c>
      <c r="P355">
        <v>5</v>
      </c>
      <c r="Q355">
        <v>4</v>
      </c>
      <c r="R355" t="s">
        <v>745</v>
      </c>
      <c r="S355" t="s">
        <v>746</v>
      </c>
      <c r="T355" t="s">
        <v>747</v>
      </c>
      <c r="U355" t="s">
        <v>748</v>
      </c>
      <c r="V355" t="s">
        <v>749</v>
      </c>
      <c r="W355" t="s">
        <v>750</v>
      </c>
      <c r="X355" t="s">
        <v>38</v>
      </c>
      <c r="Y355" t="b">
        <v>0</v>
      </c>
      <c r="Z355" t="s">
        <v>39</v>
      </c>
      <c r="AA355" t="s">
        <v>751</v>
      </c>
      <c r="AB355" t="s">
        <v>41</v>
      </c>
      <c r="AC355">
        <f t="shared" si="5"/>
        <v>4</v>
      </c>
    </row>
    <row r="356" spans="1:29" x14ac:dyDescent="0.3">
      <c r="A356">
        <v>2472032</v>
      </c>
      <c r="B356" t="s">
        <v>916</v>
      </c>
      <c r="C356" t="s">
        <v>29</v>
      </c>
      <c r="D356" t="s">
        <v>917</v>
      </c>
      <c r="E356" t="s">
        <v>918</v>
      </c>
      <c r="F356" s="1">
        <v>46084.499699074076</v>
      </c>
      <c r="G356" t="s">
        <v>177</v>
      </c>
      <c r="H356">
        <v>0</v>
      </c>
      <c r="I356">
        <v>134</v>
      </c>
      <c r="J356">
        <v>106</v>
      </c>
      <c r="K356">
        <v>240</v>
      </c>
      <c r="L356">
        <v>406</v>
      </c>
      <c r="M356">
        <v>346</v>
      </c>
      <c r="N356">
        <v>885</v>
      </c>
      <c r="O356">
        <v>4</v>
      </c>
      <c r="P356">
        <v>5</v>
      </c>
      <c r="Q356">
        <v>4</v>
      </c>
      <c r="R356" t="s">
        <v>139</v>
      </c>
      <c r="S356" t="s">
        <v>387</v>
      </c>
      <c r="T356" t="s">
        <v>919</v>
      </c>
      <c r="U356" t="s">
        <v>920</v>
      </c>
      <c r="V356" t="s">
        <v>921</v>
      </c>
      <c r="W356" t="s">
        <v>922</v>
      </c>
      <c r="X356" t="s">
        <v>38</v>
      </c>
      <c r="Y356" t="b">
        <v>0</v>
      </c>
      <c r="Z356" t="s">
        <v>39</v>
      </c>
      <c r="AA356" t="s">
        <v>923</v>
      </c>
      <c r="AB356" t="s">
        <v>41</v>
      </c>
      <c r="AC356">
        <f t="shared" si="5"/>
        <v>4</v>
      </c>
    </row>
    <row r="357" spans="1:29" x14ac:dyDescent="0.3">
      <c r="A357">
        <v>2472032</v>
      </c>
      <c r="B357" t="s">
        <v>2259</v>
      </c>
      <c r="C357" t="s">
        <v>29</v>
      </c>
      <c r="D357" t="s">
        <v>76</v>
      </c>
      <c r="E357" t="s">
        <v>77</v>
      </c>
      <c r="F357" s="1">
        <v>46098.509895833333</v>
      </c>
      <c r="G357" t="s">
        <v>138</v>
      </c>
      <c r="H357">
        <v>0</v>
      </c>
      <c r="I357">
        <v>34</v>
      </c>
      <c r="J357">
        <v>11</v>
      </c>
      <c r="K357">
        <v>45</v>
      </c>
      <c r="L357">
        <v>113</v>
      </c>
      <c r="M357">
        <v>29</v>
      </c>
      <c r="N357">
        <v>2581</v>
      </c>
      <c r="O357">
        <v>4</v>
      </c>
      <c r="P357">
        <v>4</v>
      </c>
      <c r="Q357">
        <v>4</v>
      </c>
      <c r="R357" t="s">
        <v>2260</v>
      </c>
      <c r="S357" t="s">
        <v>2261</v>
      </c>
      <c r="T357" t="s">
        <v>2262</v>
      </c>
      <c r="U357" t="s">
        <v>2263</v>
      </c>
      <c r="V357" t="s">
        <v>2264</v>
      </c>
      <c r="W357" t="s">
        <v>2265</v>
      </c>
      <c r="X357" t="s">
        <v>38</v>
      </c>
      <c r="Y357" t="b">
        <v>0</v>
      </c>
      <c r="Z357" t="s">
        <v>39</v>
      </c>
      <c r="AA357" t="s">
        <v>2266</v>
      </c>
      <c r="AB357" t="s">
        <v>41</v>
      </c>
      <c r="AC357">
        <f t="shared" si="5"/>
        <v>4</v>
      </c>
    </row>
    <row r="358" spans="1:29" x14ac:dyDescent="0.3">
      <c r="A358">
        <v>2472032</v>
      </c>
      <c r="B358" t="s">
        <v>2468</v>
      </c>
      <c r="C358" t="s">
        <v>29</v>
      </c>
      <c r="D358" t="s">
        <v>2469</v>
      </c>
      <c r="E358" t="s">
        <v>2470</v>
      </c>
      <c r="F358" s="1">
        <v>46098.534803240742</v>
      </c>
      <c r="G358" t="s">
        <v>138</v>
      </c>
      <c r="H358">
        <v>0</v>
      </c>
      <c r="I358">
        <v>35</v>
      </c>
      <c r="J358">
        <v>32</v>
      </c>
      <c r="K358">
        <v>67</v>
      </c>
      <c r="L358">
        <v>146</v>
      </c>
      <c r="M358">
        <v>144</v>
      </c>
      <c r="N358">
        <v>2781</v>
      </c>
      <c r="O358">
        <v>4</v>
      </c>
      <c r="P358">
        <v>4</v>
      </c>
      <c r="Q358">
        <v>4</v>
      </c>
      <c r="R358" t="s">
        <v>2471</v>
      </c>
      <c r="S358" t="s">
        <v>2472</v>
      </c>
      <c r="T358" t="s">
        <v>2473</v>
      </c>
      <c r="U358" t="s">
        <v>317</v>
      </c>
      <c r="V358" t="s">
        <v>2474</v>
      </c>
      <c r="W358" t="s">
        <v>2475</v>
      </c>
      <c r="X358" t="s">
        <v>38</v>
      </c>
      <c r="Y358" t="b">
        <v>0</v>
      </c>
      <c r="Z358" t="s">
        <v>39</v>
      </c>
      <c r="AA358" t="s">
        <v>2476</v>
      </c>
      <c r="AB358" t="s">
        <v>41</v>
      </c>
      <c r="AC358">
        <f t="shared" si="5"/>
        <v>4</v>
      </c>
    </row>
    <row r="359" spans="1:29" x14ac:dyDescent="0.3">
      <c r="A359">
        <v>2472032</v>
      </c>
      <c r="B359" t="s">
        <v>2557</v>
      </c>
      <c r="C359" t="s">
        <v>29</v>
      </c>
      <c r="D359" t="s">
        <v>2558</v>
      </c>
      <c r="E359" t="s">
        <v>2559</v>
      </c>
      <c r="F359" s="1">
        <v>46091.497314814813</v>
      </c>
      <c r="G359" t="s">
        <v>31</v>
      </c>
      <c r="H359">
        <v>0</v>
      </c>
      <c r="I359">
        <v>42</v>
      </c>
      <c r="J359">
        <v>11</v>
      </c>
      <c r="K359">
        <v>53</v>
      </c>
      <c r="L359">
        <v>168</v>
      </c>
      <c r="M359">
        <v>44</v>
      </c>
      <c r="N359">
        <v>2883</v>
      </c>
      <c r="O359">
        <v>3</v>
      </c>
      <c r="P359">
        <v>4</v>
      </c>
      <c r="Q359">
        <v>3</v>
      </c>
      <c r="R359" t="s">
        <v>2560</v>
      </c>
      <c r="S359" t="s">
        <v>2561</v>
      </c>
      <c r="T359" t="s">
        <v>2562</v>
      </c>
      <c r="U359" t="s">
        <v>2263</v>
      </c>
      <c r="V359" t="s">
        <v>2563</v>
      </c>
      <c r="W359" t="s">
        <v>2564</v>
      </c>
      <c r="X359" t="s">
        <v>84</v>
      </c>
      <c r="Y359" t="b">
        <v>0</v>
      </c>
      <c r="Z359" t="s">
        <v>39</v>
      </c>
      <c r="AA359" t="s">
        <v>2565</v>
      </c>
      <c r="AB359" t="s">
        <v>41</v>
      </c>
      <c r="AC359">
        <f t="shared" si="5"/>
        <v>3</v>
      </c>
    </row>
    <row r="360" spans="1:29" x14ac:dyDescent="0.3">
      <c r="A360">
        <v>2472032</v>
      </c>
      <c r="B360" t="s">
        <v>2878</v>
      </c>
      <c r="C360" t="s">
        <v>29</v>
      </c>
      <c r="D360" t="s">
        <v>2879</v>
      </c>
      <c r="E360" t="s">
        <v>2880</v>
      </c>
      <c r="F360" s="1">
        <v>46126.440335648149</v>
      </c>
      <c r="G360" t="s">
        <v>45</v>
      </c>
      <c r="H360">
        <v>0</v>
      </c>
      <c r="I360">
        <v>64</v>
      </c>
      <c r="J360">
        <v>79</v>
      </c>
      <c r="K360">
        <v>143</v>
      </c>
      <c r="L360">
        <v>227</v>
      </c>
      <c r="M360">
        <v>274</v>
      </c>
      <c r="N360">
        <v>3302</v>
      </c>
      <c r="O360">
        <v>4</v>
      </c>
      <c r="P360">
        <v>5</v>
      </c>
      <c r="Q360">
        <v>5</v>
      </c>
      <c r="R360" t="s">
        <v>2881</v>
      </c>
      <c r="S360" t="s">
        <v>252</v>
      </c>
      <c r="T360" t="s">
        <v>2882</v>
      </c>
      <c r="U360" t="s">
        <v>125</v>
      </c>
      <c r="V360" t="s">
        <v>2883</v>
      </c>
      <c r="W360" t="s">
        <v>1982</v>
      </c>
      <c r="X360" t="s">
        <v>154</v>
      </c>
      <c r="Y360" t="b">
        <v>0</v>
      </c>
      <c r="Z360" t="s">
        <v>39</v>
      </c>
      <c r="AA360" t="s">
        <v>2884</v>
      </c>
      <c r="AB360" t="s">
        <v>41</v>
      </c>
      <c r="AC360">
        <f t="shared" si="5"/>
        <v>5</v>
      </c>
    </row>
    <row r="361" spans="1:29" x14ac:dyDescent="0.3">
      <c r="A361">
        <v>2472032</v>
      </c>
      <c r="B361" t="s">
        <v>4218</v>
      </c>
      <c r="C361" t="s">
        <v>29</v>
      </c>
      <c r="D361" t="s">
        <v>4219</v>
      </c>
      <c r="E361" t="s">
        <v>4219</v>
      </c>
      <c r="F361" s="1">
        <v>46077.517094907409</v>
      </c>
      <c r="G361" t="s">
        <v>67</v>
      </c>
      <c r="H361">
        <v>0</v>
      </c>
      <c r="I361">
        <v>197</v>
      </c>
      <c r="J361">
        <v>401</v>
      </c>
      <c r="K361">
        <v>598</v>
      </c>
      <c r="L361">
        <v>838</v>
      </c>
      <c r="M361">
        <v>1316</v>
      </c>
      <c r="N361">
        <v>4939</v>
      </c>
      <c r="O361">
        <v>4</v>
      </c>
      <c r="P361">
        <v>5</v>
      </c>
      <c r="Q361">
        <v>5</v>
      </c>
      <c r="R361" t="s">
        <v>438</v>
      </c>
      <c r="S361" t="s">
        <v>1980</v>
      </c>
      <c r="T361" t="s">
        <v>4220</v>
      </c>
      <c r="U361" t="s">
        <v>170</v>
      </c>
      <c r="V361" t="s">
        <v>4221</v>
      </c>
      <c r="W361" t="s">
        <v>4222</v>
      </c>
      <c r="X361" t="s">
        <v>154</v>
      </c>
      <c r="Y361" t="b">
        <v>0</v>
      </c>
      <c r="Z361" t="s">
        <v>39</v>
      </c>
      <c r="AA361" t="s">
        <v>4223</v>
      </c>
      <c r="AB361" t="s">
        <v>41</v>
      </c>
      <c r="AC361">
        <f t="shared" si="5"/>
        <v>5</v>
      </c>
    </row>
    <row r="362" spans="1:29" x14ac:dyDescent="0.3">
      <c r="A362">
        <v>2472034</v>
      </c>
      <c r="B362" t="s">
        <v>527</v>
      </c>
      <c r="C362" t="s">
        <v>29</v>
      </c>
      <c r="D362" t="s">
        <v>528</v>
      </c>
      <c r="E362" t="s">
        <v>528</v>
      </c>
      <c r="F362" s="1">
        <v>46126.3981712963</v>
      </c>
      <c r="G362" t="s">
        <v>45</v>
      </c>
      <c r="H362">
        <v>0</v>
      </c>
      <c r="I362">
        <v>39</v>
      </c>
      <c r="J362">
        <v>68</v>
      </c>
      <c r="K362">
        <v>107</v>
      </c>
      <c r="L362">
        <v>123</v>
      </c>
      <c r="M362">
        <v>214</v>
      </c>
      <c r="N362">
        <v>471</v>
      </c>
      <c r="O362">
        <v>4</v>
      </c>
      <c r="P362">
        <v>4</v>
      </c>
      <c r="Q362">
        <v>4</v>
      </c>
      <c r="R362" t="s">
        <v>529</v>
      </c>
      <c r="S362" t="s">
        <v>530</v>
      </c>
      <c r="T362" t="s">
        <v>531</v>
      </c>
      <c r="U362" t="s">
        <v>532</v>
      </c>
      <c r="V362" t="s">
        <v>533</v>
      </c>
      <c r="W362" t="s">
        <v>534</v>
      </c>
      <c r="X362" t="s">
        <v>38</v>
      </c>
      <c r="Y362" t="b">
        <v>0</v>
      </c>
      <c r="Z362" t="s">
        <v>39</v>
      </c>
      <c r="AA362" t="s">
        <v>535</v>
      </c>
      <c r="AB362" t="s">
        <v>41</v>
      </c>
      <c r="AC362">
        <f t="shared" si="5"/>
        <v>4</v>
      </c>
    </row>
    <row r="363" spans="1:29" x14ac:dyDescent="0.3">
      <c r="A363">
        <v>2472034</v>
      </c>
      <c r="B363" t="s">
        <v>2024</v>
      </c>
      <c r="C363" t="s">
        <v>29</v>
      </c>
      <c r="D363" t="s">
        <v>2025</v>
      </c>
      <c r="E363" t="s">
        <v>2025</v>
      </c>
      <c r="F363" s="1">
        <v>46126.506724537037</v>
      </c>
      <c r="G363" t="s">
        <v>45</v>
      </c>
      <c r="H363">
        <v>0</v>
      </c>
      <c r="I363">
        <v>124</v>
      </c>
      <c r="J363">
        <v>1017</v>
      </c>
      <c r="K363">
        <v>1141</v>
      </c>
      <c r="L363">
        <v>431</v>
      </c>
      <c r="M363">
        <v>3867</v>
      </c>
      <c r="N363">
        <v>2344</v>
      </c>
      <c r="O363">
        <v>4</v>
      </c>
      <c r="P363">
        <v>4</v>
      </c>
      <c r="Q363">
        <v>4</v>
      </c>
      <c r="R363" t="s">
        <v>2026</v>
      </c>
      <c r="S363" t="s">
        <v>2027</v>
      </c>
      <c r="T363" t="s">
        <v>2028</v>
      </c>
      <c r="U363" t="s">
        <v>2029</v>
      </c>
      <c r="V363" t="s">
        <v>2030</v>
      </c>
      <c r="W363" t="s">
        <v>2031</v>
      </c>
      <c r="X363" t="s">
        <v>38</v>
      </c>
      <c r="Y363" t="b">
        <v>0</v>
      </c>
      <c r="Z363" t="s">
        <v>39</v>
      </c>
      <c r="AA363" t="s">
        <v>2032</v>
      </c>
      <c r="AB363" t="s">
        <v>41</v>
      </c>
      <c r="AC363">
        <f t="shared" si="5"/>
        <v>4</v>
      </c>
    </row>
    <row r="364" spans="1:29" x14ac:dyDescent="0.3">
      <c r="A364">
        <v>2472034</v>
      </c>
      <c r="B364" t="s">
        <v>2703</v>
      </c>
      <c r="C364" t="s">
        <v>29</v>
      </c>
      <c r="D364" t="s">
        <v>2704</v>
      </c>
      <c r="E364" t="s">
        <v>2704</v>
      </c>
      <c r="F364" s="1">
        <v>46084.49391203704</v>
      </c>
      <c r="G364" t="s">
        <v>177</v>
      </c>
      <c r="H364">
        <v>0</v>
      </c>
      <c r="I364">
        <v>75</v>
      </c>
      <c r="J364">
        <v>192</v>
      </c>
      <c r="K364">
        <v>267</v>
      </c>
      <c r="L364">
        <v>318</v>
      </c>
      <c r="M364">
        <v>862</v>
      </c>
      <c r="N364">
        <v>3064</v>
      </c>
      <c r="O364">
        <v>4</v>
      </c>
      <c r="P364">
        <v>5</v>
      </c>
      <c r="Q364">
        <v>5</v>
      </c>
      <c r="R364" t="s">
        <v>2705</v>
      </c>
      <c r="S364" t="s">
        <v>2706</v>
      </c>
      <c r="T364" t="s">
        <v>2707</v>
      </c>
      <c r="U364" t="s">
        <v>2708</v>
      </c>
      <c r="V364" t="s">
        <v>2709</v>
      </c>
      <c r="W364" t="s">
        <v>2710</v>
      </c>
      <c r="X364" t="s">
        <v>154</v>
      </c>
      <c r="Y364" t="b">
        <v>0</v>
      </c>
      <c r="Z364" t="s">
        <v>39</v>
      </c>
      <c r="AA364" t="s">
        <v>2711</v>
      </c>
      <c r="AB364" t="s">
        <v>41</v>
      </c>
      <c r="AC364">
        <f t="shared" si="5"/>
        <v>5</v>
      </c>
    </row>
    <row r="365" spans="1:29" x14ac:dyDescent="0.3">
      <c r="A365">
        <v>2472034</v>
      </c>
      <c r="B365" t="s">
        <v>3231</v>
      </c>
      <c r="C365" t="s">
        <v>29</v>
      </c>
      <c r="D365" t="s">
        <v>3232</v>
      </c>
      <c r="E365" t="s">
        <v>3233</v>
      </c>
      <c r="F365" s="1">
        <v>46077.533472222232</v>
      </c>
      <c r="G365" t="s">
        <v>67</v>
      </c>
      <c r="H365">
        <v>0</v>
      </c>
      <c r="I365">
        <v>36</v>
      </c>
      <c r="J365">
        <v>428</v>
      </c>
      <c r="K365">
        <v>464</v>
      </c>
      <c r="L365">
        <v>149</v>
      </c>
      <c r="M365">
        <v>1707</v>
      </c>
      <c r="N365">
        <v>3654</v>
      </c>
      <c r="O365">
        <v>4</v>
      </c>
      <c r="P365">
        <v>5</v>
      </c>
      <c r="Q365">
        <v>4</v>
      </c>
      <c r="R365" t="s">
        <v>3234</v>
      </c>
      <c r="S365" t="s">
        <v>351</v>
      </c>
      <c r="T365" t="s">
        <v>3235</v>
      </c>
      <c r="U365" t="s">
        <v>3236</v>
      </c>
      <c r="V365" t="s">
        <v>3237</v>
      </c>
      <c r="W365" t="s">
        <v>3238</v>
      </c>
      <c r="X365" t="s">
        <v>38</v>
      </c>
      <c r="Y365" t="b">
        <v>0</v>
      </c>
      <c r="Z365" t="s">
        <v>39</v>
      </c>
      <c r="AA365" t="s">
        <v>3239</v>
      </c>
      <c r="AB365" t="s">
        <v>41</v>
      </c>
      <c r="AC365">
        <f t="shared" si="5"/>
        <v>4</v>
      </c>
    </row>
    <row r="366" spans="1:29" x14ac:dyDescent="0.3">
      <c r="A366">
        <v>2472035</v>
      </c>
      <c r="B366" t="s">
        <v>86</v>
      </c>
      <c r="C366" t="s">
        <v>29</v>
      </c>
      <c r="D366" t="s">
        <v>87</v>
      </c>
      <c r="E366" t="s">
        <v>88</v>
      </c>
      <c r="F366" s="1">
        <v>46127.55568287037</v>
      </c>
      <c r="G366" t="s">
        <v>45</v>
      </c>
      <c r="H366">
        <v>0</v>
      </c>
      <c r="I366">
        <v>54</v>
      </c>
      <c r="J366">
        <v>77</v>
      </c>
      <c r="K366">
        <v>131</v>
      </c>
      <c r="L366">
        <v>150</v>
      </c>
      <c r="M366">
        <v>214</v>
      </c>
      <c r="N366">
        <v>90</v>
      </c>
      <c r="O366">
        <v>3</v>
      </c>
      <c r="P366">
        <v>4</v>
      </c>
      <c r="Q366">
        <v>3</v>
      </c>
      <c r="R366" t="s">
        <v>89</v>
      </c>
      <c r="S366" t="s">
        <v>90</v>
      </c>
      <c r="T366" t="s">
        <v>91</v>
      </c>
      <c r="U366" t="s">
        <v>92</v>
      </c>
      <c r="V366" t="s">
        <v>93</v>
      </c>
      <c r="W366" t="s">
        <v>94</v>
      </c>
      <c r="X366" t="s">
        <v>38</v>
      </c>
      <c r="Y366" t="b">
        <v>0</v>
      </c>
      <c r="Z366" t="s">
        <v>39</v>
      </c>
      <c r="AA366" t="s">
        <v>95</v>
      </c>
      <c r="AB366" t="s">
        <v>41</v>
      </c>
      <c r="AC366">
        <f t="shared" si="5"/>
        <v>4</v>
      </c>
    </row>
    <row r="367" spans="1:29" x14ac:dyDescent="0.3">
      <c r="A367">
        <v>2472035</v>
      </c>
      <c r="B367" t="s">
        <v>517</v>
      </c>
      <c r="C367" t="s">
        <v>29</v>
      </c>
      <c r="D367" t="s">
        <v>518</v>
      </c>
      <c r="E367" t="s">
        <v>519</v>
      </c>
      <c r="F367" s="1">
        <v>46078.696527777778</v>
      </c>
      <c r="G367" t="s">
        <v>67</v>
      </c>
      <c r="H367">
        <v>0</v>
      </c>
      <c r="I367">
        <v>368</v>
      </c>
      <c r="J367">
        <v>547</v>
      </c>
      <c r="K367">
        <v>915</v>
      </c>
      <c r="L367">
        <v>1317</v>
      </c>
      <c r="M367">
        <v>1849</v>
      </c>
      <c r="N367">
        <v>464</v>
      </c>
      <c r="O367">
        <v>4</v>
      </c>
      <c r="P367">
        <v>5</v>
      </c>
      <c r="Q367">
        <v>5</v>
      </c>
      <c r="R367" t="s">
        <v>520</v>
      </c>
      <c r="S367" t="s">
        <v>521</v>
      </c>
      <c r="T367" t="s">
        <v>522</v>
      </c>
      <c r="U367" t="s">
        <v>523</v>
      </c>
      <c r="V367" t="s">
        <v>524</v>
      </c>
      <c r="W367" t="s">
        <v>525</v>
      </c>
      <c r="X367" t="s">
        <v>154</v>
      </c>
      <c r="Y367" t="b">
        <v>0</v>
      </c>
      <c r="Z367" t="s">
        <v>39</v>
      </c>
      <c r="AA367" t="s">
        <v>526</v>
      </c>
      <c r="AB367" t="s">
        <v>41</v>
      </c>
      <c r="AC367">
        <f t="shared" si="5"/>
        <v>5</v>
      </c>
    </row>
    <row r="368" spans="1:29" x14ac:dyDescent="0.3">
      <c r="A368">
        <v>2472035</v>
      </c>
      <c r="B368" t="s">
        <v>1085</v>
      </c>
      <c r="C368" t="s">
        <v>29</v>
      </c>
      <c r="D368" t="s">
        <v>1086</v>
      </c>
      <c r="E368" t="s">
        <v>1087</v>
      </c>
      <c r="F368" s="1">
        <v>46078.701388888891</v>
      </c>
      <c r="G368" t="s">
        <v>67</v>
      </c>
      <c r="H368">
        <v>0</v>
      </c>
      <c r="I368">
        <v>52</v>
      </c>
      <c r="J368">
        <v>125</v>
      </c>
      <c r="K368">
        <v>177</v>
      </c>
      <c r="L368">
        <v>181</v>
      </c>
      <c r="M368">
        <v>396</v>
      </c>
      <c r="N368">
        <v>1079</v>
      </c>
      <c r="O368">
        <v>3</v>
      </c>
      <c r="P368">
        <v>4</v>
      </c>
      <c r="Q368">
        <v>4</v>
      </c>
      <c r="R368" t="s">
        <v>1088</v>
      </c>
      <c r="S368" t="s">
        <v>1089</v>
      </c>
      <c r="T368" t="s">
        <v>1090</v>
      </c>
      <c r="U368" t="s">
        <v>1091</v>
      </c>
      <c r="V368" t="s">
        <v>1092</v>
      </c>
      <c r="W368" t="s">
        <v>183</v>
      </c>
      <c r="X368" t="s">
        <v>38</v>
      </c>
      <c r="Y368" t="b">
        <v>0</v>
      </c>
      <c r="Z368" t="s">
        <v>39</v>
      </c>
      <c r="AA368" t="s">
        <v>1093</v>
      </c>
      <c r="AB368" t="s">
        <v>41</v>
      </c>
      <c r="AC368">
        <f t="shared" si="5"/>
        <v>4</v>
      </c>
    </row>
    <row r="369" spans="1:29" x14ac:dyDescent="0.3">
      <c r="A369">
        <v>2472035</v>
      </c>
      <c r="B369" t="s">
        <v>1521</v>
      </c>
      <c r="C369" t="s">
        <v>29</v>
      </c>
      <c r="D369" t="s">
        <v>1522</v>
      </c>
      <c r="E369" t="s">
        <v>1523</v>
      </c>
      <c r="F369" s="1">
        <v>46085.645115740743</v>
      </c>
      <c r="G369" t="s">
        <v>177</v>
      </c>
      <c r="H369">
        <v>0</v>
      </c>
      <c r="I369">
        <v>37</v>
      </c>
      <c r="J369">
        <v>365</v>
      </c>
      <c r="K369">
        <v>402</v>
      </c>
      <c r="L369">
        <v>145</v>
      </c>
      <c r="M369">
        <v>1412</v>
      </c>
      <c r="N369">
        <v>1679</v>
      </c>
      <c r="O369">
        <v>4</v>
      </c>
      <c r="P369">
        <v>5</v>
      </c>
      <c r="Q369">
        <v>5</v>
      </c>
      <c r="R369" t="s">
        <v>139</v>
      </c>
      <c r="S369" t="s">
        <v>387</v>
      </c>
      <c r="T369" t="s">
        <v>1524</v>
      </c>
      <c r="U369" t="s">
        <v>1525</v>
      </c>
      <c r="V369" t="s">
        <v>1526</v>
      </c>
      <c r="W369" t="s">
        <v>1527</v>
      </c>
      <c r="X369" t="s">
        <v>154</v>
      </c>
      <c r="Y369" t="b">
        <v>0</v>
      </c>
      <c r="Z369" t="s">
        <v>39</v>
      </c>
      <c r="AA369" t="s">
        <v>1528</v>
      </c>
      <c r="AB369" t="s">
        <v>41</v>
      </c>
      <c r="AC369">
        <f t="shared" si="5"/>
        <v>5</v>
      </c>
    </row>
    <row r="370" spans="1:29" x14ac:dyDescent="0.3">
      <c r="A370">
        <v>2472035</v>
      </c>
      <c r="B370" t="s">
        <v>1699</v>
      </c>
      <c r="C370" t="s">
        <v>29</v>
      </c>
      <c r="D370" t="s">
        <v>1700</v>
      </c>
      <c r="E370" t="s">
        <v>1701</v>
      </c>
      <c r="F370" s="1">
        <v>46092.671817129631</v>
      </c>
      <c r="G370" t="s">
        <v>31</v>
      </c>
      <c r="H370">
        <v>0</v>
      </c>
      <c r="I370">
        <v>174</v>
      </c>
      <c r="J370">
        <v>340</v>
      </c>
      <c r="K370">
        <v>514</v>
      </c>
      <c r="L370">
        <v>686</v>
      </c>
      <c r="M370">
        <v>1128</v>
      </c>
      <c r="N370">
        <v>1905</v>
      </c>
      <c r="O370">
        <v>4</v>
      </c>
      <c r="P370">
        <v>5</v>
      </c>
      <c r="Q370">
        <v>5</v>
      </c>
      <c r="R370" t="s">
        <v>1606</v>
      </c>
      <c r="S370" t="s">
        <v>1702</v>
      </c>
      <c r="T370" t="s">
        <v>1703</v>
      </c>
      <c r="U370" t="s">
        <v>1704</v>
      </c>
      <c r="V370" t="s">
        <v>1705</v>
      </c>
      <c r="W370" t="s">
        <v>382</v>
      </c>
      <c r="X370" t="s">
        <v>154</v>
      </c>
      <c r="Y370" t="b">
        <v>0</v>
      </c>
      <c r="Z370" t="s">
        <v>39</v>
      </c>
      <c r="AA370" t="s">
        <v>1706</v>
      </c>
      <c r="AB370" t="s">
        <v>41</v>
      </c>
      <c r="AC370">
        <f t="shared" si="5"/>
        <v>5</v>
      </c>
    </row>
    <row r="371" spans="1:29" x14ac:dyDescent="0.3">
      <c r="A371">
        <v>2472035</v>
      </c>
      <c r="B371" t="s">
        <v>3328</v>
      </c>
      <c r="C371" t="s">
        <v>29</v>
      </c>
      <c r="D371" t="s">
        <v>3329</v>
      </c>
      <c r="E371" t="s">
        <v>3330</v>
      </c>
      <c r="F371" s="1">
        <v>46078.704548611109</v>
      </c>
      <c r="G371" t="s">
        <v>67</v>
      </c>
      <c r="H371">
        <v>0</v>
      </c>
      <c r="I371">
        <v>36</v>
      </c>
      <c r="J371">
        <v>670</v>
      </c>
      <c r="K371">
        <v>706</v>
      </c>
      <c r="L371">
        <v>141</v>
      </c>
      <c r="M371">
        <v>2552</v>
      </c>
      <c r="N371">
        <v>3819</v>
      </c>
      <c r="O371">
        <v>4</v>
      </c>
      <c r="P371">
        <v>5</v>
      </c>
      <c r="Q371">
        <v>5</v>
      </c>
      <c r="R371" t="s">
        <v>3331</v>
      </c>
      <c r="S371" t="s">
        <v>351</v>
      </c>
      <c r="T371" t="s">
        <v>3332</v>
      </c>
      <c r="U371" t="s">
        <v>3333</v>
      </c>
      <c r="V371" t="s">
        <v>3334</v>
      </c>
      <c r="W371" t="s">
        <v>3335</v>
      </c>
      <c r="X371" t="s">
        <v>154</v>
      </c>
      <c r="Y371" t="b">
        <v>0</v>
      </c>
      <c r="Z371" t="s">
        <v>39</v>
      </c>
      <c r="AA371" t="s">
        <v>3336</v>
      </c>
      <c r="AB371" t="s">
        <v>41</v>
      </c>
      <c r="AC371">
        <f t="shared" si="5"/>
        <v>5</v>
      </c>
    </row>
    <row r="372" spans="1:29" x14ac:dyDescent="0.3">
      <c r="A372">
        <v>2472035</v>
      </c>
      <c r="B372" t="s">
        <v>3928</v>
      </c>
      <c r="C372" t="s">
        <v>29</v>
      </c>
      <c r="D372" t="s">
        <v>3929</v>
      </c>
      <c r="E372" t="s">
        <v>3930</v>
      </c>
      <c r="F372" s="1">
        <v>46092.547858796293</v>
      </c>
      <c r="G372" t="s">
        <v>31</v>
      </c>
      <c r="H372">
        <v>0</v>
      </c>
      <c r="I372">
        <v>59</v>
      </c>
      <c r="J372">
        <v>942</v>
      </c>
      <c r="K372">
        <v>1001</v>
      </c>
      <c r="L372">
        <v>183</v>
      </c>
      <c r="M372">
        <v>3235</v>
      </c>
      <c r="N372">
        <v>4570</v>
      </c>
      <c r="O372">
        <v>4</v>
      </c>
      <c r="P372">
        <v>5</v>
      </c>
      <c r="Q372">
        <v>4</v>
      </c>
      <c r="R372" t="s">
        <v>3931</v>
      </c>
      <c r="S372" t="s">
        <v>3932</v>
      </c>
      <c r="T372" t="s">
        <v>3933</v>
      </c>
      <c r="U372" t="s">
        <v>3934</v>
      </c>
      <c r="V372" t="s">
        <v>3935</v>
      </c>
      <c r="W372" t="s">
        <v>3936</v>
      </c>
      <c r="X372" t="s">
        <v>38</v>
      </c>
      <c r="Y372" t="b">
        <v>0</v>
      </c>
      <c r="Z372" t="s">
        <v>39</v>
      </c>
      <c r="AA372" t="s">
        <v>3937</v>
      </c>
      <c r="AB372" t="s">
        <v>41</v>
      </c>
      <c r="AC372">
        <f t="shared" si="5"/>
        <v>4</v>
      </c>
    </row>
    <row r="373" spans="1:29" x14ac:dyDescent="0.3">
      <c r="A373">
        <v>2472037</v>
      </c>
      <c r="B373" t="s">
        <v>1171</v>
      </c>
      <c r="C373" t="s">
        <v>29</v>
      </c>
      <c r="D373" t="s">
        <v>1172</v>
      </c>
      <c r="E373" t="s">
        <v>1172</v>
      </c>
      <c r="F373" s="1">
        <v>46126.422569444447</v>
      </c>
      <c r="G373" t="s">
        <v>45</v>
      </c>
      <c r="H373">
        <v>0</v>
      </c>
      <c r="I373">
        <v>39</v>
      </c>
      <c r="J373">
        <v>42</v>
      </c>
      <c r="K373">
        <v>81</v>
      </c>
      <c r="L373">
        <v>129</v>
      </c>
      <c r="M373">
        <v>177</v>
      </c>
      <c r="N373">
        <v>1244</v>
      </c>
      <c r="O373">
        <v>4</v>
      </c>
      <c r="P373">
        <v>5</v>
      </c>
      <c r="Q373">
        <v>5</v>
      </c>
      <c r="R373" t="s">
        <v>1173</v>
      </c>
      <c r="S373" t="s">
        <v>1174</v>
      </c>
      <c r="T373" t="s">
        <v>1175</v>
      </c>
      <c r="U373" t="s">
        <v>125</v>
      </c>
      <c r="V373" t="s">
        <v>1176</v>
      </c>
      <c r="W373" t="s">
        <v>1177</v>
      </c>
      <c r="X373" t="s">
        <v>154</v>
      </c>
      <c r="Y373" t="b">
        <v>0</v>
      </c>
      <c r="Z373" t="s">
        <v>39</v>
      </c>
      <c r="AA373" t="s">
        <v>1178</v>
      </c>
      <c r="AB373" t="s">
        <v>41</v>
      </c>
      <c r="AC373">
        <f t="shared" si="5"/>
        <v>5</v>
      </c>
    </row>
    <row r="374" spans="1:29" x14ac:dyDescent="0.3">
      <c r="A374">
        <v>2472037</v>
      </c>
      <c r="B374" t="s">
        <v>2129</v>
      </c>
      <c r="C374" t="s">
        <v>29</v>
      </c>
      <c r="D374" t="s">
        <v>2130</v>
      </c>
      <c r="E374" t="s">
        <v>2130</v>
      </c>
      <c r="F374" s="1">
        <v>46126.412106481483</v>
      </c>
      <c r="G374" t="s">
        <v>45</v>
      </c>
      <c r="H374">
        <v>0</v>
      </c>
      <c r="I374">
        <v>35</v>
      </c>
      <c r="J374">
        <v>52</v>
      </c>
      <c r="K374">
        <v>87</v>
      </c>
      <c r="L374">
        <v>117</v>
      </c>
      <c r="M374">
        <v>211</v>
      </c>
      <c r="N374">
        <v>2449</v>
      </c>
      <c r="O374">
        <v>4</v>
      </c>
      <c r="P374">
        <v>5</v>
      </c>
      <c r="Q374">
        <v>4</v>
      </c>
      <c r="R374" t="s">
        <v>2131</v>
      </c>
      <c r="S374" t="s">
        <v>2132</v>
      </c>
      <c r="T374" t="s">
        <v>2133</v>
      </c>
      <c r="U374" t="s">
        <v>2134</v>
      </c>
      <c r="V374" t="s">
        <v>2135</v>
      </c>
      <c r="W374" t="s">
        <v>2136</v>
      </c>
      <c r="X374" t="s">
        <v>38</v>
      </c>
      <c r="Y374" t="b">
        <v>0</v>
      </c>
      <c r="Z374" t="s">
        <v>39</v>
      </c>
      <c r="AA374" t="s">
        <v>2137</v>
      </c>
      <c r="AB374" t="s">
        <v>41</v>
      </c>
      <c r="AC374">
        <f t="shared" si="5"/>
        <v>4</v>
      </c>
    </row>
    <row r="375" spans="1:29" x14ac:dyDescent="0.3">
      <c r="A375">
        <v>2472037</v>
      </c>
      <c r="B375" t="s">
        <v>2352</v>
      </c>
      <c r="C375" t="s">
        <v>29</v>
      </c>
      <c r="D375" t="s">
        <v>2353</v>
      </c>
      <c r="E375" t="s">
        <v>2354</v>
      </c>
      <c r="F375" s="1">
        <v>46098.493634259263</v>
      </c>
      <c r="G375" t="s">
        <v>138</v>
      </c>
      <c r="H375">
        <v>0</v>
      </c>
      <c r="I375">
        <v>36</v>
      </c>
      <c r="J375">
        <v>9</v>
      </c>
      <c r="K375">
        <v>45</v>
      </c>
      <c r="L375">
        <v>132</v>
      </c>
      <c r="M375">
        <v>41</v>
      </c>
      <c r="N375">
        <v>2679</v>
      </c>
      <c r="O375">
        <v>3</v>
      </c>
      <c r="P375">
        <v>4</v>
      </c>
      <c r="Q375">
        <v>3</v>
      </c>
      <c r="R375" t="s">
        <v>2355</v>
      </c>
      <c r="S375" t="s">
        <v>2356</v>
      </c>
      <c r="T375" t="s">
        <v>2357</v>
      </c>
      <c r="U375" t="s">
        <v>2358</v>
      </c>
      <c r="V375" t="s">
        <v>2359</v>
      </c>
      <c r="W375" t="s">
        <v>2360</v>
      </c>
      <c r="X375" t="s">
        <v>84</v>
      </c>
      <c r="Y375" t="b">
        <v>0</v>
      </c>
      <c r="Z375" t="s">
        <v>39</v>
      </c>
      <c r="AA375" t="s">
        <v>2361</v>
      </c>
      <c r="AB375" t="s">
        <v>41</v>
      </c>
      <c r="AC375">
        <f t="shared" si="5"/>
        <v>3</v>
      </c>
    </row>
    <row r="376" spans="1:29" x14ac:dyDescent="0.3">
      <c r="A376">
        <v>2472037</v>
      </c>
      <c r="B376" t="s">
        <v>4160</v>
      </c>
      <c r="C376" t="s">
        <v>29</v>
      </c>
      <c r="D376" t="s">
        <v>2585</v>
      </c>
      <c r="E376" t="s">
        <v>2586</v>
      </c>
      <c r="F376" s="1">
        <v>46091.487060185187</v>
      </c>
      <c r="G376" t="s">
        <v>31</v>
      </c>
      <c r="H376">
        <v>0</v>
      </c>
      <c r="I376">
        <v>37</v>
      </c>
      <c r="J376">
        <v>15</v>
      </c>
      <c r="K376">
        <v>52</v>
      </c>
      <c r="L376">
        <v>172</v>
      </c>
      <c r="M376">
        <v>57</v>
      </c>
      <c r="N376">
        <v>4872</v>
      </c>
      <c r="O376">
        <v>4</v>
      </c>
      <c r="P376">
        <v>5</v>
      </c>
      <c r="Q376">
        <v>4</v>
      </c>
      <c r="R376" t="s">
        <v>1736</v>
      </c>
      <c r="S376" t="s">
        <v>2796</v>
      </c>
      <c r="T376" t="s">
        <v>4161</v>
      </c>
      <c r="U376" t="s">
        <v>125</v>
      </c>
      <c r="V376" t="s">
        <v>4162</v>
      </c>
      <c r="W376" t="s">
        <v>4163</v>
      </c>
      <c r="X376" t="s">
        <v>38</v>
      </c>
      <c r="Y376" t="b">
        <v>0</v>
      </c>
      <c r="Z376" t="s">
        <v>39</v>
      </c>
      <c r="AA376" t="s">
        <v>4164</v>
      </c>
      <c r="AB376" t="s">
        <v>41</v>
      </c>
      <c r="AC376">
        <f t="shared" si="5"/>
        <v>4</v>
      </c>
    </row>
    <row r="377" spans="1:29" x14ac:dyDescent="0.3">
      <c r="A377">
        <v>2472039</v>
      </c>
      <c r="B377" t="s">
        <v>585</v>
      </c>
      <c r="C377" t="s">
        <v>29</v>
      </c>
      <c r="D377" t="s">
        <v>586</v>
      </c>
      <c r="E377" t="s">
        <v>587</v>
      </c>
      <c r="F377" s="1">
        <v>46092.640277777777</v>
      </c>
      <c r="G377" t="s">
        <v>31</v>
      </c>
      <c r="H377">
        <v>0</v>
      </c>
      <c r="I377">
        <v>37</v>
      </c>
      <c r="J377">
        <v>140</v>
      </c>
      <c r="K377">
        <v>177</v>
      </c>
      <c r="L377">
        <v>131</v>
      </c>
      <c r="M377">
        <v>501</v>
      </c>
      <c r="N377">
        <v>544</v>
      </c>
      <c r="O377">
        <v>3</v>
      </c>
      <c r="P377">
        <v>4</v>
      </c>
      <c r="Q377">
        <v>3</v>
      </c>
      <c r="R377" t="s">
        <v>588</v>
      </c>
      <c r="S377" t="s">
        <v>511</v>
      </c>
      <c r="T377" t="s">
        <v>589</v>
      </c>
      <c r="U377" t="s">
        <v>590</v>
      </c>
      <c r="V377" t="s">
        <v>591</v>
      </c>
      <c r="W377" t="s">
        <v>592</v>
      </c>
      <c r="X377" t="s">
        <v>38</v>
      </c>
      <c r="Y377" t="b">
        <v>0</v>
      </c>
      <c r="Z377" t="s">
        <v>39</v>
      </c>
      <c r="AA377" t="s">
        <v>593</v>
      </c>
      <c r="AB377" t="s">
        <v>41</v>
      </c>
      <c r="AC377">
        <f t="shared" si="5"/>
        <v>4</v>
      </c>
    </row>
    <row r="378" spans="1:29" x14ac:dyDescent="0.3">
      <c r="A378">
        <v>2472039</v>
      </c>
      <c r="B378" t="s">
        <v>1248</v>
      </c>
      <c r="C378" t="s">
        <v>29</v>
      </c>
      <c r="D378" t="s">
        <v>1249</v>
      </c>
      <c r="E378" t="s">
        <v>1250</v>
      </c>
      <c r="F378" s="1">
        <v>46113.622523148151</v>
      </c>
      <c r="G378" t="s">
        <v>304</v>
      </c>
      <c r="H378">
        <v>0</v>
      </c>
      <c r="I378">
        <v>215</v>
      </c>
      <c r="J378">
        <v>130</v>
      </c>
      <c r="K378">
        <v>345</v>
      </c>
      <c r="L378">
        <v>801</v>
      </c>
      <c r="M378">
        <v>378</v>
      </c>
      <c r="N378">
        <v>1378</v>
      </c>
      <c r="O378">
        <v>4</v>
      </c>
      <c r="P378">
        <v>5</v>
      </c>
      <c r="Q378">
        <v>4</v>
      </c>
      <c r="R378" t="s">
        <v>1251</v>
      </c>
      <c r="S378" t="s">
        <v>1252</v>
      </c>
      <c r="T378" t="s">
        <v>1253</v>
      </c>
      <c r="U378" t="s">
        <v>1254</v>
      </c>
      <c r="V378" t="s">
        <v>1255</v>
      </c>
      <c r="W378" t="s">
        <v>1256</v>
      </c>
      <c r="X378" t="s">
        <v>38</v>
      </c>
      <c r="Y378" t="b">
        <v>0</v>
      </c>
      <c r="Z378" t="s">
        <v>39</v>
      </c>
      <c r="AA378" t="s">
        <v>1257</v>
      </c>
      <c r="AB378" t="s">
        <v>41</v>
      </c>
      <c r="AC378">
        <f t="shared" si="5"/>
        <v>4</v>
      </c>
    </row>
    <row r="379" spans="1:29" x14ac:dyDescent="0.3">
      <c r="A379">
        <v>2472039</v>
      </c>
      <c r="B379" t="s">
        <v>1686</v>
      </c>
      <c r="C379" t="s">
        <v>29</v>
      </c>
      <c r="D379" t="s">
        <v>1687</v>
      </c>
      <c r="E379" t="s">
        <v>1687</v>
      </c>
      <c r="F379" s="1">
        <v>46092.671006944453</v>
      </c>
      <c r="G379" t="s">
        <v>31</v>
      </c>
      <c r="H379">
        <v>0</v>
      </c>
      <c r="I379">
        <v>54</v>
      </c>
      <c r="J379">
        <v>122</v>
      </c>
      <c r="K379">
        <v>176</v>
      </c>
      <c r="L379">
        <v>181</v>
      </c>
      <c r="M379">
        <v>299</v>
      </c>
      <c r="N379">
        <v>1887</v>
      </c>
      <c r="O379">
        <v>4</v>
      </c>
      <c r="P379">
        <v>5</v>
      </c>
      <c r="Q379">
        <v>4</v>
      </c>
      <c r="R379" t="s">
        <v>1611</v>
      </c>
      <c r="S379" t="s">
        <v>712</v>
      </c>
      <c r="T379" t="s">
        <v>493</v>
      </c>
      <c r="U379" t="s">
        <v>200</v>
      </c>
      <c r="V379" t="s">
        <v>1688</v>
      </c>
      <c r="W379" t="s">
        <v>337</v>
      </c>
      <c r="X379" t="s">
        <v>38</v>
      </c>
      <c r="Y379" t="b">
        <v>0</v>
      </c>
      <c r="Z379" t="s">
        <v>39</v>
      </c>
      <c r="AA379" t="s">
        <v>1689</v>
      </c>
      <c r="AB379" t="s">
        <v>41</v>
      </c>
      <c r="AC379">
        <f t="shared" si="5"/>
        <v>4</v>
      </c>
    </row>
    <row r="380" spans="1:29" x14ac:dyDescent="0.3">
      <c r="A380">
        <v>2472039</v>
      </c>
      <c r="B380" t="s">
        <v>2010</v>
      </c>
      <c r="C380" t="s">
        <v>29</v>
      </c>
      <c r="D380" t="s">
        <v>2011</v>
      </c>
      <c r="E380" t="s">
        <v>2011</v>
      </c>
      <c r="F380" s="1">
        <v>46085.639363425929</v>
      </c>
      <c r="G380" t="s">
        <v>177</v>
      </c>
      <c r="H380">
        <v>0</v>
      </c>
      <c r="I380">
        <v>52</v>
      </c>
      <c r="J380">
        <v>378</v>
      </c>
      <c r="K380">
        <v>430</v>
      </c>
      <c r="L380">
        <v>242</v>
      </c>
      <c r="M380">
        <v>1362</v>
      </c>
      <c r="N380">
        <v>2330</v>
      </c>
      <c r="O380">
        <v>4</v>
      </c>
      <c r="P380">
        <v>5</v>
      </c>
      <c r="Q380">
        <v>5</v>
      </c>
      <c r="R380" t="s">
        <v>885</v>
      </c>
      <c r="S380" t="s">
        <v>387</v>
      </c>
      <c r="T380" t="s">
        <v>2012</v>
      </c>
      <c r="U380" t="s">
        <v>2013</v>
      </c>
      <c r="V380" t="s">
        <v>2014</v>
      </c>
      <c r="W380" t="s">
        <v>2015</v>
      </c>
      <c r="X380" t="s">
        <v>154</v>
      </c>
      <c r="Y380" t="b">
        <v>0</v>
      </c>
      <c r="Z380" t="s">
        <v>39</v>
      </c>
      <c r="AA380" t="s">
        <v>2016</v>
      </c>
      <c r="AB380" t="s">
        <v>41</v>
      </c>
      <c r="AC380">
        <f t="shared" si="5"/>
        <v>5</v>
      </c>
    </row>
    <row r="381" spans="1:29" x14ac:dyDescent="0.3">
      <c r="A381">
        <v>2472039</v>
      </c>
      <c r="B381" t="s">
        <v>2742</v>
      </c>
      <c r="C381" t="s">
        <v>29</v>
      </c>
      <c r="D381" t="s">
        <v>2743</v>
      </c>
      <c r="E381" t="s">
        <v>2744</v>
      </c>
      <c r="F381" s="1">
        <v>46092.546805555547</v>
      </c>
      <c r="G381" t="s">
        <v>31</v>
      </c>
      <c r="H381">
        <v>0</v>
      </c>
      <c r="I381">
        <v>33</v>
      </c>
      <c r="J381">
        <v>676</v>
      </c>
      <c r="K381">
        <v>709</v>
      </c>
      <c r="L381">
        <v>141</v>
      </c>
      <c r="M381">
        <v>2365</v>
      </c>
      <c r="N381">
        <v>3088</v>
      </c>
      <c r="O381">
        <v>4</v>
      </c>
      <c r="P381">
        <v>5</v>
      </c>
      <c r="Q381">
        <v>5</v>
      </c>
      <c r="R381" t="s">
        <v>2745</v>
      </c>
      <c r="S381" t="s">
        <v>2746</v>
      </c>
      <c r="T381" t="s">
        <v>2747</v>
      </c>
      <c r="U381" t="s">
        <v>362</v>
      </c>
      <c r="V381" t="s">
        <v>2748</v>
      </c>
      <c r="W381" t="s">
        <v>2749</v>
      </c>
      <c r="X381" t="s">
        <v>154</v>
      </c>
      <c r="Y381" t="b">
        <v>0</v>
      </c>
      <c r="Z381" t="s">
        <v>39</v>
      </c>
      <c r="AA381" t="s">
        <v>2750</v>
      </c>
      <c r="AB381" t="s">
        <v>41</v>
      </c>
      <c r="AC381">
        <f t="shared" si="5"/>
        <v>5</v>
      </c>
    </row>
    <row r="382" spans="1:29" x14ac:dyDescent="0.3">
      <c r="A382">
        <v>2472039</v>
      </c>
      <c r="B382" t="s">
        <v>2909</v>
      </c>
      <c r="C382" t="s">
        <v>29</v>
      </c>
      <c r="D382" t="s">
        <v>2910</v>
      </c>
      <c r="E382" t="s">
        <v>2910</v>
      </c>
      <c r="F382" s="1">
        <v>46092.68917824074</v>
      </c>
      <c r="G382" t="s">
        <v>31</v>
      </c>
      <c r="H382">
        <v>0</v>
      </c>
      <c r="I382">
        <v>78</v>
      </c>
      <c r="J382">
        <v>161</v>
      </c>
      <c r="K382">
        <v>239</v>
      </c>
      <c r="L382">
        <v>272</v>
      </c>
      <c r="M382">
        <v>510</v>
      </c>
      <c r="N382">
        <v>3349</v>
      </c>
      <c r="O382">
        <v>4</v>
      </c>
      <c r="P382">
        <v>5</v>
      </c>
      <c r="Q382">
        <v>5</v>
      </c>
      <c r="R382" t="s">
        <v>1130</v>
      </c>
      <c r="S382" t="s">
        <v>2911</v>
      </c>
      <c r="T382" t="s">
        <v>621</v>
      </c>
      <c r="U382" t="s">
        <v>270</v>
      </c>
      <c r="V382" t="s">
        <v>2912</v>
      </c>
      <c r="W382" t="s">
        <v>2913</v>
      </c>
      <c r="X382" t="s">
        <v>154</v>
      </c>
      <c r="Y382" t="b">
        <v>0</v>
      </c>
      <c r="Z382" t="s">
        <v>39</v>
      </c>
      <c r="AA382" t="s">
        <v>2914</v>
      </c>
      <c r="AB382" t="s">
        <v>41</v>
      </c>
      <c r="AC382">
        <f t="shared" si="5"/>
        <v>5</v>
      </c>
    </row>
    <row r="383" spans="1:29" x14ac:dyDescent="0.3">
      <c r="A383">
        <v>2472039</v>
      </c>
      <c r="B383" t="s">
        <v>3889</v>
      </c>
      <c r="C383" t="s">
        <v>29</v>
      </c>
      <c r="D383" t="s">
        <v>3890</v>
      </c>
      <c r="E383" t="s">
        <v>3890</v>
      </c>
      <c r="F383" s="1">
        <v>46092.655474537038</v>
      </c>
      <c r="G383" t="s">
        <v>31</v>
      </c>
      <c r="H383">
        <v>0</v>
      </c>
      <c r="I383">
        <v>45</v>
      </c>
      <c r="J383">
        <v>183</v>
      </c>
      <c r="K383">
        <v>228</v>
      </c>
      <c r="L383">
        <v>132</v>
      </c>
      <c r="M383">
        <v>469</v>
      </c>
      <c r="N383">
        <v>4514</v>
      </c>
      <c r="O383">
        <v>3</v>
      </c>
      <c r="P383">
        <v>4</v>
      </c>
      <c r="Q383">
        <v>4</v>
      </c>
      <c r="R383" t="s">
        <v>3891</v>
      </c>
      <c r="S383" t="s">
        <v>3892</v>
      </c>
      <c r="T383" t="s">
        <v>3893</v>
      </c>
      <c r="U383" t="s">
        <v>208</v>
      </c>
      <c r="V383" t="s">
        <v>3894</v>
      </c>
      <c r="W383" t="s">
        <v>3895</v>
      </c>
      <c r="X383" t="s">
        <v>38</v>
      </c>
      <c r="Y383" t="b">
        <v>0</v>
      </c>
      <c r="Z383" t="s">
        <v>39</v>
      </c>
      <c r="AA383" t="s">
        <v>3896</v>
      </c>
      <c r="AB383" t="s">
        <v>41</v>
      </c>
      <c r="AC383">
        <f t="shared" si="5"/>
        <v>4</v>
      </c>
    </row>
    <row r="384" spans="1:29" x14ac:dyDescent="0.3">
      <c r="A384">
        <v>2472040</v>
      </c>
      <c r="B384" t="s">
        <v>145</v>
      </c>
      <c r="C384" t="s">
        <v>29</v>
      </c>
      <c r="D384" t="s">
        <v>146</v>
      </c>
      <c r="E384" t="s">
        <v>147</v>
      </c>
      <c r="F384" s="1">
        <v>46126.441712962973</v>
      </c>
      <c r="G384" t="s">
        <v>45</v>
      </c>
      <c r="H384">
        <v>0</v>
      </c>
      <c r="I384">
        <v>224</v>
      </c>
      <c r="J384">
        <v>119</v>
      </c>
      <c r="K384">
        <v>343</v>
      </c>
      <c r="L384">
        <v>872</v>
      </c>
      <c r="M384">
        <v>427</v>
      </c>
      <c r="N384">
        <v>169</v>
      </c>
      <c r="O384">
        <v>4</v>
      </c>
      <c r="P384">
        <v>5</v>
      </c>
      <c r="Q384">
        <v>5</v>
      </c>
      <c r="R384" t="s">
        <v>148</v>
      </c>
      <c r="S384" t="s">
        <v>149</v>
      </c>
      <c r="T384" t="s">
        <v>150</v>
      </c>
      <c r="U384" t="s">
        <v>151</v>
      </c>
      <c r="V384" t="s">
        <v>152</v>
      </c>
      <c r="W384" t="s">
        <v>153</v>
      </c>
      <c r="X384" t="s">
        <v>154</v>
      </c>
      <c r="Y384" t="b">
        <v>0</v>
      </c>
      <c r="Z384" t="s">
        <v>39</v>
      </c>
      <c r="AA384" t="s">
        <v>155</v>
      </c>
      <c r="AB384" t="s">
        <v>41</v>
      </c>
      <c r="AC384">
        <f t="shared" si="5"/>
        <v>5</v>
      </c>
    </row>
    <row r="385" spans="1:29" x14ac:dyDescent="0.3">
      <c r="A385">
        <v>2472040</v>
      </c>
      <c r="B385" t="s">
        <v>174</v>
      </c>
      <c r="C385" t="s">
        <v>29</v>
      </c>
      <c r="D385" t="s">
        <v>175</v>
      </c>
      <c r="E385" t="s">
        <v>176</v>
      </c>
      <c r="F385" s="1">
        <v>46084.484884259262</v>
      </c>
      <c r="G385" t="s">
        <v>177</v>
      </c>
      <c r="H385">
        <v>0</v>
      </c>
      <c r="I385">
        <v>53</v>
      </c>
      <c r="J385">
        <v>23</v>
      </c>
      <c r="K385">
        <v>76</v>
      </c>
      <c r="L385">
        <v>181</v>
      </c>
      <c r="M385">
        <v>81</v>
      </c>
      <c r="N385">
        <v>187</v>
      </c>
      <c r="O385">
        <v>4</v>
      </c>
      <c r="P385">
        <v>5</v>
      </c>
      <c r="Q385">
        <v>4</v>
      </c>
      <c r="R385" t="s">
        <v>178</v>
      </c>
      <c r="S385" t="s">
        <v>179</v>
      </c>
      <c r="T385" t="s">
        <v>180</v>
      </c>
      <c r="U385" t="s">
        <v>181</v>
      </c>
      <c r="V385" t="s">
        <v>182</v>
      </c>
      <c r="W385" t="s">
        <v>183</v>
      </c>
      <c r="X385" t="s">
        <v>38</v>
      </c>
      <c r="Y385" t="b">
        <v>0</v>
      </c>
      <c r="Z385" t="s">
        <v>39</v>
      </c>
      <c r="AA385" t="s">
        <v>184</v>
      </c>
      <c r="AB385" t="s">
        <v>41</v>
      </c>
      <c r="AC385">
        <f t="shared" si="5"/>
        <v>4</v>
      </c>
    </row>
    <row r="386" spans="1:29" x14ac:dyDescent="0.3">
      <c r="A386">
        <v>2472040</v>
      </c>
      <c r="B386" t="s">
        <v>223</v>
      </c>
      <c r="C386" t="s">
        <v>29</v>
      </c>
      <c r="D386" t="s">
        <v>224</v>
      </c>
      <c r="E386" t="s">
        <v>225</v>
      </c>
      <c r="F386" s="1">
        <v>46098.497361111113</v>
      </c>
      <c r="G386" t="s">
        <v>138</v>
      </c>
      <c r="H386">
        <v>0</v>
      </c>
      <c r="I386">
        <v>33</v>
      </c>
      <c r="J386">
        <v>16</v>
      </c>
      <c r="K386">
        <v>49</v>
      </c>
      <c r="L386">
        <v>115</v>
      </c>
      <c r="M386">
        <v>64</v>
      </c>
      <c r="N386">
        <v>245</v>
      </c>
      <c r="O386">
        <v>3</v>
      </c>
      <c r="P386">
        <v>4</v>
      </c>
      <c r="Q386">
        <v>3</v>
      </c>
      <c r="R386" t="s">
        <v>226</v>
      </c>
      <c r="S386" t="s">
        <v>227</v>
      </c>
      <c r="T386" t="s">
        <v>228</v>
      </c>
      <c r="U386" t="s">
        <v>229</v>
      </c>
      <c r="V386" t="s">
        <v>230</v>
      </c>
      <c r="W386" t="s">
        <v>231</v>
      </c>
      <c r="X386" t="s">
        <v>84</v>
      </c>
      <c r="Y386" t="b">
        <v>0</v>
      </c>
      <c r="Z386" t="s">
        <v>39</v>
      </c>
      <c r="AA386" t="s">
        <v>232</v>
      </c>
      <c r="AB386" t="s">
        <v>41</v>
      </c>
      <c r="AC386">
        <f t="shared" si="5"/>
        <v>3</v>
      </c>
    </row>
    <row r="387" spans="1:29" x14ac:dyDescent="0.3">
      <c r="A387">
        <v>2472040</v>
      </c>
      <c r="B387" t="s">
        <v>274</v>
      </c>
      <c r="C387" t="s">
        <v>29</v>
      </c>
      <c r="D387" t="s">
        <v>275</v>
      </c>
      <c r="E387" t="s">
        <v>275</v>
      </c>
      <c r="F387" s="1">
        <v>46091.522164351853</v>
      </c>
      <c r="G387" t="s">
        <v>31</v>
      </c>
      <c r="H387">
        <v>0</v>
      </c>
      <c r="I387">
        <v>431</v>
      </c>
      <c r="J387">
        <v>1093</v>
      </c>
      <c r="K387">
        <v>1524</v>
      </c>
      <c r="L387">
        <v>1502</v>
      </c>
      <c r="M387">
        <v>3661</v>
      </c>
      <c r="N387">
        <v>300</v>
      </c>
      <c r="O387">
        <v>4</v>
      </c>
      <c r="P387">
        <v>4</v>
      </c>
      <c r="Q387">
        <v>4</v>
      </c>
      <c r="R387" t="s">
        <v>276</v>
      </c>
      <c r="S387" t="s">
        <v>277</v>
      </c>
      <c r="T387" t="s">
        <v>278</v>
      </c>
      <c r="U387" t="s">
        <v>279</v>
      </c>
      <c r="V387" t="s">
        <v>280</v>
      </c>
      <c r="W387" t="s">
        <v>281</v>
      </c>
      <c r="X387" t="s">
        <v>38</v>
      </c>
      <c r="Y387" t="b">
        <v>0</v>
      </c>
      <c r="Z387" t="s">
        <v>39</v>
      </c>
      <c r="AA387" t="s">
        <v>282</v>
      </c>
      <c r="AB387" t="s">
        <v>41</v>
      </c>
      <c r="AC387">
        <f t="shared" ref="AC387:AC450" si="6">IF(LOWER(TRIM(X387))="excellent",5,
 IF(LOWER(TRIM(X387))="good",4,
 IF(LOWER(TRIM(X387))="fair",3,
 IF(LOWER(TRIM(X387))="poor",2,
 IF(LOWER(TRIM(X387))="weak",1,0)))))</f>
        <v>4</v>
      </c>
    </row>
    <row r="388" spans="1:29" x14ac:dyDescent="0.3">
      <c r="A388">
        <v>2472040</v>
      </c>
      <c r="B388" t="s">
        <v>567</v>
      </c>
      <c r="C388" t="s">
        <v>29</v>
      </c>
      <c r="D388" t="s">
        <v>568</v>
      </c>
      <c r="E388" t="s">
        <v>569</v>
      </c>
      <c r="F388" s="1">
        <v>46077.546701388892</v>
      </c>
      <c r="G388" t="s">
        <v>67</v>
      </c>
      <c r="H388">
        <v>0</v>
      </c>
      <c r="I388">
        <v>35</v>
      </c>
      <c r="J388">
        <v>32</v>
      </c>
      <c r="K388">
        <v>67</v>
      </c>
      <c r="L388">
        <v>121</v>
      </c>
      <c r="M388">
        <v>121</v>
      </c>
      <c r="N388">
        <v>536</v>
      </c>
      <c r="O388">
        <v>3</v>
      </c>
      <c r="P388">
        <v>4</v>
      </c>
      <c r="Q388">
        <v>3</v>
      </c>
      <c r="R388" t="s">
        <v>570</v>
      </c>
      <c r="S388" t="s">
        <v>571</v>
      </c>
      <c r="T388" t="s">
        <v>572</v>
      </c>
      <c r="U388" t="s">
        <v>573</v>
      </c>
      <c r="V388" t="s">
        <v>574</v>
      </c>
      <c r="W388" t="s">
        <v>575</v>
      </c>
      <c r="X388" t="s">
        <v>84</v>
      </c>
      <c r="Y388" t="b">
        <v>0</v>
      </c>
      <c r="Z388" t="s">
        <v>39</v>
      </c>
      <c r="AA388" t="s">
        <v>576</v>
      </c>
      <c r="AB388" t="s">
        <v>41</v>
      </c>
      <c r="AC388">
        <f t="shared" si="6"/>
        <v>3</v>
      </c>
    </row>
    <row r="389" spans="1:29" x14ac:dyDescent="0.3">
      <c r="A389">
        <v>2472040</v>
      </c>
      <c r="B389" t="s">
        <v>1266</v>
      </c>
      <c r="C389" t="s">
        <v>29</v>
      </c>
      <c r="D389" t="s">
        <v>1267</v>
      </c>
      <c r="E389" t="s">
        <v>1267</v>
      </c>
      <c r="F389" s="1">
        <v>46098.559444444443</v>
      </c>
      <c r="G389" t="s">
        <v>138</v>
      </c>
      <c r="H389">
        <v>0</v>
      </c>
      <c r="I389">
        <v>27</v>
      </c>
      <c r="J389">
        <v>23</v>
      </c>
      <c r="K389">
        <v>50</v>
      </c>
      <c r="L389">
        <v>115</v>
      </c>
      <c r="M389">
        <v>77</v>
      </c>
      <c r="N389">
        <v>1416</v>
      </c>
      <c r="O389">
        <v>3</v>
      </c>
      <c r="P389">
        <v>4</v>
      </c>
      <c r="Q389">
        <v>3</v>
      </c>
      <c r="R389" t="s">
        <v>1268</v>
      </c>
      <c r="S389" t="s">
        <v>1269</v>
      </c>
      <c r="T389" t="s">
        <v>1270</v>
      </c>
      <c r="U389" t="s">
        <v>1271</v>
      </c>
      <c r="V389" t="s">
        <v>1272</v>
      </c>
      <c r="W389" t="s">
        <v>1273</v>
      </c>
      <c r="X389" t="s">
        <v>84</v>
      </c>
      <c r="Y389" t="b">
        <v>0</v>
      </c>
      <c r="Z389" t="s">
        <v>39</v>
      </c>
      <c r="AA389" t="s">
        <v>1274</v>
      </c>
      <c r="AB389" t="s">
        <v>41</v>
      </c>
      <c r="AC389">
        <f t="shared" si="6"/>
        <v>3</v>
      </c>
    </row>
    <row r="390" spans="1:29" x14ac:dyDescent="0.3">
      <c r="A390">
        <v>2472040</v>
      </c>
      <c r="B390" t="s">
        <v>1858</v>
      </c>
      <c r="C390" t="s">
        <v>29</v>
      </c>
      <c r="D390" t="s">
        <v>1859</v>
      </c>
      <c r="E390" t="s">
        <v>1859</v>
      </c>
      <c r="F390" s="1">
        <v>46098.501886574071</v>
      </c>
      <c r="G390" t="s">
        <v>138</v>
      </c>
      <c r="H390">
        <v>0</v>
      </c>
      <c r="I390">
        <v>31</v>
      </c>
      <c r="J390">
        <v>324</v>
      </c>
      <c r="K390">
        <v>355</v>
      </c>
      <c r="L390">
        <v>133</v>
      </c>
      <c r="M390">
        <v>1201</v>
      </c>
      <c r="N390">
        <v>2055</v>
      </c>
      <c r="O390">
        <v>4</v>
      </c>
      <c r="P390">
        <v>5</v>
      </c>
      <c r="Q390">
        <v>4</v>
      </c>
      <c r="R390" t="s">
        <v>1860</v>
      </c>
      <c r="S390" t="s">
        <v>1861</v>
      </c>
      <c r="T390" t="s">
        <v>1862</v>
      </c>
      <c r="U390" t="s">
        <v>1863</v>
      </c>
      <c r="V390" t="s">
        <v>1864</v>
      </c>
      <c r="W390" t="s">
        <v>1865</v>
      </c>
      <c r="X390" t="s">
        <v>38</v>
      </c>
      <c r="Y390" t="b">
        <v>0</v>
      </c>
      <c r="Z390" t="s">
        <v>39</v>
      </c>
      <c r="AA390" t="s">
        <v>1866</v>
      </c>
      <c r="AB390" t="s">
        <v>41</v>
      </c>
      <c r="AC390">
        <f t="shared" si="6"/>
        <v>4</v>
      </c>
    </row>
    <row r="391" spans="1:29" x14ac:dyDescent="0.3">
      <c r="A391">
        <v>2472040</v>
      </c>
      <c r="B391" t="s">
        <v>2163</v>
      </c>
      <c r="C391" t="s">
        <v>29</v>
      </c>
      <c r="D391" t="s">
        <v>2164</v>
      </c>
      <c r="E391" t="s">
        <v>2164</v>
      </c>
      <c r="F391" s="1">
        <v>46091.540706018517</v>
      </c>
      <c r="G391" t="s">
        <v>31</v>
      </c>
      <c r="H391">
        <v>0</v>
      </c>
      <c r="I391">
        <v>29</v>
      </c>
      <c r="J391">
        <v>188</v>
      </c>
      <c r="K391">
        <v>217</v>
      </c>
      <c r="L391">
        <v>121</v>
      </c>
      <c r="M391">
        <v>631</v>
      </c>
      <c r="N391">
        <v>2499</v>
      </c>
      <c r="O391">
        <v>4</v>
      </c>
      <c r="P391">
        <v>5</v>
      </c>
      <c r="Q391">
        <v>5</v>
      </c>
      <c r="R391" t="s">
        <v>2165</v>
      </c>
      <c r="S391" t="s">
        <v>2166</v>
      </c>
      <c r="T391" t="s">
        <v>2167</v>
      </c>
      <c r="U391" t="s">
        <v>170</v>
      </c>
      <c r="V391" t="s">
        <v>2168</v>
      </c>
      <c r="W391" t="s">
        <v>2169</v>
      </c>
      <c r="X391" t="s">
        <v>154</v>
      </c>
      <c r="Y391" t="b">
        <v>0</v>
      </c>
      <c r="Z391" t="s">
        <v>39</v>
      </c>
      <c r="AA391" t="s">
        <v>2170</v>
      </c>
      <c r="AB391" t="s">
        <v>41</v>
      </c>
      <c r="AC391">
        <f t="shared" si="6"/>
        <v>5</v>
      </c>
    </row>
    <row r="392" spans="1:29" x14ac:dyDescent="0.3">
      <c r="A392">
        <v>2472040</v>
      </c>
      <c r="B392" t="s">
        <v>2209</v>
      </c>
      <c r="C392" t="s">
        <v>29</v>
      </c>
      <c r="D392" t="s">
        <v>2210</v>
      </c>
      <c r="E392" t="s">
        <v>2210</v>
      </c>
      <c r="F392" s="1">
        <v>46112.500648148147</v>
      </c>
      <c r="G392" t="s">
        <v>304</v>
      </c>
      <c r="H392">
        <v>0</v>
      </c>
      <c r="I392">
        <v>42</v>
      </c>
      <c r="J392">
        <v>97</v>
      </c>
      <c r="K392">
        <v>139</v>
      </c>
      <c r="L392">
        <v>144</v>
      </c>
      <c r="M392">
        <v>351</v>
      </c>
      <c r="N392">
        <v>2541</v>
      </c>
      <c r="O392">
        <v>3</v>
      </c>
      <c r="P392">
        <v>4</v>
      </c>
      <c r="Q392">
        <v>3</v>
      </c>
      <c r="R392" t="s">
        <v>2211</v>
      </c>
      <c r="S392" t="s">
        <v>2212</v>
      </c>
      <c r="T392" t="s">
        <v>2213</v>
      </c>
      <c r="U392" t="s">
        <v>2214</v>
      </c>
      <c r="V392" t="s">
        <v>2215</v>
      </c>
      <c r="W392" t="s">
        <v>2216</v>
      </c>
      <c r="X392" t="s">
        <v>38</v>
      </c>
      <c r="Y392" t="b">
        <v>0</v>
      </c>
      <c r="Z392" t="s">
        <v>39</v>
      </c>
      <c r="AA392" t="s">
        <v>2217</v>
      </c>
      <c r="AB392" t="s">
        <v>41</v>
      </c>
      <c r="AC392">
        <f t="shared" si="6"/>
        <v>4</v>
      </c>
    </row>
    <row r="393" spans="1:29" x14ac:dyDescent="0.3">
      <c r="A393">
        <v>2472040</v>
      </c>
      <c r="B393" t="s">
        <v>2267</v>
      </c>
      <c r="C393" t="s">
        <v>29</v>
      </c>
      <c r="D393" t="s">
        <v>2268</v>
      </c>
      <c r="E393" t="s">
        <v>2268</v>
      </c>
      <c r="F393" s="1">
        <v>46077.560324074067</v>
      </c>
      <c r="G393" t="s">
        <v>67</v>
      </c>
      <c r="H393">
        <v>0</v>
      </c>
      <c r="I393">
        <v>40</v>
      </c>
      <c r="J393">
        <v>13</v>
      </c>
      <c r="K393">
        <v>53</v>
      </c>
      <c r="L393">
        <v>137</v>
      </c>
      <c r="M393">
        <v>46</v>
      </c>
      <c r="N393">
        <v>2583</v>
      </c>
      <c r="O393">
        <v>3</v>
      </c>
      <c r="P393">
        <v>2</v>
      </c>
      <c r="Q393">
        <v>2</v>
      </c>
      <c r="R393" t="s">
        <v>2269</v>
      </c>
      <c r="S393" t="s">
        <v>2270</v>
      </c>
      <c r="T393" t="s">
        <v>2271</v>
      </c>
      <c r="U393" t="s">
        <v>2272</v>
      </c>
      <c r="V393" t="s">
        <v>2273</v>
      </c>
      <c r="W393" t="s">
        <v>2274</v>
      </c>
      <c r="X393" t="s">
        <v>126</v>
      </c>
      <c r="Y393" t="b">
        <v>0</v>
      </c>
      <c r="Z393" t="s">
        <v>39</v>
      </c>
      <c r="AA393" t="s">
        <v>2275</v>
      </c>
      <c r="AB393" t="s">
        <v>41</v>
      </c>
      <c r="AC393">
        <f t="shared" si="6"/>
        <v>1</v>
      </c>
    </row>
    <row r="394" spans="1:29" x14ac:dyDescent="0.3">
      <c r="A394">
        <v>2472040</v>
      </c>
      <c r="B394" t="s">
        <v>2433</v>
      </c>
      <c r="C394" t="s">
        <v>29</v>
      </c>
      <c r="D394" t="s">
        <v>2434</v>
      </c>
      <c r="E394" t="s">
        <v>2434</v>
      </c>
      <c r="F394" s="1">
        <v>46098.53497685185</v>
      </c>
      <c r="G394" t="s">
        <v>138</v>
      </c>
      <c r="H394">
        <v>0</v>
      </c>
      <c r="I394">
        <v>31</v>
      </c>
      <c r="J394">
        <v>23</v>
      </c>
      <c r="K394">
        <v>54</v>
      </c>
      <c r="L394">
        <v>120</v>
      </c>
      <c r="M394">
        <v>97</v>
      </c>
      <c r="N394">
        <v>2732</v>
      </c>
      <c r="O394">
        <v>2</v>
      </c>
      <c r="P394">
        <v>3</v>
      </c>
      <c r="Q394">
        <v>2</v>
      </c>
      <c r="R394" t="s">
        <v>2435</v>
      </c>
      <c r="S394" t="s">
        <v>2436</v>
      </c>
      <c r="T394" t="s">
        <v>2437</v>
      </c>
      <c r="U394" t="s">
        <v>2438</v>
      </c>
      <c r="V394" t="s">
        <v>2439</v>
      </c>
      <c r="W394" t="s">
        <v>2440</v>
      </c>
      <c r="X394" t="s">
        <v>84</v>
      </c>
      <c r="Y394" t="b">
        <v>0</v>
      </c>
      <c r="Z394" t="s">
        <v>39</v>
      </c>
      <c r="AA394" t="s">
        <v>2441</v>
      </c>
      <c r="AB394" t="s">
        <v>41</v>
      </c>
      <c r="AC394">
        <f t="shared" si="6"/>
        <v>3</v>
      </c>
    </row>
    <row r="395" spans="1:29" x14ac:dyDescent="0.3">
      <c r="A395">
        <v>2472040</v>
      </c>
      <c r="B395" t="s">
        <v>2829</v>
      </c>
      <c r="C395" t="s">
        <v>29</v>
      </c>
      <c r="D395" t="s">
        <v>2830</v>
      </c>
      <c r="E395" t="s">
        <v>2831</v>
      </c>
      <c r="F395" s="1">
        <v>46126.461469907408</v>
      </c>
      <c r="G395" t="s">
        <v>45</v>
      </c>
      <c r="H395">
        <v>0</v>
      </c>
      <c r="I395">
        <v>35</v>
      </c>
      <c r="J395">
        <v>694</v>
      </c>
      <c r="K395">
        <v>729</v>
      </c>
      <c r="L395">
        <v>125</v>
      </c>
      <c r="M395">
        <v>2708</v>
      </c>
      <c r="N395">
        <v>3230</v>
      </c>
      <c r="O395">
        <v>4</v>
      </c>
      <c r="P395">
        <v>5</v>
      </c>
      <c r="Q395">
        <v>5</v>
      </c>
      <c r="R395" t="s">
        <v>2832</v>
      </c>
      <c r="S395" t="s">
        <v>2833</v>
      </c>
      <c r="T395" t="s">
        <v>2834</v>
      </c>
      <c r="U395" t="s">
        <v>2835</v>
      </c>
      <c r="V395" t="s">
        <v>2836</v>
      </c>
      <c r="W395" t="s">
        <v>1905</v>
      </c>
      <c r="X395" t="s">
        <v>154</v>
      </c>
      <c r="Y395" t="b">
        <v>0</v>
      </c>
      <c r="Z395" t="s">
        <v>39</v>
      </c>
      <c r="AA395" t="s">
        <v>2837</v>
      </c>
      <c r="AB395" t="s">
        <v>41</v>
      </c>
      <c r="AC395">
        <f t="shared" si="6"/>
        <v>5</v>
      </c>
    </row>
    <row r="396" spans="1:29" x14ac:dyDescent="0.3">
      <c r="A396">
        <v>2472040</v>
      </c>
      <c r="B396" t="s">
        <v>2901</v>
      </c>
      <c r="C396" t="s">
        <v>29</v>
      </c>
      <c r="D396" t="s">
        <v>2902</v>
      </c>
      <c r="E396" t="s">
        <v>2902</v>
      </c>
      <c r="F396" s="1">
        <v>46098.503819444442</v>
      </c>
      <c r="G396" t="s">
        <v>138</v>
      </c>
      <c r="H396">
        <v>0</v>
      </c>
      <c r="I396">
        <v>33</v>
      </c>
      <c r="J396">
        <v>467</v>
      </c>
      <c r="K396">
        <v>500</v>
      </c>
      <c r="L396">
        <v>139</v>
      </c>
      <c r="M396">
        <v>1704</v>
      </c>
      <c r="N396">
        <v>3335</v>
      </c>
      <c r="O396">
        <v>4</v>
      </c>
      <c r="P396">
        <v>5</v>
      </c>
      <c r="Q396">
        <v>5</v>
      </c>
      <c r="R396" t="s">
        <v>2903</v>
      </c>
      <c r="S396" t="s">
        <v>2904</v>
      </c>
      <c r="T396" t="s">
        <v>2905</v>
      </c>
      <c r="U396" t="s">
        <v>362</v>
      </c>
      <c r="V396" t="s">
        <v>2906</v>
      </c>
      <c r="W396" t="s">
        <v>2907</v>
      </c>
      <c r="X396" t="s">
        <v>154</v>
      </c>
      <c r="Y396" t="b">
        <v>0</v>
      </c>
      <c r="Z396" t="s">
        <v>39</v>
      </c>
      <c r="AA396" t="s">
        <v>2908</v>
      </c>
      <c r="AB396" t="s">
        <v>41</v>
      </c>
      <c r="AC396">
        <f t="shared" si="6"/>
        <v>5</v>
      </c>
    </row>
    <row r="397" spans="1:29" x14ac:dyDescent="0.3">
      <c r="A397">
        <v>2472040</v>
      </c>
      <c r="B397" t="s">
        <v>3565</v>
      </c>
      <c r="C397" t="s">
        <v>29</v>
      </c>
      <c r="D397" t="s">
        <v>3566</v>
      </c>
      <c r="E397" t="s">
        <v>3567</v>
      </c>
      <c r="F397" s="1">
        <v>46077.545428240737</v>
      </c>
      <c r="G397" t="s">
        <v>67</v>
      </c>
      <c r="H397">
        <v>0</v>
      </c>
      <c r="I397">
        <v>83</v>
      </c>
      <c r="J397">
        <v>322</v>
      </c>
      <c r="K397">
        <v>405</v>
      </c>
      <c r="L397">
        <v>395</v>
      </c>
      <c r="M397">
        <v>1156</v>
      </c>
      <c r="N397">
        <v>4073</v>
      </c>
      <c r="O397">
        <v>4</v>
      </c>
      <c r="P397">
        <v>5</v>
      </c>
      <c r="Q397">
        <v>4</v>
      </c>
      <c r="R397" t="s">
        <v>3568</v>
      </c>
      <c r="S397" t="s">
        <v>3569</v>
      </c>
      <c r="T397" t="s">
        <v>3570</v>
      </c>
      <c r="U397" t="s">
        <v>3571</v>
      </c>
      <c r="V397" t="s">
        <v>3572</v>
      </c>
      <c r="W397" t="s">
        <v>3573</v>
      </c>
      <c r="X397" t="s">
        <v>38</v>
      </c>
      <c r="Y397" t="b">
        <v>0</v>
      </c>
      <c r="Z397" t="s">
        <v>39</v>
      </c>
      <c r="AA397" t="s">
        <v>3574</v>
      </c>
      <c r="AB397" t="s">
        <v>41</v>
      </c>
      <c r="AC397">
        <f t="shared" si="6"/>
        <v>4</v>
      </c>
    </row>
    <row r="398" spans="1:29" x14ac:dyDescent="0.3">
      <c r="A398">
        <v>2472040</v>
      </c>
      <c r="B398" t="s">
        <v>3641</v>
      </c>
      <c r="C398" t="s">
        <v>29</v>
      </c>
      <c r="D398" t="s">
        <v>3642</v>
      </c>
      <c r="E398" t="s">
        <v>3643</v>
      </c>
      <c r="F398" s="1">
        <v>46098.519976851851</v>
      </c>
      <c r="G398" t="s">
        <v>138</v>
      </c>
      <c r="H398">
        <v>0</v>
      </c>
      <c r="I398">
        <v>29</v>
      </c>
      <c r="J398">
        <v>35</v>
      </c>
      <c r="K398">
        <v>64</v>
      </c>
      <c r="L398">
        <v>118</v>
      </c>
      <c r="M398">
        <v>143</v>
      </c>
      <c r="N398">
        <v>4195</v>
      </c>
      <c r="O398">
        <v>2</v>
      </c>
      <c r="P398">
        <v>4</v>
      </c>
      <c r="Q398">
        <v>3</v>
      </c>
      <c r="R398" t="s">
        <v>3644</v>
      </c>
      <c r="S398" t="s">
        <v>3645</v>
      </c>
      <c r="T398" t="s">
        <v>3646</v>
      </c>
      <c r="U398" t="s">
        <v>3647</v>
      </c>
      <c r="V398" t="s">
        <v>3648</v>
      </c>
      <c r="W398" t="s">
        <v>3649</v>
      </c>
      <c r="X398" t="s">
        <v>84</v>
      </c>
      <c r="Y398" t="b">
        <v>0</v>
      </c>
      <c r="Z398" t="s">
        <v>39</v>
      </c>
      <c r="AA398" t="s">
        <v>3650</v>
      </c>
      <c r="AB398" t="s">
        <v>41</v>
      </c>
      <c r="AC398">
        <f t="shared" si="6"/>
        <v>3</v>
      </c>
    </row>
    <row r="399" spans="1:29" x14ac:dyDescent="0.3">
      <c r="A399">
        <v>2472040</v>
      </c>
      <c r="B399" t="s">
        <v>3651</v>
      </c>
      <c r="C399" t="s">
        <v>29</v>
      </c>
      <c r="D399" t="s">
        <v>3652</v>
      </c>
      <c r="E399" t="s">
        <v>3653</v>
      </c>
      <c r="F399" s="1">
        <v>46077.520613425928</v>
      </c>
      <c r="G399" t="s">
        <v>67</v>
      </c>
      <c r="H399">
        <v>0</v>
      </c>
      <c r="I399">
        <v>168</v>
      </c>
      <c r="J399">
        <v>173</v>
      </c>
      <c r="K399">
        <v>341</v>
      </c>
      <c r="L399">
        <v>828</v>
      </c>
      <c r="M399">
        <v>597</v>
      </c>
      <c r="N399">
        <v>4196</v>
      </c>
      <c r="O399">
        <v>4</v>
      </c>
      <c r="P399">
        <v>5</v>
      </c>
      <c r="Q399">
        <v>4</v>
      </c>
      <c r="R399" t="s">
        <v>3654</v>
      </c>
      <c r="S399" t="s">
        <v>985</v>
      </c>
      <c r="T399" t="s">
        <v>3655</v>
      </c>
      <c r="U399" t="s">
        <v>2792</v>
      </c>
      <c r="V399" t="s">
        <v>3656</v>
      </c>
      <c r="W399" t="s">
        <v>3657</v>
      </c>
      <c r="X399" t="s">
        <v>38</v>
      </c>
      <c r="Y399" t="b">
        <v>0</v>
      </c>
      <c r="Z399" t="s">
        <v>39</v>
      </c>
      <c r="AA399" t="s">
        <v>3658</v>
      </c>
      <c r="AB399" t="s">
        <v>41</v>
      </c>
      <c r="AC399">
        <f t="shared" si="6"/>
        <v>4</v>
      </c>
    </row>
    <row r="400" spans="1:29" x14ac:dyDescent="0.3">
      <c r="A400">
        <v>2472040</v>
      </c>
      <c r="B400" t="s">
        <v>3882</v>
      </c>
      <c r="C400" t="s">
        <v>29</v>
      </c>
      <c r="D400" t="s">
        <v>3883</v>
      </c>
      <c r="E400" t="s">
        <v>3883</v>
      </c>
      <c r="F400" s="1">
        <v>46091.517442129632</v>
      </c>
      <c r="G400" t="s">
        <v>31</v>
      </c>
      <c r="H400">
        <v>0</v>
      </c>
      <c r="I400">
        <v>50</v>
      </c>
      <c r="J400">
        <v>283</v>
      </c>
      <c r="K400">
        <v>333</v>
      </c>
      <c r="L400">
        <v>161</v>
      </c>
      <c r="M400">
        <v>693</v>
      </c>
      <c r="N400">
        <v>4504</v>
      </c>
      <c r="O400">
        <v>4</v>
      </c>
      <c r="P400">
        <v>5</v>
      </c>
      <c r="Q400">
        <v>5</v>
      </c>
      <c r="R400" t="s">
        <v>3884</v>
      </c>
      <c r="S400" t="s">
        <v>3885</v>
      </c>
      <c r="T400" t="s">
        <v>3886</v>
      </c>
      <c r="U400" t="s">
        <v>270</v>
      </c>
      <c r="V400" t="s">
        <v>3887</v>
      </c>
      <c r="W400" t="s">
        <v>143</v>
      </c>
      <c r="X400" t="s">
        <v>154</v>
      </c>
      <c r="Y400" t="b">
        <v>0</v>
      </c>
      <c r="Z400" t="s">
        <v>39</v>
      </c>
      <c r="AA400" t="s">
        <v>3888</v>
      </c>
      <c r="AB400" t="s">
        <v>41</v>
      </c>
      <c r="AC400">
        <f t="shared" si="6"/>
        <v>5</v>
      </c>
    </row>
    <row r="401" spans="1:29" x14ac:dyDescent="0.3">
      <c r="A401">
        <v>2472040</v>
      </c>
      <c r="B401" t="s">
        <v>3945</v>
      </c>
      <c r="C401" t="s">
        <v>29</v>
      </c>
      <c r="D401" t="s">
        <v>3946</v>
      </c>
      <c r="E401" t="s">
        <v>3946</v>
      </c>
      <c r="F401" s="1">
        <v>46084.503993055558</v>
      </c>
      <c r="G401" t="s">
        <v>177</v>
      </c>
      <c r="H401">
        <v>0</v>
      </c>
      <c r="I401">
        <v>114</v>
      </c>
      <c r="J401">
        <v>139</v>
      </c>
      <c r="K401">
        <v>253</v>
      </c>
      <c r="L401">
        <v>464</v>
      </c>
      <c r="M401">
        <v>539</v>
      </c>
      <c r="N401">
        <v>4588</v>
      </c>
      <c r="O401">
        <v>4</v>
      </c>
      <c r="P401">
        <v>5</v>
      </c>
      <c r="Q401">
        <v>4</v>
      </c>
      <c r="R401" t="s">
        <v>3947</v>
      </c>
      <c r="S401" t="s">
        <v>208</v>
      </c>
      <c r="T401" t="s">
        <v>2021</v>
      </c>
      <c r="U401" t="s">
        <v>3948</v>
      </c>
      <c r="V401" t="s">
        <v>3949</v>
      </c>
      <c r="W401" t="s">
        <v>3950</v>
      </c>
      <c r="X401" t="s">
        <v>38</v>
      </c>
      <c r="Y401" t="b">
        <v>0</v>
      </c>
      <c r="Z401" t="s">
        <v>39</v>
      </c>
      <c r="AA401" t="s">
        <v>3951</v>
      </c>
      <c r="AB401" t="s">
        <v>41</v>
      </c>
      <c r="AC401">
        <f t="shared" si="6"/>
        <v>4</v>
      </c>
    </row>
    <row r="402" spans="1:29" x14ac:dyDescent="0.3">
      <c r="A402">
        <v>2472040</v>
      </c>
      <c r="B402" t="s">
        <v>3986</v>
      </c>
      <c r="C402" t="s">
        <v>29</v>
      </c>
      <c r="D402" t="s">
        <v>3987</v>
      </c>
      <c r="E402" t="s">
        <v>3987</v>
      </c>
      <c r="F402" s="1">
        <v>46077.561377314807</v>
      </c>
      <c r="G402" t="s">
        <v>67</v>
      </c>
      <c r="H402">
        <v>0</v>
      </c>
      <c r="I402">
        <v>43</v>
      </c>
      <c r="J402">
        <v>271</v>
      </c>
      <c r="K402">
        <v>314</v>
      </c>
      <c r="L402">
        <v>171</v>
      </c>
      <c r="M402">
        <v>948</v>
      </c>
      <c r="N402">
        <v>4660</v>
      </c>
      <c r="O402">
        <v>4</v>
      </c>
      <c r="P402">
        <v>5</v>
      </c>
      <c r="Q402">
        <v>5</v>
      </c>
      <c r="R402" t="s">
        <v>3988</v>
      </c>
      <c r="S402" t="s">
        <v>3989</v>
      </c>
      <c r="T402" t="s">
        <v>3990</v>
      </c>
      <c r="U402" t="s">
        <v>362</v>
      </c>
      <c r="V402" t="s">
        <v>3991</v>
      </c>
      <c r="W402" t="s">
        <v>3992</v>
      </c>
      <c r="X402" t="s">
        <v>154</v>
      </c>
      <c r="Y402" t="b">
        <v>0</v>
      </c>
      <c r="Z402" t="s">
        <v>39</v>
      </c>
      <c r="AA402" t="s">
        <v>3993</v>
      </c>
      <c r="AB402" t="s">
        <v>41</v>
      </c>
      <c r="AC402">
        <f t="shared" si="6"/>
        <v>5</v>
      </c>
    </row>
    <row r="403" spans="1:29" x14ac:dyDescent="0.3">
      <c r="A403">
        <v>2472040</v>
      </c>
      <c r="B403" t="s">
        <v>4137</v>
      </c>
      <c r="C403" t="s">
        <v>29</v>
      </c>
      <c r="D403" t="s">
        <v>4138</v>
      </c>
      <c r="E403" t="s">
        <v>4139</v>
      </c>
      <c r="F403" s="1">
        <v>46091.511724537027</v>
      </c>
      <c r="G403" t="s">
        <v>31</v>
      </c>
      <c r="H403">
        <v>0</v>
      </c>
      <c r="I403">
        <v>178</v>
      </c>
      <c r="J403">
        <v>88</v>
      </c>
      <c r="K403">
        <v>266</v>
      </c>
      <c r="L403">
        <v>699</v>
      </c>
      <c r="M403">
        <v>356</v>
      </c>
      <c r="N403">
        <v>4820</v>
      </c>
      <c r="O403">
        <v>4</v>
      </c>
      <c r="P403">
        <v>5</v>
      </c>
      <c r="Q403">
        <v>5</v>
      </c>
      <c r="R403" t="s">
        <v>216</v>
      </c>
      <c r="S403" t="s">
        <v>4140</v>
      </c>
      <c r="T403" t="s">
        <v>150</v>
      </c>
      <c r="U403" t="s">
        <v>2792</v>
      </c>
      <c r="V403" t="s">
        <v>4141</v>
      </c>
      <c r="W403" t="s">
        <v>4142</v>
      </c>
      <c r="X403" t="s">
        <v>154</v>
      </c>
      <c r="Y403" t="b">
        <v>0</v>
      </c>
      <c r="Z403" t="s">
        <v>39</v>
      </c>
      <c r="AA403" t="s">
        <v>4143</v>
      </c>
      <c r="AB403" t="s">
        <v>41</v>
      </c>
      <c r="AC403">
        <f t="shared" si="6"/>
        <v>5</v>
      </c>
    </row>
    <row r="404" spans="1:29" x14ac:dyDescent="0.3">
      <c r="A404">
        <v>2472041</v>
      </c>
      <c r="B404" t="s">
        <v>1972</v>
      </c>
      <c r="C404" t="s">
        <v>29</v>
      </c>
      <c r="D404" t="s">
        <v>1973</v>
      </c>
      <c r="E404" t="s">
        <v>1973</v>
      </c>
      <c r="F404" s="1">
        <v>46126.45171296296</v>
      </c>
      <c r="G404" t="s">
        <v>45</v>
      </c>
      <c r="H404">
        <v>0</v>
      </c>
      <c r="I404">
        <v>42</v>
      </c>
      <c r="J404">
        <v>333</v>
      </c>
      <c r="K404">
        <v>375</v>
      </c>
      <c r="L404">
        <v>195</v>
      </c>
      <c r="M404">
        <v>1381</v>
      </c>
      <c r="N404">
        <v>2292</v>
      </c>
      <c r="O404">
        <v>4</v>
      </c>
      <c r="P404">
        <v>5</v>
      </c>
      <c r="Q404">
        <v>5</v>
      </c>
      <c r="R404" t="s">
        <v>1974</v>
      </c>
      <c r="S404" t="s">
        <v>387</v>
      </c>
      <c r="T404" t="s">
        <v>100</v>
      </c>
      <c r="U404" t="s">
        <v>523</v>
      </c>
      <c r="V404" t="s">
        <v>1975</v>
      </c>
      <c r="W404" t="s">
        <v>256</v>
      </c>
      <c r="X404" t="s">
        <v>154</v>
      </c>
      <c r="Y404" t="b">
        <v>0</v>
      </c>
      <c r="Z404" t="s">
        <v>39</v>
      </c>
      <c r="AA404" t="s">
        <v>1976</v>
      </c>
      <c r="AB404" t="s">
        <v>41</v>
      </c>
      <c r="AC404">
        <f t="shared" si="6"/>
        <v>5</v>
      </c>
    </row>
    <row r="405" spans="1:29" x14ac:dyDescent="0.3">
      <c r="A405">
        <v>2472041</v>
      </c>
      <c r="B405" t="s">
        <v>2801</v>
      </c>
      <c r="C405" t="s">
        <v>29</v>
      </c>
      <c r="D405" t="s">
        <v>2802</v>
      </c>
      <c r="E405" t="s">
        <v>2802</v>
      </c>
      <c r="F405" s="1">
        <v>46091.526261574072</v>
      </c>
      <c r="G405" t="s">
        <v>31</v>
      </c>
      <c r="H405">
        <v>0</v>
      </c>
      <c r="I405">
        <v>97</v>
      </c>
      <c r="J405">
        <v>134</v>
      </c>
      <c r="K405">
        <v>231</v>
      </c>
      <c r="L405">
        <v>451</v>
      </c>
      <c r="M405">
        <v>712</v>
      </c>
      <c r="N405">
        <v>3181</v>
      </c>
      <c r="O405">
        <v>4</v>
      </c>
      <c r="P405">
        <v>5</v>
      </c>
      <c r="Q405">
        <v>4</v>
      </c>
      <c r="R405" t="s">
        <v>2803</v>
      </c>
      <c r="S405" t="s">
        <v>2804</v>
      </c>
      <c r="T405" t="s">
        <v>2805</v>
      </c>
      <c r="U405" t="s">
        <v>2730</v>
      </c>
      <c r="V405" t="s">
        <v>2806</v>
      </c>
      <c r="W405" t="s">
        <v>2807</v>
      </c>
      <c r="X405" t="s">
        <v>38</v>
      </c>
      <c r="Y405" t="b">
        <v>0</v>
      </c>
      <c r="Z405" t="s">
        <v>39</v>
      </c>
      <c r="AA405" t="s">
        <v>2808</v>
      </c>
      <c r="AB405" t="s">
        <v>41</v>
      </c>
      <c r="AC405">
        <f t="shared" si="6"/>
        <v>4</v>
      </c>
    </row>
    <row r="406" spans="1:29" x14ac:dyDescent="0.3">
      <c r="A406">
        <v>2472041</v>
      </c>
      <c r="B406" t="s">
        <v>3224</v>
      </c>
      <c r="C406" t="s">
        <v>29</v>
      </c>
      <c r="D406" t="s">
        <v>3225</v>
      </c>
      <c r="E406" t="s">
        <v>3225</v>
      </c>
      <c r="F406" s="1">
        <v>46098.523564814823</v>
      </c>
      <c r="G406" t="s">
        <v>138</v>
      </c>
      <c r="H406">
        <v>0</v>
      </c>
      <c r="I406">
        <v>47</v>
      </c>
      <c r="J406">
        <v>738</v>
      </c>
      <c r="K406">
        <v>785</v>
      </c>
      <c r="L406">
        <v>234</v>
      </c>
      <c r="M406">
        <v>2922</v>
      </c>
      <c r="N406">
        <v>3641</v>
      </c>
      <c r="O406">
        <v>4</v>
      </c>
      <c r="P406">
        <v>5</v>
      </c>
      <c r="Q406">
        <v>5</v>
      </c>
      <c r="R406" t="s">
        <v>3226</v>
      </c>
      <c r="S406" t="s">
        <v>3227</v>
      </c>
      <c r="T406" t="s">
        <v>3228</v>
      </c>
      <c r="U406" t="s">
        <v>1394</v>
      </c>
      <c r="V406" t="s">
        <v>3229</v>
      </c>
      <c r="W406" t="s">
        <v>2045</v>
      </c>
      <c r="X406" t="s">
        <v>154</v>
      </c>
      <c r="Y406" t="b">
        <v>0</v>
      </c>
      <c r="Z406" t="s">
        <v>39</v>
      </c>
      <c r="AA406" t="s">
        <v>3230</v>
      </c>
      <c r="AB406" t="s">
        <v>41</v>
      </c>
      <c r="AC406">
        <f t="shared" si="6"/>
        <v>5</v>
      </c>
    </row>
    <row r="407" spans="1:29" x14ac:dyDescent="0.3">
      <c r="A407">
        <v>2472041</v>
      </c>
      <c r="B407" t="s">
        <v>3282</v>
      </c>
      <c r="C407" t="s">
        <v>29</v>
      </c>
      <c r="D407" t="s">
        <v>3283</v>
      </c>
      <c r="E407" t="s">
        <v>3283</v>
      </c>
      <c r="F407" s="1">
        <v>46098.519513888888</v>
      </c>
      <c r="G407" t="s">
        <v>138</v>
      </c>
      <c r="H407">
        <v>0</v>
      </c>
      <c r="I407">
        <v>59</v>
      </c>
      <c r="J407">
        <v>856</v>
      </c>
      <c r="K407">
        <v>915</v>
      </c>
      <c r="L407">
        <v>290</v>
      </c>
      <c r="M407">
        <v>3587</v>
      </c>
      <c r="N407">
        <v>3751</v>
      </c>
      <c r="O407">
        <v>4</v>
      </c>
      <c r="P407">
        <v>5</v>
      </c>
      <c r="Q407">
        <v>5</v>
      </c>
      <c r="R407" t="s">
        <v>3284</v>
      </c>
      <c r="S407" t="s">
        <v>3227</v>
      </c>
      <c r="T407" t="s">
        <v>3285</v>
      </c>
      <c r="U407" t="s">
        <v>3286</v>
      </c>
      <c r="V407" t="s">
        <v>3287</v>
      </c>
      <c r="W407" t="s">
        <v>3288</v>
      </c>
      <c r="X407" t="s">
        <v>154</v>
      </c>
      <c r="Y407" t="b">
        <v>0</v>
      </c>
      <c r="Z407" t="s">
        <v>39</v>
      </c>
      <c r="AA407" t="s">
        <v>3289</v>
      </c>
      <c r="AB407" t="s">
        <v>41</v>
      </c>
      <c r="AC407">
        <f t="shared" si="6"/>
        <v>5</v>
      </c>
    </row>
    <row r="408" spans="1:29" x14ac:dyDescent="0.3">
      <c r="A408">
        <v>2472041</v>
      </c>
      <c r="B408" t="s">
        <v>3525</v>
      </c>
      <c r="C408" t="s">
        <v>29</v>
      </c>
      <c r="D408" t="s">
        <v>3526</v>
      </c>
      <c r="E408" t="s">
        <v>3526</v>
      </c>
      <c r="F408" s="1">
        <v>46126.44703703704</v>
      </c>
      <c r="G408" t="s">
        <v>45</v>
      </c>
      <c r="H408">
        <v>0</v>
      </c>
      <c r="I408">
        <v>43</v>
      </c>
      <c r="J408">
        <v>245</v>
      </c>
      <c r="K408">
        <v>288</v>
      </c>
      <c r="L408">
        <v>210</v>
      </c>
      <c r="M408">
        <v>988</v>
      </c>
      <c r="N408">
        <v>4040</v>
      </c>
      <c r="O408">
        <v>4</v>
      </c>
      <c r="P408">
        <v>5</v>
      </c>
      <c r="Q408">
        <v>5</v>
      </c>
      <c r="R408" t="s">
        <v>3527</v>
      </c>
      <c r="S408" t="s">
        <v>108</v>
      </c>
      <c r="T408" t="s">
        <v>3528</v>
      </c>
      <c r="U408" t="s">
        <v>3529</v>
      </c>
      <c r="V408" t="s">
        <v>3530</v>
      </c>
      <c r="W408" t="s">
        <v>3531</v>
      </c>
      <c r="X408" t="s">
        <v>154</v>
      </c>
      <c r="Y408" t="b">
        <v>0</v>
      </c>
      <c r="Z408" t="s">
        <v>39</v>
      </c>
      <c r="AA408" t="s">
        <v>3532</v>
      </c>
      <c r="AB408" t="s">
        <v>41</v>
      </c>
      <c r="AC408">
        <f t="shared" si="6"/>
        <v>5</v>
      </c>
    </row>
    <row r="409" spans="1:29" x14ac:dyDescent="0.3">
      <c r="A409">
        <v>2472041</v>
      </c>
      <c r="B409" t="s">
        <v>3633</v>
      </c>
      <c r="C409" t="s">
        <v>29</v>
      </c>
      <c r="D409" t="s">
        <v>3634</v>
      </c>
      <c r="E409" t="s">
        <v>3634</v>
      </c>
      <c r="F409" s="1">
        <v>46112.50267361111</v>
      </c>
      <c r="G409" t="s">
        <v>304</v>
      </c>
      <c r="H409">
        <v>0</v>
      </c>
      <c r="I409">
        <v>165</v>
      </c>
      <c r="J409">
        <v>356</v>
      </c>
      <c r="K409">
        <v>521</v>
      </c>
      <c r="L409">
        <v>740</v>
      </c>
      <c r="M409">
        <v>1279</v>
      </c>
      <c r="N409">
        <v>4187</v>
      </c>
      <c r="O409">
        <v>4</v>
      </c>
      <c r="P409">
        <v>5</v>
      </c>
      <c r="Q409">
        <v>5</v>
      </c>
      <c r="R409" t="s">
        <v>3635</v>
      </c>
      <c r="S409" t="s">
        <v>1607</v>
      </c>
      <c r="T409" t="s">
        <v>3636</v>
      </c>
      <c r="U409" t="s">
        <v>3637</v>
      </c>
      <c r="V409" t="s">
        <v>3638</v>
      </c>
      <c r="W409" t="s">
        <v>3639</v>
      </c>
      <c r="X409" t="s">
        <v>154</v>
      </c>
      <c r="Y409" t="b">
        <v>0</v>
      </c>
      <c r="Z409" t="s">
        <v>39</v>
      </c>
      <c r="AA409" t="s">
        <v>3640</v>
      </c>
      <c r="AB409" t="s">
        <v>41</v>
      </c>
      <c r="AC409">
        <f t="shared" si="6"/>
        <v>5</v>
      </c>
    </row>
    <row r="410" spans="1:29" x14ac:dyDescent="0.3">
      <c r="A410">
        <v>2472041</v>
      </c>
      <c r="B410" t="s">
        <v>3701</v>
      </c>
      <c r="C410" t="s">
        <v>29</v>
      </c>
      <c r="D410" t="s">
        <v>3702</v>
      </c>
      <c r="E410" t="s">
        <v>3702</v>
      </c>
      <c r="F410" s="1">
        <v>46098.512361111112</v>
      </c>
      <c r="G410" t="s">
        <v>138</v>
      </c>
      <c r="H410">
        <v>0</v>
      </c>
      <c r="I410">
        <v>78</v>
      </c>
      <c r="J410">
        <v>167</v>
      </c>
      <c r="K410">
        <v>245</v>
      </c>
      <c r="L410">
        <v>367</v>
      </c>
      <c r="M410">
        <v>851</v>
      </c>
      <c r="N410">
        <v>4245</v>
      </c>
      <c r="O410">
        <v>4</v>
      </c>
      <c r="P410">
        <v>5</v>
      </c>
      <c r="Q410">
        <v>5</v>
      </c>
      <c r="R410" t="s">
        <v>3703</v>
      </c>
      <c r="S410" t="s">
        <v>3704</v>
      </c>
      <c r="T410" t="s">
        <v>3705</v>
      </c>
      <c r="U410" t="s">
        <v>2237</v>
      </c>
      <c r="V410" t="s">
        <v>3706</v>
      </c>
      <c r="W410" t="s">
        <v>2223</v>
      </c>
      <c r="X410" t="s">
        <v>154</v>
      </c>
      <c r="Y410" t="b">
        <v>0</v>
      </c>
      <c r="Z410" t="s">
        <v>39</v>
      </c>
      <c r="AA410" t="s">
        <v>3707</v>
      </c>
      <c r="AB410" t="s">
        <v>41</v>
      </c>
      <c r="AC410">
        <f t="shared" si="6"/>
        <v>5</v>
      </c>
    </row>
    <row r="411" spans="1:29" x14ac:dyDescent="0.3">
      <c r="A411">
        <v>2472041</v>
      </c>
      <c r="B411" t="s">
        <v>3827</v>
      </c>
      <c r="C411" t="s">
        <v>29</v>
      </c>
      <c r="D411" t="s">
        <v>3828</v>
      </c>
      <c r="E411" t="s">
        <v>3828</v>
      </c>
      <c r="F411" s="1">
        <v>46126.490578703713</v>
      </c>
      <c r="G411" t="s">
        <v>45</v>
      </c>
      <c r="H411">
        <v>0</v>
      </c>
      <c r="I411">
        <v>188</v>
      </c>
      <c r="J411">
        <v>502</v>
      </c>
      <c r="K411">
        <v>690</v>
      </c>
      <c r="L411">
        <v>705</v>
      </c>
      <c r="M411">
        <v>1936</v>
      </c>
      <c r="N411">
        <v>4425</v>
      </c>
      <c r="O411">
        <v>4</v>
      </c>
      <c r="P411">
        <v>5</v>
      </c>
      <c r="Q411">
        <v>5</v>
      </c>
      <c r="R411" t="s">
        <v>3829</v>
      </c>
      <c r="S411" t="s">
        <v>3830</v>
      </c>
      <c r="T411" t="s">
        <v>3831</v>
      </c>
      <c r="U411" t="s">
        <v>3832</v>
      </c>
      <c r="V411" t="s">
        <v>3833</v>
      </c>
      <c r="W411" t="s">
        <v>3834</v>
      </c>
      <c r="X411" t="s">
        <v>154</v>
      </c>
      <c r="Y411" t="b">
        <v>0</v>
      </c>
      <c r="Z411" t="s">
        <v>39</v>
      </c>
      <c r="AA411" t="s">
        <v>3835</v>
      </c>
      <c r="AB411" t="s">
        <v>41</v>
      </c>
      <c r="AC411">
        <f t="shared" si="6"/>
        <v>5</v>
      </c>
    </row>
    <row r="412" spans="1:29" x14ac:dyDescent="0.3">
      <c r="A412">
        <v>2472041</v>
      </c>
      <c r="B412" t="s">
        <v>4224</v>
      </c>
      <c r="C412" t="s">
        <v>29</v>
      </c>
      <c r="D412" t="s">
        <v>4225</v>
      </c>
      <c r="E412" t="s">
        <v>4225</v>
      </c>
      <c r="F412" s="1">
        <v>46126.499062499999</v>
      </c>
      <c r="G412" t="s">
        <v>45</v>
      </c>
      <c r="H412">
        <v>0</v>
      </c>
      <c r="I412">
        <v>44</v>
      </c>
      <c r="J412">
        <v>276</v>
      </c>
      <c r="K412">
        <v>320</v>
      </c>
      <c r="L412">
        <v>183</v>
      </c>
      <c r="M412">
        <v>935</v>
      </c>
      <c r="N412">
        <v>5001</v>
      </c>
      <c r="O412">
        <v>4</v>
      </c>
      <c r="P412">
        <v>5</v>
      </c>
      <c r="Q412">
        <v>5</v>
      </c>
      <c r="R412" t="s">
        <v>139</v>
      </c>
      <c r="S412" t="s">
        <v>4226</v>
      </c>
      <c r="T412" t="s">
        <v>4227</v>
      </c>
      <c r="U412" t="s">
        <v>170</v>
      </c>
      <c r="V412" t="s">
        <v>4228</v>
      </c>
      <c r="W412" t="s">
        <v>309</v>
      </c>
      <c r="X412" t="s">
        <v>154</v>
      </c>
      <c r="Y412" t="b">
        <v>0</v>
      </c>
      <c r="Z412" t="s">
        <v>39</v>
      </c>
      <c r="AA412" t="s">
        <v>4229</v>
      </c>
      <c r="AB412" t="s">
        <v>41</v>
      </c>
      <c r="AC412">
        <f t="shared" si="6"/>
        <v>5</v>
      </c>
    </row>
    <row r="413" spans="1:29" x14ac:dyDescent="0.3">
      <c r="A413">
        <v>2472042</v>
      </c>
      <c r="B413" t="s">
        <v>165</v>
      </c>
      <c r="C413" t="s">
        <v>29</v>
      </c>
      <c r="D413" t="s">
        <v>166</v>
      </c>
      <c r="E413" t="s">
        <v>166</v>
      </c>
      <c r="F413" s="1">
        <v>46126.408506944441</v>
      </c>
      <c r="G413" t="s">
        <v>45</v>
      </c>
      <c r="H413">
        <v>0</v>
      </c>
      <c r="I413">
        <v>53</v>
      </c>
      <c r="J413">
        <v>182</v>
      </c>
      <c r="K413">
        <v>235</v>
      </c>
      <c r="L413">
        <v>151</v>
      </c>
      <c r="M413">
        <v>601</v>
      </c>
      <c r="N413">
        <v>180</v>
      </c>
      <c r="O413">
        <v>4</v>
      </c>
      <c r="P413">
        <v>5</v>
      </c>
      <c r="Q413">
        <v>5</v>
      </c>
      <c r="R413" t="s">
        <v>167</v>
      </c>
      <c r="S413" t="s">
        <v>168</v>
      </c>
      <c r="T413" t="s">
        <v>169</v>
      </c>
      <c r="U413" t="s">
        <v>170</v>
      </c>
      <c r="V413" t="s">
        <v>171</v>
      </c>
      <c r="W413" t="s">
        <v>172</v>
      </c>
      <c r="X413" t="s">
        <v>154</v>
      </c>
      <c r="Y413" t="b">
        <v>0</v>
      </c>
      <c r="Z413" t="s">
        <v>39</v>
      </c>
      <c r="AA413" t="s">
        <v>173</v>
      </c>
      <c r="AB413" t="s">
        <v>41</v>
      </c>
      <c r="AC413">
        <f t="shared" si="6"/>
        <v>5</v>
      </c>
    </row>
    <row r="414" spans="1:29" x14ac:dyDescent="0.3">
      <c r="A414">
        <v>2472042</v>
      </c>
      <c r="B414" t="s">
        <v>241</v>
      </c>
      <c r="C414" t="s">
        <v>29</v>
      </c>
      <c r="D414" t="s">
        <v>242</v>
      </c>
      <c r="E414" t="s">
        <v>242</v>
      </c>
      <c r="F414" s="1">
        <v>46091.404027777768</v>
      </c>
      <c r="G414" t="s">
        <v>31</v>
      </c>
      <c r="H414">
        <v>0</v>
      </c>
      <c r="I414">
        <v>53</v>
      </c>
      <c r="J414">
        <v>142</v>
      </c>
      <c r="K414">
        <v>195</v>
      </c>
      <c r="L414">
        <v>188</v>
      </c>
      <c r="M414">
        <v>512</v>
      </c>
      <c r="N414">
        <v>265</v>
      </c>
      <c r="O414">
        <v>4</v>
      </c>
      <c r="P414">
        <v>5</v>
      </c>
      <c r="Q414">
        <v>5</v>
      </c>
      <c r="R414" t="s">
        <v>243</v>
      </c>
      <c r="S414" t="s">
        <v>244</v>
      </c>
      <c r="T414" t="s">
        <v>245</v>
      </c>
      <c r="U414" t="s">
        <v>200</v>
      </c>
      <c r="V414" t="s">
        <v>246</v>
      </c>
      <c r="W414" t="s">
        <v>247</v>
      </c>
      <c r="X414" t="s">
        <v>154</v>
      </c>
      <c r="Y414" t="b">
        <v>0</v>
      </c>
      <c r="Z414" t="s">
        <v>39</v>
      </c>
      <c r="AA414" t="s">
        <v>248</v>
      </c>
      <c r="AB414" t="s">
        <v>41</v>
      </c>
      <c r="AC414">
        <f t="shared" si="6"/>
        <v>5</v>
      </c>
    </row>
    <row r="415" spans="1:29" x14ac:dyDescent="0.3">
      <c r="A415">
        <v>2472042</v>
      </c>
      <c r="B415" t="s">
        <v>293</v>
      </c>
      <c r="C415" t="s">
        <v>29</v>
      </c>
      <c r="D415" t="s">
        <v>294</v>
      </c>
      <c r="E415" t="s">
        <v>294</v>
      </c>
      <c r="F415" s="1">
        <v>46091.509988425933</v>
      </c>
      <c r="G415" t="s">
        <v>31</v>
      </c>
      <c r="H415">
        <v>0</v>
      </c>
      <c r="I415">
        <v>145</v>
      </c>
      <c r="J415">
        <v>196</v>
      </c>
      <c r="K415">
        <v>341</v>
      </c>
      <c r="L415">
        <v>492</v>
      </c>
      <c r="M415">
        <v>610</v>
      </c>
      <c r="N415">
        <v>313</v>
      </c>
      <c r="O415">
        <v>3</v>
      </c>
      <c r="P415">
        <v>5</v>
      </c>
      <c r="Q415">
        <v>4</v>
      </c>
      <c r="R415" t="s">
        <v>295</v>
      </c>
      <c r="S415" t="s">
        <v>296</v>
      </c>
      <c r="T415" t="s">
        <v>297</v>
      </c>
      <c r="U415" t="s">
        <v>298</v>
      </c>
      <c r="V415" t="s">
        <v>299</v>
      </c>
      <c r="W415" t="s">
        <v>300</v>
      </c>
      <c r="X415" t="s">
        <v>38</v>
      </c>
      <c r="Y415" t="b">
        <v>0</v>
      </c>
      <c r="Z415" t="s">
        <v>39</v>
      </c>
      <c r="AA415" t="s">
        <v>301</v>
      </c>
      <c r="AB415" t="s">
        <v>41</v>
      </c>
      <c r="AC415">
        <f t="shared" si="6"/>
        <v>4</v>
      </c>
    </row>
    <row r="416" spans="1:29" x14ac:dyDescent="0.3">
      <c r="A416">
        <v>2472042</v>
      </c>
      <c r="B416" t="s">
        <v>393</v>
      </c>
      <c r="C416" t="s">
        <v>29</v>
      </c>
      <c r="D416" t="s">
        <v>394</v>
      </c>
      <c r="E416" t="s">
        <v>394</v>
      </c>
      <c r="F416" s="1">
        <v>46098.51121527778</v>
      </c>
      <c r="G416" t="s">
        <v>138</v>
      </c>
      <c r="H416">
        <v>0</v>
      </c>
      <c r="I416">
        <v>37</v>
      </c>
      <c r="J416">
        <v>140</v>
      </c>
      <c r="K416">
        <v>177</v>
      </c>
      <c r="L416">
        <v>185</v>
      </c>
      <c r="M416">
        <v>478</v>
      </c>
      <c r="N416">
        <v>400</v>
      </c>
      <c r="O416">
        <v>4</v>
      </c>
      <c r="P416">
        <v>5</v>
      </c>
      <c r="Q416">
        <v>5</v>
      </c>
      <c r="R416" t="s">
        <v>395</v>
      </c>
      <c r="S416" t="s">
        <v>396</v>
      </c>
      <c r="T416" t="s">
        <v>397</v>
      </c>
      <c r="U416" t="s">
        <v>125</v>
      </c>
      <c r="V416" t="s">
        <v>398</v>
      </c>
      <c r="W416" t="s">
        <v>239</v>
      </c>
      <c r="X416" t="s">
        <v>154</v>
      </c>
      <c r="Y416" t="b">
        <v>0</v>
      </c>
      <c r="Z416" t="s">
        <v>39</v>
      </c>
      <c r="AA416" t="s">
        <v>399</v>
      </c>
      <c r="AB416" t="s">
        <v>41</v>
      </c>
      <c r="AC416">
        <f t="shared" si="6"/>
        <v>5</v>
      </c>
    </row>
    <row r="417" spans="1:29" x14ac:dyDescent="0.3">
      <c r="A417">
        <v>2472042</v>
      </c>
      <c r="B417" t="s">
        <v>811</v>
      </c>
      <c r="C417" t="s">
        <v>29</v>
      </c>
      <c r="D417" t="s">
        <v>812</v>
      </c>
      <c r="E417" t="s">
        <v>812</v>
      </c>
      <c r="F417" s="1">
        <v>46126.413518518522</v>
      </c>
      <c r="G417" t="s">
        <v>45</v>
      </c>
      <c r="H417">
        <v>0</v>
      </c>
      <c r="I417">
        <v>61</v>
      </c>
      <c r="J417">
        <v>90</v>
      </c>
      <c r="K417">
        <v>151</v>
      </c>
      <c r="L417">
        <v>187</v>
      </c>
      <c r="M417">
        <v>343</v>
      </c>
      <c r="N417">
        <v>809</v>
      </c>
      <c r="O417">
        <v>4</v>
      </c>
      <c r="P417">
        <v>5</v>
      </c>
      <c r="Q417">
        <v>5</v>
      </c>
      <c r="R417" t="s">
        <v>813</v>
      </c>
      <c r="S417" t="s">
        <v>814</v>
      </c>
      <c r="T417" t="s">
        <v>815</v>
      </c>
      <c r="U417" t="s">
        <v>816</v>
      </c>
      <c r="V417" t="s">
        <v>817</v>
      </c>
      <c r="W417" t="s">
        <v>818</v>
      </c>
      <c r="X417" t="s">
        <v>154</v>
      </c>
      <c r="Y417" t="b">
        <v>0</v>
      </c>
      <c r="Z417" t="s">
        <v>39</v>
      </c>
      <c r="AA417" t="s">
        <v>819</v>
      </c>
      <c r="AB417" t="s">
        <v>41</v>
      </c>
      <c r="AC417">
        <f t="shared" si="6"/>
        <v>5</v>
      </c>
    </row>
    <row r="418" spans="1:29" x14ac:dyDescent="0.3">
      <c r="A418">
        <v>2472042</v>
      </c>
      <c r="B418" t="s">
        <v>1588</v>
      </c>
      <c r="C418" t="s">
        <v>29</v>
      </c>
      <c r="D418" t="s">
        <v>1589</v>
      </c>
      <c r="E418" t="s">
        <v>1589</v>
      </c>
      <c r="F418" s="1">
        <v>46077.552523148152</v>
      </c>
      <c r="G418" t="s">
        <v>67</v>
      </c>
      <c r="H418">
        <v>0</v>
      </c>
      <c r="I418">
        <v>696</v>
      </c>
      <c r="J418">
        <v>841</v>
      </c>
      <c r="K418">
        <v>1537</v>
      </c>
      <c r="L418">
        <v>2419</v>
      </c>
      <c r="M418">
        <v>2928</v>
      </c>
      <c r="N418">
        <v>1746</v>
      </c>
      <c r="O418">
        <v>4</v>
      </c>
      <c r="P418">
        <v>5</v>
      </c>
      <c r="Q418">
        <v>4</v>
      </c>
      <c r="R418" t="s">
        <v>1590</v>
      </c>
      <c r="S418" t="s">
        <v>1591</v>
      </c>
      <c r="T418" t="s">
        <v>1592</v>
      </c>
      <c r="U418" t="s">
        <v>1593</v>
      </c>
      <c r="V418" t="s">
        <v>1594</v>
      </c>
      <c r="W418" t="s">
        <v>1595</v>
      </c>
      <c r="X418" t="s">
        <v>38</v>
      </c>
      <c r="Y418" t="b">
        <v>0</v>
      </c>
      <c r="Z418" t="s">
        <v>39</v>
      </c>
      <c r="AA418" t="s">
        <v>1596</v>
      </c>
      <c r="AB418" t="s">
        <v>41</v>
      </c>
      <c r="AC418">
        <f t="shared" si="6"/>
        <v>4</v>
      </c>
    </row>
    <row r="419" spans="1:29" x14ac:dyDescent="0.3">
      <c r="A419">
        <v>2472042</v>
      </c>
      <c r="B419" t="s">
        <v>1923</v>
      </c>
      <c r="C419" t="s">
        <v>29</v>
      </c>
      <c r="D419" t="s">
        <v>1924</v>
      </c>
      <c r="E419" t="s">
        <v>1925</v>
      </c>
      <c r="F419" s="1">
        <v>46126.446817129632</v>
      </c>
      <c r="G419" t="s">
        <v>45</v>
      </c>
      <c r="H419">
        <v>0</v>
      </c>
      <c r="I419">
        <v>182</v>
      </c>
      <c r="J419">
        <v>507</v>
      </c>
      <c r="K419">
        <v>689</v>
      </c>
      <c r="L419">
        <v>750</v>
      </c>
      <c r="M419">
        <v>1844</v>
      </c>
      <c r="N419">
        <v>2199</v>
      </c>
      <c r="O419">
        <v>4</v>
      </c>
      <c r="P419">
        <v>5</v>
      </c>
      <c r="Q419">
        <v>5</v>
      </c>
      <c r="R419" t="s">
        <v>1926</v>
      </c>
      <c r="S419" t="s">
        <v>1702</v>
      </c>
      <c r="T419" t="s">
        <v>1927</v>
      </c>
      <c r="U419" t="s">
        <v>1928</v>
      </c>
      <c r="V419" t="s">
        <v>1929</v>
      </c>
      <c r="W419" t="s">
        <v>1930</v>
      </c>
      <c r="X419" t="s">
        <v>154</v>
      </c>
      <c r="Y419" t="b">
        <v>0</v>
      </c>
      <c r="Z419" t="s">
        <v>39</v>
      </c>
      <c r="AA419" t="s">
        <v>1931</v>
      </c>
      <c r="AB419" t="s">
        <v>41</v>
      </c>
      <c r="AC419">
        <f t="shared" si="6"/>
        <v>5</v>
      </c>
    </row>
    <row r="420" spans="1:29" x14ac:dyDescent="0.3">
      <c r="A420">
        <v>2472042</v>
      </c>
      <c r="B420" t="s">
        <v>2403</v>
      </c>
      <c r="C420" t="s">
        <v>29</v>
      </c>
      <c r="D420" t="s">
        <v>2404</v>
      </c>
      <c r="E420" t="s">
        <v>2404</v>
      </c>
      <c r="F420" s="1">
        <v>46126.4215625</v>
      </c>
      <c r="G420" t="s">
        <v>45</v>
      </c>
      <c r="H420">
        <v>0</v>
      </c>
      <c r="I420">
        <v>136</v>
      </c>
      <c r="J420">
        <v>220</v>
      </c>
      <c r="K420">
        <v>356</v>
      </c>
      <c r="L420">
        <v>436</v>
      </c>
      <c r="M420">
        <v>661</v>
      </c>
      <c r="N420">
        <v>2713</v>
      </c>
      <c r="O420">
        <v>3</v>
      </c>
      <c r="P420">
        <v>4</v>
      </c>
      <c r="Q420">
        <v>4</v>
      </c>
      <c r="R420" t="s">
        <v>2405</v>
      </c>
      <c r="S420" t="s">
        <v>2406</v>
      </c>
      <c r="T420" t="s">
        <v>2407</v>
      </c>
      <c r="U420" t="s">
        <v>132</v>
      </c>
      <c r="V420" t="s">
        <v>2408</v>
      </c>
      <c r="W420" t="s">
        <v>2409</v>
      </c>
      <c r="X420" t="s">
        <v>38</v>
      </c>
      <c r="Y420" t="b">
        <v>0</v>
      </c>
      <c r="Z420" t="s">
        <v>39</v>
      </c>
      <c r="AA420" t="s">
        <v>2410</v>
      </c>
      <c r="AB420" t="s">
        <v>41</v>
      </c>
      <c r="AC420">
        <f t="shared" si="6"/>
        <v>4</v>
      </c>
    </row>
    <row r="421" spans="1:29" x14ac:dyDescent="0.3">
      <c r="A421">
        <v>2472042</v>
      </c>
      <c r="B421" t="s">
        <v>2601</v>
      </c>
      <c r="C421" t="s">
        <v>29</v>
      </c>
      <c r="D421" t="s">
        <v>2602</v>
      </c>
      <c r="E421" t="s">
        <v>2602</v>
      </c>
      <c r="F421" s="1">
        <v>46126.409259259257</v>
      </c>
      <c r="G421" t="s">
        <v>45</v>
      </c>
      <c r="H421">
        <v>0</v>
      </c>
      <c r="I421">
        <v>55</v>
      </c>
      <c r="J421">
        <v>205</v>
      </c>
      <c r="K421">
        <v>260</v>
      </c>
      <c r="L421">
        <v>167</v>
      </c>
      <c r="M421">
        <v>677</v>
      </c>
      <c r="N421">
        <v>2919</v>
      </c>
      <c r="O421">
        <v>4</v>
      </c>
      <c r="P421">
        <v>5</v>
      </c>
      <c r="Q421">
        <v>5</v>
      </c>
      <c r="R421" t="s">
        <v>813</v>
      </c>
      <c r="S421" t="s">
        <v>2603</v>
      </c>
      <c r="T421" t="s">
        <v>169</v>
      </c>
      <c r="U421" t="s">
        <v>2604</v>
      </c>
      <c r="V421" t="s">
        <v>2605</v>
      </c>
      <c r="W421" t="s">
        <v>2606</v>
      </c>
      <c r="X421" t="s">
        <v>154</v>
      </c>
      <c r="Y421" t="b">
        <v>0</v>
      </c>
      <c r="Z421" t="s">
        <v>39</v>
      </c>
      <c r="AA421" t="s">
        <v>2607</v>
      </c>
      <c r="AB421" t="s">
        <v>41</v>
      </c>
      <c r="AC421">
        <f t="shared" si="6"/>
        <v>5</v>
      </c>
    </row>
    <row r="422" spans="1:29" x14ac:dyDescent="0.3">
      <c r="A422">
        <v>2472042</v>
      </c>
      <c r="B422" t="s">
        <v>2915</v>
      </c>
      <c r="C422" t="s">
        <v>29</v>
      </c>
      <c r="D422" t="s">
        <v>2916</v>
      </c>
      <c r="E422" t="s">
        <v>2917</v>
      </c>
      <c r="F422" s="1">
        <v>46077.495844907397</v>
      </c>
      <c r="G422" t="s">
        <v>67</v>
      </c>
      <c r="H422">
        <v>0</v>
      </c>
      <c r="I422">
        <v>272</v>
      </c>
      <c r="J422">
        <v>188</v>
      </c>
      <c r="K422">
        <v>460</v>
      </c>
      <c r="L422">
        <v>972</v>
      </c>
      <c r="M422">
        <v>656</v>
      </c>
      <c r="N422">
        <v>3352</v>
      </c>
      <c r="O422">
        <v>3</v>
      </c>
      <c r="P422">
        <v>4</v>
      </c>
      <c r="Q422">
        <v>4</v>
      </c>
      <c r="R422" t="s">
        <v>2918</v>
      </c>
      <c r="S422" t="s">
        <v>2919</v>
      </c>
      <c r="T422" t="s">
        <v>2920</v>
      </c>
      <c r="U422" t="s">
        <v>2921</v>
      </c>
      <c r="V422" t="s">
        <v>2922</v>
      </c>
      <c r="W422" t="s">
        <v>2923</v>
      </c>
      <c r="X422" t="s">
        <v>38</v>
      </c>
      <c r="Y422" t="b">
        <v>0</v>
      </c>
      <c r="Z422" t="s">
        <v>39</v>
      </c>
      <c r="AA422" t="s">
        <v>2924</v>
      </c>
      <c r="AB422" t="s">
        <v>41</v>
      </c>
      <c r="AC422">
        <f t="shared" si="6"/>
        <v>4</v>
      </c>
    </row>
    <row r="423" spans="1:29" x14ac:dyDescent="0.3">
      <c r="A423">
        <v>2472042</v>
      </c>
      <c r="B423" t="s">
        <v>3072</v>
      </c>
      <c r="C423" t="s">
        <v>29</v>
      </c>
      <c r="D423" t="s">
        <v>3073</v>
      </c>
      <c r="E423" t="s">
        <v>3073</v>
      </c>
      <c r="F423" s="1">
        <v>46077.535150462973</v>
      </c>
      <c r="G423" t="s">
        <v>67</v>
      </c>
      <c r="H423">
        <v>0</v>
      </c>
      <c r="I423">
        <v>44</v>
      </c>
      <c r="J423">
        <v>839</v>
      </c>
      <c r="K423">
        <v>883</v>
      </c>
      <c r="L423">
        <v>197</v>
      </c>
      <c r="M423">
        <v>2927</v>
      </c>
      <c r="N423">
        <v>3494</v>
      </c>
      <c r="O423">
        <v>4</v>
      </c>
      <c r="P423">
        <v>5</v>
      </c>
      <c r="Q423">
        <v>4</v>
      </c>
      <c r="R423" t="s">
        <v>3074</v>
      </c>
      <c r="S423" t="s">
        <v>3075</v>
      </c>
      <c r="T423" t="s">
        <v>3076</v>
      </c>
      <c r="U423" t="s">
        <v>3077</v>
      </c>
      <c r="V423" t="s">
        <v>3078</v>
      </c>
      <c r="W423" t="s">
        <v>3079</v>
      </c>
      <c r="X423" t="s">
        <v>38</v>
      </c>
      <c r="Y423" t="b">
        <v>0</v>
      </c>
      <c r="Z423" t="s">
        <v>39</v>
      </c>
      <c r="AA423" t="s">
        <v>3080</v>
      </c>
      <c r="AB423" t="s">
        <v>41</v>
      </c>
      <c r="AC423">
        <f t="shared" si="6"/>
        <v>4</v>
      </c>
    </row>
    <row r="424" spans="1:29" x14ac:dyDescent="0.3">
      <c r="A424">
        <v>2472042</v>
      </c>
      <c r="B424" t="s">
        <v>3307</v>
      </c>
      <c r="C424" t="s">
        <v>29</v>
      </c>
      <c r="D424" t="s">
        <v>3308</v>
      </c>
      <c r="E424" t="s">
        <v>3308</v>
      </c>
      <c r="F424" s="1">
        <v>46077.54791666667</v>
      </c>
      <c r="G424" t="s">
        <v>67</v>
      </c>
      <c r="H424">
        <v>0</v>
      </c>
      <c r="I424">
        <v>715</v>
      </c>
      <c r="J424">
        <v>842</v>
      </c>
      <c r="K424">
        <v>1557</v>
      </c>
      <c r="L424">
        <v>2446</v>
      </c>
      <c r="M424">
        <v>3004</v>
      </c>
      <c r="N424">
        <v>3773</v>
      </c>
      <c r="O424">
        <v>4</v>
      </c>
      <c r="P424">
        <v>4</v>
      </c>
      <c r="Q424">
        <v>4</v>
      </c>
      <c r="R424" t="s">
        <v>1590</v>
      </c>
      <c r="S424" t="s">
        <v>3309</v>
      </c>
      <c r="T424" t="s">
        <v>3310</v>
      </c>
      <c r="U424" t="s">
        <v>3311</v>
      </c>
      <c r="V424" t="s">
        <v>3312</v>
      </c>
      <c r="W424" t="s">
        <v>3313</v>
      </c>
      <c r="X424" t="s">
        <v>38</v>
      </c>
      <c r="Y424" t="b">
        <v>0</v>
      </c>
      <c r="Z424" t="s">
        <v>39</v>
      </c>
      <c r="AA424" t="s">
        <v>3314</v>
      </c>
      <c r="AB424" t="s">
        <v>41</v>
      </c>
      <c r="AC424">
        <f t="shared" si="6"/>
        <v>4</v>
      </c>
    </row>
    <row r="425" spans="1:29" x14ac:dyDescent="0.3">
      <c r="A425">
        <v>2472042</v>
      </c>
      <c r="B425" t="s">
        <v>3452</v>
      </c>
      <c r="C425" t="s">
        <v>29</v>
      </c>
      <c r="D425" t="s">
        <v>3453</v>
      </c>
      <c r="E425" t="s">
        <v>3454</v>
      </c>
      <c r="F425" s="1">
        <v>46091.490185185183</v>
      </c>
      <c r="G425" t="s">
        <v>31</v>
      </c>
      <c r="H425">
        <v>0</v>
      </c>
      <c r="I425">
        <v>57</v>
      </c>
      <c r="J425">
        <v>62</v>
      </c>
      <c r="K425">
        <v>119</v>
      </c>
      <c r="L425">
        <v>160</v>
      </c>
      <c r="M425">
        <v>156</v>
      </c>
      <c r="N425">
        <v>3966</v>
      </c>
      <c r="O425">
        <v>4</v>
      </c>
      <c r="P425">
        <v>5</v>
      </c>
      <c r="Q425">
        <v>5</v>
      </c>
      <c r="R425" t="s">
        <v>3455</v>
      </c>
      <c r="S425" t="s">
        <v>3456</v>
      </c>
      <c r="T425" t="s">
        <v>3457</v>
      </c>
      <c r="U425" t="s">
        <v>125</v>
      </c>
      <c r="V425" t="s">
        <v>3458</v>
      </c>
      <c r="W425" t="s">
        <v>3459</v>
      </c>
      <c r="X425" t="s">
        <v>154</v>
      </c>
      <c r="Y425" t="b">
        <v>0</v>
      </c>
      <c r="Z425" t="s">
        <v>39</v>
      </c>
      <c r="AA425" t="s">
        <v>3460</v>
      </c>
      <c r="AB425" t="s">
        <v>41</v>
      </c>
      <c r="AC425">
        <f t="shared" si="6"/>
        <v>5</v>
      </c>
    </row>
    <row r="426" spans="1:29" x14ac:dyDescent="0.3">
      <c r="A426">
        <v>2472042</v>
      </c>
      <c r="B426" t="s">
        <v>3718</v>
      </c>
      <c r="C426" t="s">
        <v>29</v>
      </c>
      <c r="D426" t="s">
        <v>3719</v>
      </c>
      <c r="E426" t="s">
        <v>3719</v>
      </c>
      <c r="F426" s="1">
        <v>46098.506458333337</v>
      </c>
      <c r="G426" t="s">
        <v>138</v>
      </c>
      <c r="H426">
        <v>0</v>
      </c>
      <c r="I426">
        <v>78</v>
      </c>
      <c r="J426">
        <v>224</v>
      </c>
      <c r="K426">
        <v>302</v>
      </c>
      <c r="L426">
        <v>263</v>
      </c>
      <c r="M426">
        <v>636</v>
      </c>
      <c r="N426">
        <v>4257</v>
      </c>
      <c r="O426">
        <v>3</v>
      </c>
      <c r="P426">
        <v>4</v>
      </c>
      <c r="Q426">
        <v>4</v>
      </c>
      <c r="R426" t="s">
        <v>1679</v>
      </c>
      <c r="S426" t="s">
        <v>3720</v>
      </c>
      <c r="T426" t="s">
        <v>3721</v>
      </c>
      <c r="U426" t="s">
        <v>3722</v>
      </c>
      <c r="V426" t="s">
        <v>3723</v>
      </c>
      <c r="W426" t="s">
        <v>3724</v>
      </c>
      <c r="X426" t="s">
        <v>38</v>
      </c>
      <c r="Y426" t="b">
        <v>0</v>
      </c>
      <c r="Z426" t="s">
        <v>39</v>
      </c>
      <c r="AA426" t="s">
        <v>3725</v>
      </c>
      <c r="AB426" t="s">
        <v>41</v>
      </c>
      <c r="AC426">
        <f t="shared" si="6"/>
        <v>4</v>
      </c>
    </row>
    <row r="427" spans="1:29" x14ac:dyDescent="0.3">
      <c r="A427">
        <v>2472042</v>
      </c>
      <c r="B427" t="s">
        <v>3952</v>
      </c>
      <c r="C427" t="s">
        <v>29</v>
      </c>
      <c r="D427" t="s">
        <v>3953</v>
      </c>
      <c r="E427" t="s">
        <v>3953</v>
      </c>
      <c r="F427" s="1">
        <v>46126.405717592592</v>
      </c>
      <c r="G427" t="s">
        <v>45</v>
      </c>
      <c r="H427">
        <v>0</v>
      </c>
      <c r="I427">
        <v>52</v>
      </c>
      <c r="J427">
        <v>178</v>
      </c>
      <c r="K427">
        <v>230</v>
      </c>
      <c r="L427">
        <v>154</v>
      </c>
      <c r="M427">
        <v>622</v>
      </c>
      <c r="N427">
        <v>4608</v>
      </c>
      <c r="O427">
        <v>4</v>
      </c>
      <c r="P427">
        <v>5</v>
      </c>
      <c r="Q427">
        <v>5</v>
      </c>
      <c r="R427" t="s">
        <v>813</v>
      </c>
      <c r="S427" t="s">
        <v>168</v>
      </c>
      <c r="T427" t="s">
        <v>3954</v>
      </c>
      <c r="U427" t="s">
        <v>170</v>
      </c>
      <c r="V427" t="s">
        <v>3955</v>
      </c>
      <c r="W427" t="s">
        <v>172</v>
      </c>
      <c r="X427" t="s">
        <v>154</v>
      </c>
      <c r="Y427" t="b">
        <v>0</v>
      </c>
      <c r="Z427" t="s">
        <v>39</v>
      </c>
      <c r="AA427" t="s">
        <v>3956</v>
      </c>
      <c r="AB427" t="s">
        <v>41</v>
      </c>
      <c r="AC427">
        <f t="shared" si="6"/>
        <v>5</v>
      </c>
    </row>
    <row r="428" spans="1:29" x14ac:dyDescent="0.3">
      <c r="A428">
        <v>2472043</v>
      </c>
      <c r="B428" t="s">
        <v>481</v>
      </c>
      <c r="C428" t="s">
        <v>29</v>
      </c>
      <c r="D428" t="s">
        <v>482</v>
      </c>
      <c r="E428" t="s">
        <v>483</v>
      </c>
      <c r="F428" s="1">
        <v>46126.447789351849</v>
      </c>
      <c r="G428" t="s">
        <v>45</v>
      </c>
      <c r="H428">
        <v>0</v>
      </c>
      <c r="I428">
        <v>149</v>
      </c>
      <c r="J428">
        <v>976</v>
      </c>
      <c r="K428">
        <v>1125</v>
      </c>
      <c r="L428">
        <v>474</v>
      </c>
      <c r="M428">
        <v>3835</v>
      </c>
      <c r="N428">
        <v>453</v>
      </c>
      <c r="O428">
        <v>4</v>
      </c>
      <c r="P428">
        <v>5</v>
      </c>
      <c r="Q428">
        <v>5</v>
      </c>
      <c r="R428" t="s">
        <v>484</v>
      </c>
      <c r="S428" t="s">
        <v>485</v>
      </c>
      <c r="T428" t="s">
        <v>486</v>
      </c>
      <c r="U428" t="s">
        <v>487</v>
      </c>
      <c r="V428" t="s">
        <v>488</v>
      </c>
      <c r="W428" t="s">
        <v>489</v>
      </c>
      <c r="X428" t="s">
        <v>154</v>
      </c>
      <c r="Y428" t="b">
        <v>0</v>
      </c>
      <c r="Z428" t="s">
        <v>39</v>
      </c>
      <c r="AA428" t="s">
        <v>490</v>
      </c>
      <c r="AB428" t="s">
        <v>41</v>
      </c>
      <c r="AC428">
        <f t="shared" si="6"/>
        <v>5</v>
      </c>
    </row>
    <row r="429" spans="1:29" x14ac:dyDescent="0.3">
      <c r="A429">
        <v>2472043</v>
      </c>
      <c r="B429" t="s">
        <v>1471</v>
      </c>
      <c r="C429" t="s">
        <v>29</v>
      </c>
      <c r="D429" t="s">
        <v>43</v>
      </c>
      <c r="E429" t="s">
        <v>1472</v>
      </c>
      <c r="F429" s="1">
        <v>46126.445185185177</v>
      </c>
      <c r="G429" t="s">
        <v>45</v>
      </c>
      <c r="H429">
        <v>0</v>
      </c>
      <c r="I429">
        <v>109</v>
      </c>
      <c r="J429">
        <v>1040</v>
      </c>
      <c r="K429">
        <v>1149</v>
      </c>
      <c r="L429">
        <v>383</v>
      </c>
      <c r="M429">
        <v>4047</v>
      </c>
      <c r="N429">
        <v>1599</v>
      </c>
      <c r="O429">
        <v>4</v>
      </c>
      <c r="P429">
        <v>3</v>
      </c>
      <c r="Q429">
        <v>3</v>
      </c>
      <c r="R429" t="s">
        <v>1473</v>
      </c>
      <c r="S429" t="s">
        <v>1474</v>
      </c>
      <c r="T429" t="s">
        <v>1475</v>
      </c>
      <c r="U429" t="s">
        <v>1476</v>
      </c>
      <c r="V429" t="s">
        <v>1477</v>
      </c>
      <c r="W429" t="s">
        <v>1478</v>
      </c>
      <c r="X429" t="s">
        <v>84</v>
      </c>
      <c r="Y429" t="b">
        <v>0</v>
      </c>
      <c r="Z429" t="s">
        <v>39</v>
      </c>
      <c r="AA429" t="s">
        <v>1479</v>
      </c>
      <c r="AB429" t="s">
        <v>41</v>
      </c>
      <c r="AC429">
        <f t="shared" si="6"/>
        <v>3</v>
      </c>
    </row>
    <row r="430" spans="1:29" x14ac:dyDescent="0.3">
      <c r="A430">
        <v>2472043</v>
      </c>
      <c r="B430" t="s">
        <v>2458</v>
      </c>
      <c r="C430" t="s">
        <v>29</v>
      </c>
      <c r="D430" t="s">
        <v>2459</v>
      </c>
      <c r="E430" t="s">
        <v>2460</v>
      </c>
      <c r="F430" s="1">
        <v>46091.522858796299</v>
      </c>
      <c r="G430" t="s">
        <v>31</v>
      </c>
      <c r="H430">
        <v>0</v>
      </c>
      <c r="I430">
        <v>1043</v>
      </c>
      <c r="J430">
        <v>68</v>
      </c>
      <c r="K430">
        <v>1111</v>
      </c>
      <c r="L430">
        <v>3960</v>
      </c>
      <c r="M430">
        <v>292</v>
      </c>
      <c r="N430">
        <v>2768</v>
      </c>
      <c r="O430">
        <v>3</v>
      </c>
      <c r="P430">
        <v>4</v>
      </c>
      <c r="Q430">
        <v>4</v>
      </c>
      <c r="R430" t="s">
        <v>2461</v>
      </c>
      <c r="S430" t="s">
        <v>2462</v>
      </c>
      <c r="T430" t="s">
        <v>2463</v>
      </c>
      <c r="U430" t="s">
        <v>2464</v>
      </c>
      <c r="V430" t="s">
        <v>2465</v>
      </c>
      <c r="W430" t="s">
        <v>2466</v>
      </c>
      <c r="X430" t="s">
        <v>38</v>
      </c>
      <c r="Y430" t="b">
        <v>0</v>
      </c>
      <c r="Z430" t="s">
        <v>39</v>
      </c>
      <c r="AA430" t="s">
        <v>2467</v>
      </c>
      <c r="AB430" t="s">
        <v>41</v>
      </c>
      <c r="AC430">
        <f t="shared" si="6"/>
        <v>4</v>
      </c>
    </row>
    <row r="431" spans="1:29" x14ac:dyDescent="0.3">
      <c r="A431">
        <v>2472043</v>
      </c>
      <c r="B431" t="s">
        <v>2858</v>
      </c>
      <c r="C431" t="s">
        <v>29</v>
      </c>
      <c r="D431" t="s">
        <v>2859</v>
      </c>
      <c r="E431" t="s">
        <v>2859</v>
      </c>
      <c r="F431" s="1">
        <v>46091.407488425917</v>
      </c>
      <c r="G431" t="s">
        <v>31</v>
      </c>
      <c r="H431">
        <v>0</v>
      </c>
      <c r="I431">
        <v>32</v>
      </c>
      <c r="J431">
        <v>175</v>
      </c>
      <c r="K431">
        <v>207</v>
      </c>
      <c r="L431">
        <v>119</v>
      </c>
      <c r="M431">
        <v>676</v>
      </c>
      <c r="N431">
        <v>3289</v>
      </c>
      <c r="O431">
        <v>4</v>
      </c>
      <c r="P431">
        <v>5</v>
      </c>
      <c r="Q431">
        <v>5</v>
      </c>
      <c r="R431" t="s">
        <v>305</v>
      </c>
      <c r="S431" t="s">
        <v>2860</v>
      </c>
      <c r="T431" t="s">
        <v>1048</v>
      </c>
      <c r="U431" t="s">
        <v>270</v>
      </c>
      <c r="V431" t="s">
        <v>2861</v>
      </c>
      <c r="W431" t="s">
        <v>247</v>
      </c>
      <c r="X431" t="s">
        <v>154</v>
      </c>
      <c r="Y431" t="b">
        <v>0</v>
      </c>
      <c r="Z431" t="s">
        <v>39</v>
      </c>
      <c r="AA431" t="s">
        <v>2862</v>
      </c>
      <c r="AB431" t="s">
        <v>41</v>
      </c>
      <c r="AC431">
        <f t="shared" si="6"/>
        <v>5</v>
      </c>
    </row>
    <row r="432" spans="1:29" x14ac:dyDescent="0.3">
      <c r="A432">
        <v>2472043</v>
      </c>
      <c r="B432" t="s">
        <v>3028</v>
      </c>
      <c r="C432" t="s">
        <v>29</v>
      </c>
      <c r="D432" t="s">
        <v>3029</v>
      </c>
      <c r="E432" t="s">
        <v>3029</v>
      </c>
      <c r="F432" s="1">
        <v>46091.404421296298</v>
      </c>
      <c r="G432" t="s">
        <v>31</v>
      </c>
      <c r="H432">
        <v>0</v>
      </c>
      <c r="I432">
        <v>34</v>
      </c>
      <c r="J432">
        <v>117</v>
      </c>
      <c r="K432">
        <v>151</v>
      </c>
      <c r="L432">
        <v>141</v>
      </c>
      <c r="M432">
        <v>508</v>
      </c>
      <c r="N432">
        <v>3456</v>
      </c>
      <c r="O432">
        <v>4</v>
      </c>
      <c r="P432">
        <v>5</v>
      </c>
      <c r="Q432">
        <v>5</v>
      </c>
      <c r="R432" t="s">
        <v>3030</v>
      </c>
      <c r="S432" t="s">
        <v>1040</v>
      </c>
      <c r="T432" t="s">
        <v>3031</v>
      </c>
      <c r="U432" t="s">
        <v>270</v>
      </c>
      <c r="V432" t="s">
        <v>3032</v>
      </c>
      <c r="W432" t="s">
        <v>247</v>
      </c>
      <c r="X432" t="s">
        <v>154</v>
      </c>
      <c r="Y432" t="b">
        <v>0</v>
      </c>
      <c r="Z432" t="s">
        <v>39</v>
      </c>
      <c r="AA432" t="s">
        <v>3033</v>
      </c>
      <c r="AB432" t="s">
        <v>41</v>
      </c>
      <c r="AC432">
        <f t="shared" si="6"/>
        <v>5</v>
      </c>
    </row>
    <row r="433" spans="1:29" x14ac:dyDescent="0.3">
      <c r="A433">
        <v>2472043</v>
      </c>
      <c r="B433" t="s">
        <v>3191</v>
      </c>
      <c r="C433" t="s">
        <v>29</v>
      </c>
      <c r="D433" t="s">
        <v>3192</v>
      </c>
      <c r="E433" t="s">
        <v>3193</v>
      </c>
      <c r="F433" s="1">
        <v>46091.500486111108</v>
      </c>
      <c r="G433" t="s">
        <v>31</v>
      </c>
      <c r="H433">
        <v>0</v>
      </c>
      <c r="I433">
        <v>201</v>
      </c>
      <c r="J433">
        <v>40</v>
      </c>
      <c r="K433">
        <v>241</v>
      </c>
      <c r="L433">
        <v>793</v>
      </c>
      <c r="M433">
        <v>162</v>
      </c>
      <c r="N433">
        <v>3623</v>
      </c>
      <c r="O433">
        <v>3</v>
      </c>
      <c r="P433">
        <v>5</v>
      </c>
      <c r="Q433">
        <v>4</v>
      </c>
      <c r="R433" t="s">
        <v>2461</v>
      </c>
      <c r="S433" t="s">
        <v>3194</v>
      </c>
      <c r="T433" t="s">
        <v>3195</v>
      </c>
      <c r="U433" t="s">
        <v>3196</v>
      </c>
      <c r="V433" t="s">
        <v>3197</v>
      </c>
      <c r="W433" t="s">
        <v>3198</v>
      </c>
      <c r="X433" t="s">
        <v>38</v>
      </c>
      <c r="Y433" t="b">
        <v>0</v>
      </c>
      <c r="Z433" t="s">
        <v>39</v>
      </c>
      <c r="AA433" t="s">
        <v>3199</v>
      </c>
      <c r="AB433" t="s">
        <v>41</v>
      </c>
      <c r="AC433">
        <f t="shared" si="6"/>
        <v>4</v>
      </c>
    </row>
    <row r="434" spans="1:29" x14ac:dyDescent="0.3">
      <c r="A434">
        <v>2472045</v>
      </c>
      <c r="B434" t="s">
        <v>868</v>
      </c>
      <c r="C434" t="s">
        <v>29</v>
      </c>
      <c r="D434" t="s">
        <v>869</v>
      </c>
      <c r="E434" t="s">
        <v>869</v>
      </c>
      <c r="F434" s="1">
        <v>46126.410138888888</v>
      </c>
      <c r="G434" t="s">
        <v>45</v>
      </c>
      <c r="H434">
        <v>0</v>
      </c>
      <c r="I434">
        <v>197</v>
      </c>
      <c r="J434">
        <v>145</v>
      </c>
      <c r="K434">
        <v>342</v>
      </c>
      <c r="L434">
        <v>590</v>
      </c>
      <c r="M434">
        <v>502</v>
      </c>
      <c r="N434">
        <v>846</v>
      </c>
      <c r="O434">
        <v>3</v>
      </c>
      <c r="P434">
        <v>4</v>
      </c>
      <c r="Q434">
        <v>4</v>
      </c>
      <c r="R434" t="s">
        <v>870</v>
      </c>
      <c r="S434" t="s">
        <v>124</v>
      </c>
      <c r="T434" t="s">
        <v>871</v>
      </c>
      <c r="U434" t="s">
        <v>872</v>
      </c>
      <c r="V434" t="s">
        <v>873</v>
      </c>
      <c r="W434" t="s">
        <v>874</v>
      </c>
      <c r="X434" t="s">
        <v>38</v>
      </c>
      <c r="Y434" t="b">
        <v>0</v>
      </c>
      <c r="Z434" t="s">
        <v>39</v>
      </c>
      <c r="AA434" t="s">
        <v>875</v>
      </c>
      <c r="AB434" t="s">
        <v>41</v>
      </c>
      <c r="AC434">
        <f t="shared" si="6"/>
        <v>4</v>
      </c>
    </row>
    <row r="435" spans="1:29" x14ac:dyDescent="0.3">
      <c r="A435">
        <v>2472045</v>
      </c>
      <c r="B435" t="s">
        <v>924</v>
      </c>
      <c r="C435" t="s">
        <v>29</v>
      </c>
      <c r="D435" t="s">
        <v>925</v>
      </c>
      <c r="E435" t="s">
        <v>925</v>
      </c>
      <c r="F435" s="1">
        <v>46126.440057870372</v>
      </c>
      <c r="G435" t="s">
        <v>45</v>
      </c>
      <c r="H435">
        <v>0</v>
      </c>
      <c r="I435">
        <v>75</v>
      </c>
      <c r="J435">
        <v>228</v>
      </c>
      <c r="K435">
        <v>303</v>
      </c>
      <c r="L435">
        <v>278</v>
      </c>
      <c r="M435">
        <v>733</v>
      </c>
      <c r="N435">
        <v>893</v>
      </c>
      <c r="O435">
        <v>4</v>
      </c>
      <c r="P435">
        <v>5</v>
      </c>
      <c r="Q435">
        <v>5</v>
      </c>
      <c r="R435" t="s">
        <v>926</v>
      </c>
      <c r="S435" t="s">
        <v>252</v>
      </c>
      <c r="T435" t="s">
        <v>927</v>
      </c>
      <c r="U435" t="s">
        <v>125</v>
      </c>
      <c r="V435" t="s">
        <v>928</v>
      </c>
      <c r="W435" t="s">
        <v>239</v>
      </c>
      <c r="X435" t="s">
        <v>154</v>
      </c>
      <c r="Y435" t="b">
        <v>0</v>
      </c>
      <c r="Z435" t="s">
        <v>39</v>
      </c>
      <c r="AA435" t="s">
        <v>929</v>
      </c>
      <c r="AB435" t="s">
        <v>41</v>
      </c>
      <c r="AC435">
        <f t="shared" si="6"/>
        <v>5</v>
      </c>
    </row>
    <row r="436" spans="1:29" x14ac:dyDescent="0.3">
      <c r="A436">
        <v>2472045</v>
      </c>
      <c r="B436" t="s">
        <v>999</v>
      </c>
      <c r="C436" t="s">
        <v>29</v>
      </c>
      <c r="D436" t="s">
        <v>1000</v>
      </c>
      <c r="E436" t="s">
        <v>1000</v>
      </c>
      <c r="F436" s="1">
        <v>46126.405856481477</v>
      </c>
      <c r="G436" t="s">
        <v>45</v>
      </c>
      <c r="H436">
        <v>0</v>
      </c>
      <c r="I436">
        <v>53</v>
      </c>
      <c r="J436">
        <v>80</v>
      </c>
      <c r="K436">
        <v>133</v>
      </c>
      <c r="L436">
        <v>202</v>
      </c>
      <c r="M436">
        <v>324</v>
      </c>
      <c r="N436">
        <v>955</v>
      </c>
      <c r="O436">
        <v>3</v>
      </c>
      <c r="P436">
        <v>4</v>
      </c>
      <c r="Q436">
        <v>4</v>
      </c>
      <c r="R436" t="s">
        <v>1001</v>
      </c>
      <c r="S436" t="s">
        <v>1002</v>
      </c>
      <c r="T436" t="s">
        <v>1003</v>
      </c>
      <c r="U436" t="s">
        <v>1004</v>
      </c>
      <c r="V436" t="s">
        <v>1005</v>
      </c>
      <c r="W436" t="s">
        <v>1006</v>
      </c>
      <c r="X436" t="s">
        <v>38</v>
      </c>
      <c r="Y436" t="b">
        <v>0</v>
      </c>
      <c r="Z436" t="s">
        <v>39</v>
      </c>
      <c r="AA436" t="s">
        <v>1007</v>
      </c>
      <c r="AB436" t="s">
        <v>41</v>
      </c>
      <c r="AC436">
        <f t="shared" si="6"/>
        <v>4</v>
      </c>
    </row>
    <row r="437" spans="1:29" x14ac:dyDescent="0.3">
      <c r="A437">
        <v>2472045</v>
      </c>
      <c r="B437" t="s">
        <v>1119</v>
      </c>
      <c r="C437" t="s">
        <v>29</v>
      </c>
      <c r="D437" t="s">
        <v>1120</v>
      </c>
      <c r="E437" t="s">
        <v>1120</v>
      </c>
      <c r="F437" s="1">
        <v>46126.441458333327</v>
      </c>
      <c r="G437" t="s">
        <v>45</v>
      </c>
      <c r="H437">
        <v>0</v>
      </c>
      <c r="I437">
        <v>93</v>
      </c>
      <c r="J437">
        <v>618</v>
      </c>
      <c r="K437">
        <v>711</v>
      </c>
      <c r="L437">
        <v>336</v>
      </c>
      <c r="M437">
        <v>2081</v>
      </c>
      <c r="N437">
        <v>1154</v>
      </c>
      <c r="O437">
        <v>4</v>
      </c>
      <c r="P437">
        <v>5</v>
      </c>
      <c r="Q437">
        <v>5</v>
      </c>
      <c r="R437" t="s">
        <v>1121</v>
      </c>
      <c r="S437" t="s">
        <v>387</v>
      </c>
      <c r="T437" t="s">
        <v>1122</v>
      </c>
      <c r="U437" t="s">
        <v>1123</v>
      </c>
      <c r="V437" t="s">
        <v>1124</v>
      </c>
      <c r="W437" t="s">
        <v>1125</v>
      </c>
      <c r="X437" t="s">
        <v>154</v>
      </c>
      <c r="Y437" t="b">
        <v>0</v>
      </c>
      <c r="Z437" t="s">
        <v>39</v>
      </c>
      <c r="AA437" t="s">
        <v>1126</v>
      </c>
      <c r="AB437" t="s">
        <v>41</v>
      </c>
      <c r="AC437">
        <f t="shared" si="6"/>
        <v>5</v>
      </c>
    </row>
    <row r="438" spans="1:29" x14ac:dyDescent="0.3">
      <c r="A438">
        <v>2472045</v>
      </c>
      <c r="B438" t="s">
        <v>1135</v>
      </c>
      <c r="C438" t="s">
        <v>29</v>
      </c>
      <c r="D438" t="s">
        <v>1136</v>
      </c>
      <c r="E438" t="s">
        <v>1136</v>
      </c>
      <c r="F438" s="1">
        <v>46091.526550925933</v>
      </c>
      <c r="G438" t="s">
        <v>31</v>
      </c>
      <c r="H438">
        <v>0</v>
      </c>
      <c r="I438">
        <v>118</v>
      </c>
      <c r="J438">
        <v>958</v>
      </c>
      <c r="K438">
        <v>1076</v>
      </c>
      <c r="L438">
        <v>272</v>
      </c>
      <c r="M438">
        <v>3324</v>
      </c>
      <c r="N438">
        <v>1180</v>
      </c>
      <c r="O438">
        <v>3</v>
      </c>
      <c r="P438">
        <v>4</v>
      </c>
      <c r="Q438">
        <v>3</v>
      </c>
      <c r="R438" t="s">
        <v>1137</v>
      </c>
      <c r="S438" t="s">
        <v>1138</v>
      </c>
      <c r="T438" t="s">
        <v>1139</v>
      </c>
      <c r="U438" t="s">
        <v>1140</v>
      </c>
      <c r="V438" t="s">
        <v>1141</v>
      </c>
      <c r="W438" t="s">
        <v>1142</v>
      </c>
      <c r="X438" t="s">
        <v>84</v>
      </c>
      <c r="Y438" t="b">
        <v>0</v>
      </c>
      <c r="Z438" t="s">
        <v>39</v>
      </c>
      <c r="AA438" t="s">
        <v>1143</v>
      </c>
      <c r="AB438" t="s">
        <v>41</v>
      </c>
      <c r="AC438">
        <f t="shared" si="6"/>
        <v>3</v>
      </c>
    </row>
    <row r="439" spans="1:29" x14ac:dyDescent="0.3">
      <c r="A439">
        <v>2472045</v>
      </c>
      <c r="B439" t="s">
        <v>2104</v>
      </c>
      <c r="C439" t="s">
        <v>29</v>
      </c>
      <c r="D439" t="s">
        <v>2105</v>
      </c>
      <c r="E439" t="s">
        <v>2105</v>
      </c>
      <c r="F439" s="1">
        <v>46126.448368055557</v>
      </c>
      <c r="G439" t="s">
        <v>45</v>
      </c>
      <c r="H439">
        <v>0</v>
      </c>
      <c r="I439">
        <v>133</v>
      </c>
      <c r="J439">
        <v>968</v>
      </c>
      <c r="K439">
        <v>1101</v>
      </c>
      <c r="L439">
        <v>532</v>
      </c>
      <c r="M439">
        <v>3624</v>
      </c>
      <c r="N439">
        <v>2402</v>
      </c>
      <c r="O439">
        <v>5</v>
      </c>
      <c r="P439">
        <v>5</v>
      </c>
      <c r="Q439">
        <v>5</v>
      </c>
      <c r="R439" t="s">
        <v>2106</v>
      </c>
      <c r="S439" t="s">
        <v>125</v>
      </c>
      <c r="T439" t="s">
        <v>2107</v>
      </c>
      <c r="U439" t="s">
        <v>125</v>
      </c>
      <c r="V439" t="s">
        <v>2108</v>
      </c>
      <c r="W439" t="s">
        <v>1982</v>
      </c>
      <c r="X439" t="s">
        <v>154</v>
      </c>
      <c r="Y439" t="b">
        <v>0</v>
      </c>
      <c r="Z439" t="s">
        <v>39</v>
      </c>
      <c r="AA439" t="s">
        <v>2109</v>
      </c>
      <c r="AB439" t="s">
        <v>41</v>
      </c>
      <c r="AC439">
        <f t="shared" si="6"/>
        <v>5</v>
      </c>
    </row>
    <row r="440" spans="1:29" x14ac:dyDescent="0.3">
      <c r="A440">
        <v>2472045</v>
      </c>
      <c r="B440" t="s">
        <v>2639</v>
      </c>
      <c r="C440" t="s">
        <v>29</v>
      </c>
      <c r="D440" t="s">
        <v>2640</v>
      </c>
      <c r="E440" t="s">
        <v>2640</v>
      </c>
      <c r="F440" s="1">
        <v>46126.451504629629</v>
      </c>
      <c r="G440" t="s">
        <v>45</v>
      </c>
      <c r="H440">
        <v>0</v>
      </c>
      <c r="I440">
        <v>167</v>
      </c>
      <c r="J440">
        <v>444</v>
      </c>
      <c r="K440">
        <v>611</v>
      </c>
      <c r="L440">
        <v>603</v>
      </c>
      <c r="M440">
        <v>1674</v>
      </c>
      <c r="N440">
        <v>2993</v>
      </c>
      <c r="O440">
        <v>4</v>
      </c>
      <c r="P440">
        <v>5</v>
      </c>
      <c r="Q440">
        <v>5</v>
      </c>
      <c r="R440" t="s">
        <v>2641</v>
      </c>
      <c r="S440" t="s">
        <v>2642</v>
      </c>
      <c r="T440" t="s">
        <v>2643</v>
      </c>
      <c r="U440" t="s">
        <v>2366</v>
      </c>
      <c r="V440" t="s">
        <v>2644</v>
      </c>
      <c r="W440" t="s">
        <v>2645</v>
      </c>
      <c r="X440" t="s">
        <v>154</v>
      </c>
      <c r="Y440" t="b">
        <v>0</v>
      </c>
      <c r="Z440" t="s">
        <v>39</v>
      </c>
      <c r="AA440" t="s">
        <v>2646</v>
      </c>
      <c r="AB440" t="s">
        <v>41</v>
      </c>
      <c r="AC440">
        <f t="shared" si="6"/>
        <v>5</v>
      </c>
    </row>
    <row r="441" spans="1:29" x14ac:dyDescent="0.3">
      <c r="A441">
        <v>2472045</v>
      </c>
      <c r="B441" t="s">
        <v>3589</v>
      </c>
      <c r="C441" t="s">
        <v>29</v>
      </c>
      <c r="D441" t="s">
        <v>3590</v>
      </c>
      <c r="E441" t="s">
        <v>3591</v>
      </c>
      <c r="F441" s="1">
        <v>46084.505208333343</v>
      </c>
      <c r="G441" t="s">
        <v>177</v>
      </c>
      <c r="H441">
        <v>0</v>
      </c>
      <c r="I441">
        <v>57</v>
      </c>
      <c r="J441">
        <v>53</v>
      </c>
      <c r="K441">
        <v>110</v>
      </c>
      <c r="L441">
        <v>229</v>
      </c>
      <c r="M441">
        <v>262</v>
      </c>
      <c r="N441">
        <v>4119</v>
      </c>
      <c r="O441">
        <v>4</v>
      </c>
      <c r="P441">
        <v>5</v>
      </c>
      <c r="Q441">
        <v>5</v>
      </c>
      <c r="R441" t="s">
        <v>3234</v>
      </c>
      <c r="S441" t="s">
        <v>1717</v>
      </c>
      <c r="T441" t="s">
        <v>3592</v>
      </c>
      <c r="U441" t="s">
        <v>125</v>
      </c>
      <c r="V441" t="s">
        <v>3593</v>
      </c>
      <c r="W441" t="s">
        <v>3594</v>
      </c>
      <c r="X441" t="s">
        <v>154</v>
      </c>
      <c r="Y441" t="b">
        <v>0</v>
      </c>
      <c r="Z441" t="s">
        <v>39</v>
      </c>
      <c r="AA441" t="s">
        <v>3595</v>
      </c>
      <c r="AB441" t="s">
        <v>41</v>
      </c>
      <c r="AC441">
        <f t="shared" si="6"/>
        <v>5</v>
      </c>
    </row>
    <row r="442" spans="1:29" x14ac:dyDescent="0.3">
      <c r="A442">
        <v>2472046</v>
      </c>
      <c r="B442" t="s">
        <v>366</v>
      </c>
      <c r="C442" t="s">
        <v>29</v>
      </c>
      <c r="D442" t="s">
        <v>367</v>
      </c>
      <c r="E442" t="s">
        <v>367</v>
      </c>
      <c r="F442" s="1">
        <v>46077.564942129633</v>
      </c>
      <c r="G442" t="s">
        <v>67</v>
      </c>
      <c r="H442">
        <v>0</v>
      </c>
      <c r="I442">
        <v>725</v>
      </c>
      <c r="J442">
        <v>518</v>
      </c>
      <c r="K442">
        <v>1243</v>
      </c>
      <c r="L442">
        <v>2495</v>
      </c>
      <c r="M442">
        <v>1770</v>
      </c>
      <c r="N442">
        <v>387</v>
      </c>
      <c r="O442">
        <v>3</v>
      </c>
      <c r="P442">
        <v>4</v>
      </c>
      <c r="Q442">
        <v>4</v>
      </c>
      <c r="R442" t="s">
        <v>368</v>
      </c>
      <c r="S442" t="s">
        <v>369</v>
      </c>
      <c r="T442" t="s">
        <v>370</v>
      </c>
      <c r="U442" t="s">
        <v>371</v>
      </c>
      <c r="V442" t="s">
        <v>372</v>
      </c>
      <c r="W442" t="s">
        <v>373</v>
      </c>
      <c r="X442" t="s">
        <v>38</v>
      </c>
      <c r="Y442" t="b">
        <v>0</v>
      </c>
      <c r="Z442" t="s">
        <v>39</v>
      </c>
      <c r="AA442" t="s">
        <v>374</v>
      </c>
      <c r="AB442" t="s">
        <v>41</v>
      </c>
      <c r="AC442">
        <f t="shared" si="6"/>
        <v>4</v>
      </c>
    </row>
    <row r="443" spans="1:29" x14ac:dyDescent="0.3">
      <c r="A443">
        <v>2472046</v>
      </c>
      <c r="B443" t="s">
        <v>610</v>
      </c>
      <c r="C443" t="s">
        <v>29</v>
      </c>
      <c r="D443" t="s">
        <v>611</v>
      </c>
      <c r="E443" t="s">
        <v>611</v>
      </c>
      <c r="F443" s="1">
        <v>46091.403738425928</v>
      </c>
      <c r="G443" t="s">
        <v>31</v>
      </c>
      <c r="H443">
        <v>0</v>
      </c>
      <c r="I443">
        <v>93</v>
      </c>
      <c r="J443">
        <v>94</v>
      </c>
      <c r="K443">
        <v>187</v>
      </c>
      <c r="L443">
        <v>320</v>
      </c>
      <c r="M443">
        <v>356</v>
      </c>
      <c r="N443">
        <v>585</v>
      </c>
      <c r="O443">
        <v>4</v>
      </c>
      <c r="P443">
        <v>5</v>
      </c>
      <c r="Q443">
        <v>4</v>
      </c>
      <c r="R443" t="s">
        <v>612</v>
      </c>
      <c r="S443" t="s">
        <v>613</v>
      </c>
      <c r="T443" t="s">
        <v>614</v>
      </c>
      <c r="U443" t="s">
        <v>125</v>
      </c>
      <c r="V443" t="s">
        <v>615</v>
      </c>
      <c r="W443" t="s">
        <v>616</v>
      </c>
      <c r="X443" t="s">
        <v>154</v>
      </c>
      <c r="Y443" t="b">
        <v>0</v>
      </c>
      <c r="Z443" t="s">
        <v>39</v>
      </c>
      <c r="AA443" t="s">
        <v>617</v>
      </c>
      <c r="AB443" t="s">
        <v>41</v>
      </c>
      <c r="AC443">
        <f t="shared" si="6"/>
        <v>5</v>
      </c>
    </row>
    <row r="444" spans="1:29" x14ac:dyDescent="0.3">
      <c r="A444">
        <v>2472046</v>
      </c>
      <c r="B444" t="s">
        <v>965</v>
      </c>
      <c r="C444" t="s">
        <v>29</v>
      </c>
      <c r="D444" t="s">
        <v>966</v>
      </c>
      <c r="E444" t="s">
        <v>966</v>
      </c>
      <c r="F444" s="1">
        <v>46077.561550925922</v>
      </c>
      <c r="G444" t="s">
        <v>67</v>
      </c>
      <c r="H444">
        <v>0</v>
      </c>
      <c r="I444">
        <v>41</v>
      </c>
      <c r="J444">
        <v>380</v>
      </c>
      <c r="K444">
        <v>421</v>
      </c>
      <c r="L444">
        <v>156</v>
      </c>
      <c r="M444">
        <v>1345</v>
      </c>
      <c r="N444">
        <v>928</v>
      </c>
      <c r="O444">
        <v>3</v>
      </c>
      <c r="P444">
        <v>4</v>
      </c>
      <c r="Q444">
        <v>4</v>
      </c>
      <c r="R444" t="s">
        <v>967</v>
      </c>
      <c r="S444" t="s">
        <v>968</v>
      </c>
      <c r="T444" t="s">
        <v>969</v>
      </c>
      <c r="U444" t="s">
        <v>970</v>
      </c>
      <c r="V444" t="s">
        <v>971</v>
      </c>
      <c r="W444" t="s">
        <v>972</v>
      </c>
      <c r="X444" t="s">
        <v>38</v>
      </c>
      <c r="Y444" t="b">
        <v>0</v>
      </c>
      <c r="Z444" t="s">
        <v>39</v>
      </c>
      <c r="AA444" t="s">
        <v>973</v>
      </c>
      <c r="AB444" t="s">
        <v>41</v>
      </c>
      <c r="AC444">
        <f t="shared" si="6"/>
        <v>4</v>
      </c>
    </row>
    <row r="445" spans="1:29" x14ac:dyDescent="0.3">
      <c r="A445">
        <v>2472046</v>
      </c>
      <c r="B445" t="s">
        <v>1029</v>
      </c>
      <c r="C445" t="s">
        <v>29</v>
      </c>
      <c r="D445" t="s">
        <v>1030</v>
      </c>
      <c r="E445" t="s">
        <v>1030</v>
      </c>
      <c r="F445" s="1">
        <v>46091.413240740738</v>
      </c>
      <c r="G445" t="s">
        <v>31</v>
      </c>
      <c r="H445">
        <v>0</v>
      </c>
      <c r="I445">
        <v>113</v>
      </c>
      <c r="J445">
        <v>306</v>
      </c>
      <c r="K445">
        <v>419</v>
      </c>
      <c r="L445">
        <v>397</v>
      </c>
      <c r="M445">
        <v>1123</v>
      </c>
      <c r="N445">
        <v>1021</v>
      </c>
      <c r="O445">
        <v>3</v>
      </c>
      <c r="P445">
        <v>4</v>
      </c>
      <c r="Q445">
        <v>4</v>
      </c>
      <c r="R445" t="s">
        <v>1031</v>
      </c>
      <c r="S445" t="s">
        <v>1032</v>
      </c>
      <c r="T445" t="s">
        <v>160</v>
      </c>
      <c r="U445" t="s">
        <v>1033</v>
      </c>
      <c r="V445" t="s">
        <v>1034</v>
      </c>
      <c r="W445" t="s">
        <v>1035</v>
      </c>
      <c r="X445" t="s">
        <v>38</v>
      </c>
      <c r="Y445" t="b">
        <v>0</v>
      </c>
      <c r="Z445" t="s">
        <v>39</v>
      </c>
      <c r="AA445" t="s">
        <v>1036</v>
      </c>
      <c r="AB445" t="s">
        <v>41</v>
      </c>
      <c r="AC445">
        <f t="shared" si="6"/>
        <v>4</v>
      </c>
    </row>
    <row r="446" spans="1:29" x14ac:dyDescent="0.3">
      <c r="A446">
        <v>2472046</v>
      </c>
      <c r="B446" t="s">
        <v>2250</v>
      </c>
      <c r="C446" t="s">
        <v>29</v>
      </c>
      <c r="D446" t="s">
        <v>2251</v>
      </c>
      <c r="E446" t="s">
        <v>2251</v>
      </c>
      <c r="F446" s="1">
        <v>46091.494490740741</v>
      </c>
      <c r="G446" t="s">
        <v>31</v>
      </c>
      <c r="H446">
        <v>0</v>
      </c>
      <c r="I446">
        <v>124</v>
      </c>
      <c r="J446">
        <v>263</v>
      </c>
      <c r="K446">
        <v>387</v>
      </c>
      <c r="L446">
        <v>479</v>
      </c>
      <c r="M446">
        <v>888</v>
      </c>
      <c r="N446">
        <v>2580</v>
      </c>
      <c r="O446">
        <v>4</v>
      </c>
      <c r="P446">
        <v>5</v>
      </c>
      <c r="Q446">
        <v>4</v>
      </c>
      <c r="R446" t="s">
        <v>2252</v>
      </c>
      <c r="S446" t="s">
        <v>2253</v>
      </c>
      <c r="T446" t="s">
        <v>2254</v>
      </c>
      <c r="U446" t="s">
        <v>2255</v>
      </c>
      <c r="V446" t="s">
        <v>2256</v>
      </c>
      <c r="W446" t="s">
        <v>2257</v>
      </c>
      <c r="X446" t="s">
        <v>38</v>
      </c>
      <c r="Y446" t="b">
        <v>0</v>
      </c>
      <c r="Z446" t="s">
        <v>39</v>
      </c>
      <c r="AA446" t="s">
        <v>2258</v>
      </c>
      <c r="AB446" t="s">
        <v>41</v>
      </c>
      <c r="AC446">
        <f t="shared" si="6"/>
        <v>4</v>
      </c>
    </row>
    <row r="447" spans="1:29" x14ac:dyDescent="0.3">
      <c r="A447">
        <v>2472046</v>
      </c>
      <c r="B447" t="s">
        <v>2719</v>
      </c>
      <c r="C447" t="s">
        <v>29</v>
      </c>
      <c r="D447" t="s">
        <v>2720</v>
      </c>
      <c r="E447" t="s">
        <v>2721</v>
      </c>
      <c r="F447" s="1">
        <v>46084.485023148147</v>
      </c>
      <c r="G447" t="s">
        <v>177</v>
      </c>
      <c r="H447">
        <v>0</v>
      </c>
      <c r="I447">
        <v>50</v>
      </c>
      <c r="J447">
        <v>18</v>
      </c>
      <c r="K447">
        <v>68</v>
      </c>
      <c r="L447">
        <v>176</v>
      </c>
      <c r="M447">
        <v>64</v>
      </c>
      <c r="N447">
        <v>3079</v>
      </c>
      <c r="O447">
        <v>4</v>
      </c>
      <c r="P447">
        <v>5</v>
      </c>
      <c r="Q447">
        <v>4</v>
      </c>
      <c r="R447" t="s">
        <v>139</v>
      </c>
      <c r="S447" t="s">
        <v>1483</v>
      </c>
      <c r="T447" t="s">
        <v>2722</v>
      </c>
      <c r="U447" t="s">
        <v>125</v>
      </c>
      <c r="V447" t="s">
        <v>2723</v>
      </c>
      <c r="W447" t="s">
        <v>2724</v>
      </c>
      <c r="X447" t="s">
        <v>38</v>
      </c>
      <c r="Y447" t="b">
        <v>0</v>
      </c>
      <c r="Z447" t="s">
        <v>39</v>
      </c>
      <c r="AA447" t="s">
        <v>2725</v>
      </c>
      <c r="AB447" t="s">
        <v>41</v>
      </c>
      <c r="AC447">
        <f t="shared" si="6"/>
        <v>4</v>
      </c>
    </row>
    <row r="448" spans="1:29" x14ac:dyDescent="0.3">
      <c r="A448">
        <v>2472046</v>
      </c>
      <c r="B448" t="s">
        <v>3741</v>
      </c>
      <c r="C448" t="s">
        <v>29</v>
      </c>
      <c r="D448" t="s">
        <v>3742</v>
      </c>
      <c r="E448" t="s">
        <v>3742</v>
      </c>
      <c r="F448" s="1">
        <v>46084.508321759262</v>
      </c>
      <c r="G448" t="s">
        <v>177</v>
      </c>
      <c r="H448">
        <v>0</v>
      </c>
      <c r="I448">
        <v>181</v>
      </c>
      <c r="J448">
        <v>266</v>
      </c>
      <c r="K448">
        <v>447</v>
      </c>
      <c r="L448">
        <v>531</v>
      </c>
      <c r="M448">
        <v>867</v>
      </c>
      <c r="N448">
        <v>4304</v>
      </c>
      <c r="O448">
        <v>4</v>
      </c>
      <c r="P448">
        <v>5</v>
      </c>
      <c r="Q448">
        <v>4</v>
      </c>
      <c r="R448" t="s">
        <v>3743</v>
      </c>
      <c r="S448" t="s">
        <v>3744</v>
      </c>
      <c r="T448" t="s">
        <v>3745</v>
      </c>
      <c r="U448" t="s">
        <v>3746</v>
      </c>
      <c r="V448" t="s">
        <v>3747</v>
      </c>
      <c r="W448" t="s">
        <v>3748</v>
      </c>
      <c r="X448" t="s">
        <v>38</v>
      </c>
      <c r="Y448" t="b">
        <v>0</v>
      </c>
      <c r="Z448" t="s">
        <v>39</v>
      </c>
      <c r="AA448" t="s">
        <v>3749</v>
      </c>
      <c r="AB448" t="s">
        <v>41</v>
      </c>
      <c r="AC448">
        <f t="shared" si="6"/>
        <v>4</v>
      </c>
    </row>
    <row r="449" spans="1:29" x14ac:dyDescent="0.3">
      <c r="A449">
        <v>2472048</v>
      </c>
      <c r="B449" t="s">
        <v>700</v>
      </c>
      <c r="C449" t="s">
        <v>29</v>
      </c>
      <c r="D449" t="s">
        <v>701</v>
      </c>
      <c r="E449" t="s">
        <v>701</v>
      </c>
      <c r="F449" s="1">
        <v>46119.526724537027</v>
      </c>
      <c r="G449" t="s">
        <v>56</v>
      </c>
      <c r="H449">
        <v>0</v>
      </c>
      <c r="I449">
        <v>623</v>
      </c>
      <c r="J449">
        <v>378</v>
      </c>
      <c r="K449">
        <v>1001</v>
      </c>
      <c r="L449">
        <v>2163</v>
      </c>
      <c r="M449">
        <v>1364</v>
      </c>
      <c r="N449">
        <v>738</v>
      </c>
      <c r="O449">
        <v>4</v>
      </c>
      <c r="P449">
        <v>4</v>
      </c>
      <c r="Q449">
        <v>4</v>
      </c>
      <c r="R449" t="s">
        <v>702</v>
      </c>
      <c r="S449" t="s">
        <v>703</v>
      </c>
      <c r="T449" t="s">
        <v>704</v>
      </c>
      <c r="U449" t="s">
        <v>705</v>
      </c>
      <c r="V449" t="s">
        <v>706</v>
      </c>
      <c r="W449" t="s">
        <v>707</v>
      </c>
      <c r="X449" t="s">
        <v>38</v>
      </c>
      <c r="Y449" t="b">
        <v>0</v>
      </c>
      <c r="Z449" t="s">
        <v>39</v>
      </c>
      <c r="AA449" t="s">
        <v>708</v>
      </c>
      <c r="AB449" t="s">
        <v>41</v>
      </c>
      <c r="AC449">
        <f t="shared" si="6"/>
        <v>4</v>
      </c>
    </row>
    <row r="450" spans="1:29" x14ac:dyDescent="0.3">
      <c r="A450">
        <v>2472048</v>
      </c>
      <c r="B450" t="s">
        <v>860</v>
      </c>
      <c r="C450" t="s">
        <v>29</v>
      </c>
      <c r="D450" t="s">
        <v>861</v>
      </c>
      <c r="E450" t="s">
        <v>861</v>
      </c>
      <c r="F450" s="1">
        <v>46112.520682870367</v>
      </c>
      <c r="G450" t="s">
        <v>304</v>
      </c>
      <c r="H450">
        <v>0</v>
      </c>
      <c r="I450">
        <v>29</v>
      </c>
      <c r="J450">
        <v>597</v>
      </c>
      <c r="K450">
        <v>626</v>
      </c>
      <c r="L450">
        <v>133</v>
      </c>
      <c r="M450">
        <v>2343</v>
      </c>
      <c r="N450">
        <v>845</v>
      </c>
      <c r="O450">
        <v>4</v>
      </c>
      <c r="P450">
        <v>5</v>
      </c>
      <c r="Q450">
        <v>5</v>
      </c>
      <c r="R450" t="s">
        <v>862</v>
      </c>
      <c r="S450" t="s">
        <v>863</v>
      </c>
      <c r="T450" t="s">
        <v>864</v>
      </c>
      <c r="U450" t="s">
        <v>865</v>
      </c>
      <c r="V450" t="s">
        <v>866</v>
      </c>
      <c r="W450" t="s">
        <v>443</v>
      </c>
      <c r="X450" t="s">
        <v>154</v>
      </c>
      <c r="Y450" t="b">
        <v>0</v>
      </c>
      <c r="Z450" t="s">
        <v>39</v>
      </c>
      <c r="AA450" t="s">
        <v>867</v>
      </c>
      <c r="AB450" t="s">
        <v>41</v>
      </c>
      <c r="AC450">
        <f t="shared" si="6"/>
        <v>5</v>
      </c>
    </row>
    <row r="451" spans="1:29" x14ac:dyDescent="0.3">
      <c r="A451">
        <v>2472048</v>
      </c>
      <c r="B451" t="s">
        <v>1094</v>
      </c>
      <c r="C451" t="s">
        <v>29</v>
      </c>
      <c r="D451" t="s">
        <v>1095</v>
      </c>
      <c r="E451" t="s">
        <v>1096</v>
      </c>
      <c r="F451" s="1">
        <v>46126.459398148138</v>
      </c>
      <c r="G451" t="s">
        <v>45</v>
      </c>
      <c r="H451">
        <v>0</v>
      </c>
      <c r="I451">
        <v>307</v>
      </c>
      <c r="J451">
        <v>1039</v>
      </c>
      <c r="K451">
        <v>1346</v>
      </c>
      <c r="L451">
        <v>1447</v>
      </c>
      <c r="M451">
        <v>3579</v>
      </c>
      <c r="N451">
        <v>1105</v>
      </c>
      <c r="O451">
        <v>3</v>
      </c>
      <c r="P451">
        <v>2</v>
      </c>
      <c r="Q451">
        <v>2</v>
      </c>
      <c r="R451" t="s">
        <v>1097</v>
      </c>
      <c r="S451" t="s">
        <v>1098</v>
      </c>
      <c r="T451" t="s">
        <v>1099</v>
      </c>
      <c r="U451" t="s">
        <v>1100</v>
      </c>
      <c r="V451" t="s">
        <v>1101</v>
      </c>
      <c r="W451" t="s">
        <v>1102</v>
      </c>
      <c r="X451" t="s">
        <v>84</v>
      </c>
      <c r="Y451" t="b">
        <v>0</v>
      </c>
      <c r="Z451" t="s">
        <v>39</v>
      </c>
      <c r="AA451" t="s">
        <v>1103</v>
      </c>
      <c r="AB451" t="s">
        <v>41</v>
      </c>
      <c r="AC451">
        <f t="shared" ref="AC451:AC514" si="7">IF(LOWER(TRIM(X451))="excellent",5,
 IF(LOWER(TRIM(X451))="good",4,
 IF(LOWER(TRIM(X451))="fair",3,
 IF(LOWER(TRIM(X451))="poor",2,
 IF(LOWER(TRIM(X451))="weak",1,0)))))</f>
        <v>3</v>
      </c>
    </row>
    <row r="452" spans="1:29" x14ac:dyDescent="0.3">
      <c r="A452">
        <v>2472048</v>
      </c>
      <c r="B452" t="s">
        <v>1412</v>
      </c>
      <c r="C452" t="s">
        <v>29</v>
      </c>
      <c r="D452" t="s">
        <v>1413</v>
      </c>
      <c r="E452" t="s">
        <v>1413</v>
      </c>
      <c r="F452" s="1">
        <v>46119.532129629632</v>
      </c>
      <c r="G452" t="s">
        <v>56</v>
      </c>
      <c r="H452">
        <v>0</v>
      </c>
      <c r="I452">
        <v>781</v>
      </c>
      <c r="J452">
        <v>370</v>
      </c>
      <c r="K452">
        <v>1151</v>
      </c>
      <c r="L452">
        <v>2744</v>
      </c>
      <c r="M452">
        <v>1368</v>
      </c>
      <c r="N452">
        <v>1524</v>
      </c>
      <c r="O452">
        <v>4</v>
      </c>
      <c r="P452">
        <v>5</v>
      </c>
      <c r="Q452">
        <v>5</v>
      </c>
      <c r="R452" t="s">
        <v>1414</v>
      </c>
      <c r="S452" t="s">
        <v>1415</v>
      </c>
      <c r="T452" t="s">
        <v>1416</v>
      </c>
      <c r="U452" t="s">
        <v>1417</v>
      </c>
      <c r="V452" t="s">
        <v>1418</v>
      </c>
      <c r="W452" t="s">
        <v>1419</v>
      </c>
      <c r="X452" t="s">
        <v>154</v>
      </c>
      <c r="Y452" t="b">
        <v>0</v>
      </c>
      <c r="Z452" t="s">
        <v>39</v>
      </c>
      <c r="AA452" t="s">
        <v>1420</v>
      </c>
      <c r="AB452" t="s">
        <v>41</v>
      </c>
      <c r="AC452">
        <f t="shared" si="7"/>
        <v>5</v>
      </c>
    </row>
    <row r="453" spans="1:29" x14ac:dyDescent="0.3">
      <c r="A453">
        <v>2472048</v>
      </c>
      <c r="B453" t="s">
        <v>1723</v>
      </c>
      <c r="C453" t="s">
        <v>29</v>
      </c>
      <c r="D453" t="s">
        <v>1724</v>
      </c>
      <c r="E453" t="s">
        <v>1725</v>
      </c>
      <c r="F453" s="1">
        <v>46126.468842592592</v>
      </c>
      <c r="G453" t="s">
        <v>45</v>
      </c>
      <c r="H453">
        <v>0</v>
      </c>
      <c r="I453">
        <v>366</v>
      </c>
      <c r="J453">
        <v>507</v>
      </c>
      <c r="K453">
        <v>873</v>
      </c>
      <c r="L453">
        <v>1340</v>
      </c>
      <c r="M453">
        <v>2133</v>
      </c>
      <c r="N453">
        <v>1937</v>
      </c>
      <c r="O453">
        <v>4</v>
      </c>
      <c r="P453">
        <v>5</v>
      </c>
      <c r="Q453">
        <v>4</v>
      </c>
      <c r="R453" t="s">
        <v>1726</v>
      </c>
      <c r="S453" t="s">
        <v>1727</v>
      </c>
      <c r="T453" t="s">
        <v>1728</v>
      </c>
      <c r="U453" t="s">
        <v>1729</v>
      </c>
      <c r="V453" t="s">
        <v>1730</v>
      </c>
      <c r="W453" t="s">
        <v>1731</v>
      </c>
      <c r="X453" t="s">
        <v>38</v>
      </c>
      <c r="Y453" t="b">
        <v>0</v>
      </c>
      <c r="Z453" t="s">
        <v>39</v>
      </c>
      <c r="AA453" t="s">
        <v>1732</v>
      </c>
      <c r="AB453" t="s">
        <v>41</v>
      </c>
      <c r="AC453">
        <f t="shared" si="7"/>
        <v>4</v>
      </c>
    </row>
    <row r="454" spans="1:29" x14ac:dyDescent="0.3">
      <c r="A454">
        <v>2472048</v>
      </c>
      <c r="B454" t="s">
        <v>2110</v>
      </c>
      <c r="C454" t="s">
        <v>29</v>
      </c>
      <c r="D454" t="s">
        <v>2111</v>
      </c>
      <c r="E454" t="s">
        <v>2111</v>
      </c>
      <c r="F454" s="1">
        <v>46084.49496527778</v>
      </c>
      <c r="G454" t="s">
        <v>177</v>
      </c>
      <c r="H454">
        <v>0</v>
      </c>
      <c r="I454">
        <v>117</v>
      </c>
      <c r="J454">
        <v>156</v>
      </c>
      <c r="K454">
        <v>273</v>
      </c>
      <c r="L454">
        <v>474</v>
      </c>
      <c r="M454">
        <v>589</v>
      </c>
      <c r="N454">
        <v>2407</v>
      </c>
      <c r="O454">
        <v>4</v>
      </c>
      <c r="P454">
        <v>5</v>
      </c>
      <c r="Q454">
        <v>5</v>
      </c>
      <c r="R454" t="s">
        <v>139</v>
      </c>
      <c r="S454" t="s">
        <v>2112</v>
      </c>
      <c r="T454" t="s">
        <v>307</v>
      </c>
      <c r="U454" t="s">
        <v>125</v>
      </c>
      <c r="V454" t="s">
        <v>2113</v>
      </c>
      <c r="W454" t="s">
        <v>239</v>
      </c>
      <c r="X454" t="s">
        <v>154</v>
      </c>
      <c r="Y454" t="b">
        <v>0</v>
      </c>
      <c r="Z454" t="s">
        <v>39</v>
      </c>
      <c r="AA454" t="s">
        <v>2114</v>
      </c>
      <c r="AB454" t="s">
        <v>41</v>
      </c>
      <c r="AC454">
        <f t="shared" si="7"/>
        <v>5</v>
      </c>
    </row>
    <row r="455" spans="1:29" x14ac:dyDescent="0.3">
      <c r="A455">
        <v>2472048</v>
      </c>
      <c r="B455" t="s">
        <v>3185</v>
      </c>
      <c r="C455" t="s">
        <v>29</v>
      </c>
      <c r="D455" t="s">
        <v>3186</v>
      </c>
      <c r="E455" t="s">
        <v>3187</v>
      </c>
      <c r="F455" s="1">
        <v>46098.528958333343</v>
      </c>
      <c r="G455" t="s">
        <v>138</v>
      </c>
      <c r="H455">
        <v>0</v>
      </c>
      <c r="I455">
        <v>79</v>
      </c>
      <c r="J455">
        <v>132</v>
      </c>
      <c r="K455">
        <v>211</v>
      </c>
      <c r="L455">
        <v>315</v>
      </c>
      <c r="M455">
        <v>487</v>
      </c>
      <c r="N455">
        <v>3609</v>
      </c>
      <c r="O455">
        <v>4</v>
      </c>
      <c r="P455">
        <v>5</v>
      </c>
      <c r="Q455">
        <v>5</v>
      </c>
      <c r="R455" t="s">
        <v>139</v>
      </c>
      <c r="S455" t="s">
        <v>252</v>
      </c>
      <c r="T455" t="s">
        <v>379</v>
      </c>
      <c r="U455" t="s">
        <v>125</v>
      </c>
      <c r="V455" t="s">
        <v>3188</v>
      </c>
      <c r="W455" t="s">
        <v>3189</v>
      </c>
      <c r="X455" t="s">
        <v>154</v>
      </c>
      <c r="Y455" t="b">
        <v>0</v>
      </c>
      <c r="Z455" t="s">
        <v>39</v>
      </c>
      <c r="AA455" t="s">
        <v>3190</v>
      </c>
      <c r="AB455" t="s">
        <v>41</v>
      </c>
      <c r="AC455">
        <f t="shared" si="7"/>
        <v>5</v>
      </c>
    </row>
    <row r="456" spans="1:29" x14ac:dyDescent="0.3">
      <c r="A456">
        <v>2472048</v>
      </c>
      <c r="B456" t="s">
        <v>3575</v>
      </c>
      <c r="C456" t="s">
        <v>29</v>
      </c>
      <c r="D456" t="s">
        <v>3576</v>
      </c>
      <c r="E456" t="s">
        <v>3576</v>
      </c>
      <c r="F456" s="1">
        <v>46119.522685185177</v>
      </c>
      <c r="G456" t="s">
        <v>56</v>
      </c>
      <c r="H456">
        <v>0</v>
      </c>
      <c r="I456">
        <v>593</v>
      </c>
      <c r="J456">
        <v>377</v>
      </c>
      <c r="K456">
        <v>970</v>
      </c>
      <c r="L456">
        <v>1965</v>
      </c>
      <c r="M456">
        <v>1324</v>
      </c>
      <c r="N456">
        <v>4077</v>
      </c>
      <c r="O456">
        <v>4</v>
      </c>
      <c r="P456">
        <v>5</v>
      </c>
      <c r="Q456">
        <v>5</v>
      </c>
      <c r="R456" t="s">
        <v>3577</v>
      </c>
      <c r="S456" t="s">
        <v>140</v>
      </c>
      <c r="T456" t="s">
        <v>3578</v>
      </c>
      <c r="U456" t="s">
        <v>151</v>
      </c>
      <c r="V456" t="s">
        <v>3579</v>
      </c>
      <c r="W456" t="s">
        <v>3580</v>
      </c>
      <c r="X456" t="s">
        <v>154</v>
      </c>
      <c r="Y456" t="b">
        <v>0</v>
      </c>
      <c r="Z456" t="s">
        <v>39</v>
      </c>
      <c r="AA456" t="s">
        <v>3581</v>
      </c>
      <c r="AB456" t="s">
        <v>41</v>
      </c>
      <c r="AC456">
        <f t="shared" si="7"/>
        <v>5</v>
      </c>
    </row>
    <row r="457" spans="1:29" x14ac:dyDescent="0.3">
      <c r="A457">
        <v>2472048</v>
      </c>
      <c r="B457" t="s">
        <v>4056</v>
      </c>
      <c r="C457" t="s">
        <v>29</v>
      </c>
      <c r="D457" t="s">
        <v>4057</v>
      </c>
      <c r="E457" t="s">
        <v>4057</v>
      </c>
      <c r="F457" s="1">
        <v>46091.529317129629</v>
      </c>
      <c r="G457" t="s">
        <v>31</v>
      </c>
      <c r="H457">
        <v>0</v>
      </c>
      <c r="I457">
        <v>70</v>
      </c>
      <c r="J457">
        <v>114</v>
      </c>
      <c r="K457">
        <v>184</v>
      </c>
      <c r="L457">
        <v>312</v>
      </c>
      <c r="M457">
        <v>490</v>
      </c>
      <c r="N457">
        <v>4755</v>
      </c>
      <c r="O457">
        <v>4</v>
      </c>
      <c r="P457">
        <v>5</v>
      </c>
      <c r="Q457">
        <v>5</v>
      </c>
      <c r="R457" t="s">
        <v>3141</v>
      </c>
      <c r="S457" t="s">
        <v>3754</v>
      </c>
      <c r="T457" t="s">
        <v>4058</v>
      </c>
      <c r="U457" t="s">
        <v>125</v>
      </c>
      <c r="V457" t="s">
        <v>4059</v>
      </c>
      <c r="W457" t="s">
        <v>337</v>
      </c>
      <c r="X457" t="s">
        <v>154</v>
      </c>
      <c r="Y457" t="b">
        <v>0</v>
      </c>
      <c r="Z457" t="s">
        <v>39</v>
      </c>
      <c r="AA457" t="s">
        <v>4060</v>
      </c>
      <c r="AB457" t="s">
        <v>41</v>
      </c>
      <c r="AC457">
        <f t="shared" si="7"/>
        <v>5</v>
      </c>
    </row>
    <row r="458" spans="1:29" x14ac:dyDescent="0.3">
      <c r="A458">
        <v>2472048</v>
      </c>
      <c r="B458" t="s">
        <v>4197</v>
      </c>
      <c r="C458" t="s">
        <v>29</v>
      </c>
      <c r="D458" t="s">
        <v>4198</v>
      </c>
      <c r="E458" t="s">
        <v>4198</v>
      </c>
      <c r="F458" s="1">
        <v>46077.573425925933</v>
      </c>
      <c r="G458" t="s">
        <v>67</v>
      </c>
      <c r="H458">
        <v>0</v>
      </c>
      <c r="I458">
        <v>300</v>
      </c>
      <c r="J458">
        <v>245</v>
      </c>
      <c r="K458">
        <v>545</v>
      </c>
      <c r="L458">
        <v>1347</v>
      </c>
      <c r="M458">
        <v>948</v>
      </c>
      <c r="N458">
        <v>4917</v>
      </c>
      <c r="O458">
        <v>4</v>
      </c>
      <c r="P458">
        <v>5</v>
      </c>
      <c r="Q458">
        <v>5</v>
      </c>
      <c r="R458" t="s">
        <v>4199</v>
      </c>
      <c r="S458" t="s">
        <v>1919</v>
      </c>
      <c r="T458" t="s">
        <v>4200</v>
      </c>
      <c r="U458" t="s">
        <v>4201</v>
      </c>
      <c r="V458" t="s">
        <v>4202</v>
      </c>
      <c r="W458" t="s">
        <v>202</v>
      </c>
      <c r="X458" t="s">
        <v>154</v>
      </c>
      <c r="Y458" t="b">
        <v>0</v>
      </c>
      <c r="Z458" t="s">
        <v>39</v>
      </c>
      <c r="AA458" t="s">
        <v>4203</v>
      </c>
      <c r="AB458" t="s">
        <v>41</v>
      </c>
      <c r="AC458">
        <f t="shared" si="7"/>
        <v>5</v>
      </c>
    </row>
    <row r="459" spans="1:29" x14ac:dyDescent="0.3">
      <c r="A459">
        <v>2472051</v>
      </c>
      <c r="B459" t="s">
        <v>600</v>
      </c>
      <c r="C459" t="s">
        <v>29</v>
      </c>
      <c r="D459" t="s">
        <v>601</v>
      </c>
      <c r="E459" t="s">
        <v>602</v>
      </c>
      <c r="F459" s="1">
        <v>46127.625</v>
      </c>
      <c r="G459" t="s">
        <v>45</v>
      </c>
      <c r="H459">
        <v>0</v>
      </c>
      <c r="I459">
        <v>130</v>
      </c>
      <c r="J459">
        <v>1037</v>
      </c>
      <c r="K459">
        <v>1167</v>
      </c>
      <c r="L459">
        <v>462</v>
      </c>
      <c r="M459">
        <v>3984</v>
      </c>
      <c r="N459">
        <v>579</v>
      </c>
      <c r="O459">
        <v>3</v>
      </c>
      <c r="P459">
        <v>4</v>
      </c>
      <c r="Q459">
        <v>3</v>
      </c>
      <c r="R459" t="s">
        <v>603</v>
      </c>
      <c r="S459" t="s">
        <v>604</v>
      </c>
      <c r="T459" t="s">
        <v>605</v>
      </c>
      <c r="U459" t="s">
        <v>606</v>
      </c>
      <c r="V459" t="s">
        <v>607</v>
      </c>
      <c r="W459" t="s">
        <v>608</v>
      </c>
      <c r="X459" t="s">
        <v>84</v>
      </c>
      <c r="Y459" t="b">
        <v>0</v>
      </c>
      <c r="Z459" t="s">
        <v>39</v>
      </c>
      <c r="AA459" t="s">
        <v>609</v>
      </c>
      <c r="AB459" t="s">
        <v>41</v>
      </c>
      <c r="AC459">
        <f t="shared" si="7"/>
        <v>3</v>
      </c>
    </row>
    <row r="460" spans="1:29" x14ac:dyDescent="0.3">
      <c r="A460">
        <v>2472051</v>
      </c>
      <c r="B460" t="s">
        <v>1456</v>
      </c>
      <c r="C460" t="s">
        <v>29</v>
      </c>
      <c r="D460" t="s">
        <v>1457</v>
      </c>
      <c r="E460" t="s">
        <v>1458</v>
      </c>
      <c r="F460" s="1">
        <v>46078.669606481482</v>
      </c>
      <c r="G460" t="s">
        <v>67</v>
      </c>
      <c r="H460">
        <v>0</v>
      </c>
      <c r="I460">
        <v>27</v>
      </c>
      <c r="J460">
        <v>266</v>
      </c>
      <c r="K460">
        <v>293</v>
      </c>
      <c r="L460">
        <v>122</v>
      </c>
      <c r="M460">
        <v>911</v>
      </c>
      <c r="N460">
        <v>1575</v>
      </c>
      <c r="O460">
        <v>3</v>
      </c>
      <c r="P460">
        <v>5</v>
      </c>
      <c r="Q460">
        <v>4</v>
      </c>
      <c r="R460" t="s">
        <v>1459</v>
      </c>
      <c r="S460" t="s">
        <v>1460</v>
      </c>
      <c r="T460" t="s">
        <v>1461</v>
      </c>
      <c r="U460" t="s">
        <v>1462</v>
      </c>
      <c r="V460" t="s">
        <v>1463</v>
      </c>
      <c r="W460" t="s">
        <v>1464</v>
      </c>
      <c r="X460" t="s">
        <v>38</v>
      </c>
      <c r="Y460" t="b">
        <v>0</v>
      </c>
      <c r="Z460" t="s">
        <v>39</v>
      </c>
      <c r="AA460" t="s">
        <v>1465</v>
      </c>
      <c r="AB460" t="s">
        <v>41</v>
      </c>
      <c r="AC460">
        <f t="shared" si="7"/>
        <v>4</v>
      </c>
    </row>
    <row r="461" spans="1:29" x14ac:dyDescent="0.3">
      <c r="A461">
        <v>2472051</v>
      </c>
      <c r="B461" t="s">
        <v>2695</v>
      </c>
      <c r="C461" t="s">
        <v>29</v>
      </c>
      <c r="D461" t="s">
        <v>2696</v>
      </c>
      <c r="E461" t="s">
        <v>2697</v>
      </c>
      <c r="F461" s="1">
        <v>46099.647337962961</v>
      </c>
      <c r="G461" t="s">
        <v>138</v>
      </c>
      <c r="H461">
        <v>0</v>
      </c>
      <c r="I461">
        <v>29</v>
      </c>
      <c r="J461">
        <v>82</v>
      </c>
      <c r="K461">
        <v>111</v>
      </c>
      <c r="L461">
        <v>128</v>
      </c>
      <c r="M461">
        <v>300</v>
      </c>
      <c r="N461">
        <v>3049</v>
      </c>
      <c r="O461">
        <v>4</v>
      </c>
      <c r="P461">
        <v>5</v>
      </c>
      <c r="Q461">
        <v>5</v>
      </c>
      <c r="R461" t="s">
        <v>2698</v>
      </c>
      <c r="S461" t="s">
        <v>2699</v>
      </c>
      <c r="T461" t="s">
        <v>2700</v>
      </c>
      <c r="U461" t="s">
        <v>487</v>
      </c>
      <c r="V461" t="s">
        <v>2701</v>
      </c>
      <c r="W461" t="s">
        <v>183</v>
      </c>
      <c r="X461" t="s">
        <v>154</v>
      </c>
      <c r="Y461" t="b">
        <v>0</v>
      </c>
      <c r="Z461" t="s">
        <v>39</v>
      </c>
      <c r="AA461" t="s">
        <v>2702</v>
      </c>
      <c r="AB461" t="s">
        <v>41</v>
      </c>
      <c r="AC461">
        <f t="shared" si="7"/>
        <v>5</v>
      </c>
    </row>
    <row r="462" spans="1:29" x14ac:dyDescent="0.3">
      <c r="A462">
        <v>2472051</v>
      </c>
      <c r="B462" t="s">
        <v>3274</v>
      </c>
      <c r="C462" t="s">
        <v>29</v>
      </c>
      <c r="D462" t="s">
        <v>1847</v>
      </c>
      <c r="E462" t="s">
        <v>1848</v>
      </c>
      <c r="F462" s="1">
        <v>46099.619016203702</v>
      </c>
      <c r="G462" t="s">
        <v>138</v>
      </c>
      <c r="H462">
        <v>0</v>
      </c>
      <c r="I462">
        <v>45</v>
      </c>
      <c r="J462">
        <v>28</v>
      </c>
      <c r="K462">
        <v>73</v>
      </c>
      <c r="L462">
        <v>160</v>
      </c>
      <c r="M462">
        <v>116</v>
      </c>
      <c r="N462">
        <v>3743</v>
      </c>
      <c r="O462">
        <v>4</v>
      </c>
      <c r="P462">
        <v>4</v>
      </c>
      <c r="Q462">
        <v>4</v>
      </c>
      <c r="R462" t="s">
        <v>3275</v>
      </c>
      <c r="S462" t="s">
        <v>3276</v>
      </c>
      <c r="T462" t="s">
        <v>3277</v>
      </c>
      <c r="U462" t="s">
        <v>3278</v>
      </c>
      <c r="V462" t="s">
        <v>3279</v>
      </c>
      <c r="W462" t="s">
        <v>3280</v>
      </c>
      <c r="X462" t="s">
        <v>38</v>
      </c>
      <c r="Y462" t="b">
        <v>0</v>
      </c>
      <c r="Z462" t="s">
        <v>39</v>
      </c>
      <c r="AA462" t="s">
        <v>3281</v>
      </c>
      <c r="AB462" t="s">
        <v>41</v>
      </c>
      <c r="AC462">
        <f t="shared" si="7"/>
        <v>4</v>
      </c>
    </row>
    <row r="463" spans="1:29" x14ac:dyDescent="0.3">
      <c r="A463">
        <v>2472051</v>
      </c>
      <c r="B463" t="s">
        <v>3760</v>
      </c>
      <c r="C463" t="s">
        <v>29</v>
      </c>
      <c r="D463" t="s">
        <v>3761</v>
      </c>
      <c r="E463" t="s">
        <v>3762</v>
      </c>
      <c r="F463" s="1">
        <v>46099.620266203703</v>
      </c>
      <c r="G463" t="s">
        <v>138</v>
      </c>
      <c r="H463">
        <v>0</v>
      </c>
      <c r="I463">
        <v>32</v>
      </c>
      <c r="J463">
        <v>157</v>
      </c>
      <c r="K463">
        <v>189</v>
      </c>
      <c r="L463">
        <v>132</v>
      </c>
      <c r="M463">
        <v>530</v>
      </c>
      <c r="N463">
        <v>4314</v>
      </c>
      <c r="O463">
        <v>4</v>
      </c>
      <c r="P463">
        <v>5</v>
      </c>
      <c r="Q463">
        <v>5</v>
      </c>
      <c r="R463" t="s">
        <v>1467</v>
      </c>
      <c r="S463" t="s">
        <v>252</v>
      </c>
      <c r="T463" t="s">
        <v>190</v>
      </c>
      <c r="U463" t="s">
        <v>200</v>
      </c>
      <c r="V463" t="s">
        <v>3763</v>
      </c>
      <c r="W463" t="s">
        <v>3764</v>
      </c>
      <c r="X463" t="s">
        <v>154</v>
      </c>
      <c r="Y463" t="b">
        <v>0</v>
      </c>
      <c r="Z463" t="s">
        <v>39</v>
      </c>
      <c r="AA463" t="s">
        <v>3765</v>
      </c>
      <c r="AB463" t="s">
        <v>41</v>
      </c>
      <c r="AC463">
        <f t="shared" si="7"/>
        <v>5</v>
      </c>
    </row>
    <row r="464" spans="1:29" x14ac:dyDescent="0.3">
      <c r="A464">
        <v>2472051</v>
      </c>
      <c r="B464" t="s">
        <v>4113</v>
      </c>
      <c r="C464" t="s">
        <v>29</v>
      </c>
      <c r="D464" t="s">
        <v>4114</v>
      </c>
      <c r="E464" t="s">
        <v>4114</v>
      </c>
      <c r="F464" s="1">
        <v>46127.633969907409</v>
      </c>
      <c r="G464" t="s">
        <v>45</v>
      </c>
      <c r="H464">
        <v>0</v>
      </c>
      <c r="I464">
        <v>656</v>
      </c>
      <c r="J464">
        <v>751</v>
      </c>
      <c r="K464">
        <v>1407</v>
      </c>
      <c r="L464">
        <v>2443</v>
      </c>
      <c r="M464">
        <v>2716</v>
      </c>
      <c r="N464">
        <v>4804</v>
      </c>
      <c r="O464">
        <v>4</v>
      </c>
      <c r="P464">
        <v>5</v>
      </c>
      <c r="Q464">
        <v>5</v>
      </c>
      <c r="R464" t="s">
        <v>4115</v>
      </c>
      <c r="S464" t="s">
        <v>4116</v>
      </c>
      <c r="T464" t="s">
        <v>4117</v>
      </c>
      <c r="U464" t="s">
        <v>4118</v>
      </c>
      <c r="V464" t="s">
        <v>4119</v>
      </c>
      <c r="W464" t="s">
        <v>2191</v>
      </c>
      <c r="X464" t="s">
        <v>154</v>
      </c>
      <c r="Y464" t="b">
        <v>0</v>
      </c>
      <c r="Z464" t="s">
        <v>39</v>
      </c>
      <c r="AA464" t="s">
        <v>4120</v>
      </c>
      <c r="AB464" t="s">
        <v>41</v>
      </c>
      <c r="AC464">
        <f t="shared" si="7"/>
        <v>5</v>
      </c>
    </row>
    <row r="465" spans="1:29" x14ac:dyDescent="0.3">
      <c r="A465">
        <v>2472052</v>
      </c>
      <c r="B465" t="s">
        <v>1652</v>
      </c>
      <c r="C465" t="s">
        <v>29</v>
      </c>
      <c r="D465" t="s">
        <v>1653</v>
      </c>
      <c r="E465" t="s">
        <v>1654</v>
      </c>
      <c r="F465" s="1">
        <v>46119.5075</v>
      </c>
      <c r="G465" t="s">
        <v>56</v>
      </c>
      <c r="H465">
        <v>0</v>
      </c>
      <c r="I465">
        <v>72</v>
      </c>
      <c r="J465">
        <v>654</v>
      </c>
      <c r="K465">
        <v>726</v>
      </c>
      <c r="L465">
        <v>279</v>
      </c>
      <c r="M465">
        <v>1905</v>
      </c>
      <c r="N465">
        <v>1854</v>
      </c>
      <c r="O465">
        <v>4</v>
      </c>
      <c r="P465">
        <v>5</v>
      </c>
      <c r="Q465">
        <v>5</v>
      </c>
      <c r="R465" t="s">
        <v>1655</v>
      </c>
      <c r="S465" t="s">
        <v>1656</v>
      </c>
      <c r="T465" t="s">
        <v>1657</v>
      </c>
      <c r="U465" t="s">
        <v>1658</v>
      </c>
      <c r="V465" t="s">
        <v>1659</v>
      </c>
      <c r="W465" t="s">
        <v>1660</v>
      </c>
      <c r="X465" t="s">
        <v>154</v>
      </c>
      <c r="Y465" t="b">
        <v>0</v>
      </c>
      <c r="Z465" t="s">
        <v>39</v>
      </c>
      <c r="AA465" t="s">
        <v>1661</v>
      </c>
      <c r="AB465" t="s">
        <v>41</v>
      </c>
      <c r="AC465">
        <f t="shared" si="7"/>
        <v>5</v>
      </c>
    </row>
    <row r="466" spans="1:29" x14ac:dyDescent="0.3">
      <c r="A466">
        <v>2472052</v>
      </c>
      <c r="B466" t="s">
        <v>4001</v>
      </c>
      <c r="C466" t="s">
        <v>29</v>
      </c>
      <c r="D466" t="s">
        <v>4002</v>
      </c>
      <c r="E466" t="s">
        <v>4003</v>
      </c>
      <c r="F466" s="1">
        <v>46119.509432870371</v>
      </c>
      <c r="G466" t="s">
        <v>56</v>
      </c>
      <c r="H466">
        <v>0</v>
      </c>
      <c r="I466">
        <v>43</v>
      </c>
      <c r="J466">
        <v>139</v>
      </c>
      <c r="K466">
        <v>182</v>
      </c>
      <c r="L466">
        <v>137</v>
      </c>
      <c r="M466">
        <v>450</v>
      </c>
      <c r="N466">
        <v>4666</v>
      </c>
      <c r="O466">
        <v>4</v>
      </c>
      <c r="P466">
        <v>5</v>
      </c>
      <c r="Q466">
        <v>5</v>
      </c>
      <c r="R466" t="s">
        <v>4004</v>
      </c>
      <c r="S466" t="s">
        <v>1569</v>
      </c>
      <c r="T466" t="s">
        <v>4005</v>
      </c>
      <c r="U466" t="s">
        <v>4006</v>
      </c>
      <c r="V466" t="s">
        <v>4007</v>
      </c>
      <c r="W466" t="s">
        <v>4008</v>
      </c>
      <c r="X466" t="s">
        <v>154</v>
      </c>
      <c r="Y466" t="b">
        <v>0</v>
      </c>
      <c r="Z466" t="s">
        <v>39</v>
      </c>
      <c r="AA466" t="s">
        <v>4009</v>
      </c>
      <c r="AB466" t="s">
        <v>41</v>
      </c>
      <c r="AC466">
        <f t="shared" si="7"/>
        <v>5</v>
      </c>
    </row>
    <row r="467" spans="1:29" x14ac:dyDescent="0.3">
      <c r="A467">
        <v>2472053</v>
      </c>
      <c r="B467" t="s">
        <v>266</v>
      </c>
      <c r="C467" t="s">
        <v>29</v>
      </c>
      <c r="D467" t="s">
        <v>267</v>
      </c>
      <c r="E467" t="s">
        <v>267</v>
      </c>
      <c r="F467" s="1">
        <v>46084.525567129633</v>
      </c>
      <c r="G467" t="s">
        <v>177</v>
      </c>
      <c r="H467">
        <v>0</v>
      </c>
      <c r="I467">
        <v>64</v>
      </c>
      <c r="J467">
        <v>103</v>
      </c>
      <c r="K467">
        <v>167</v>
      </c>
      <c r="L467">
        <v>226</v>
      </c>
      <c r="M467">
        <v>356</v>
      </c>
      <c r="N467">
        <v>297</v>
      </c>
      <c r="O467">
        <v>4</v>
      </c>
      <c r="P467">
        <v>5</v>
      </c>
      <c r="Q467">
        <v>4</v>
      </c>
      <c r="R467" t="s">
        <v>167</v>
      </c>
      <c r="S467" t="s">
        <v>268</v>
      </c>
      <c r="T467" t="s">
        <v>269</v>
      </c>
      <c r="U467" t="s">
        <v>270</v>
      </c>
      <c r="V467" t="s">
        <v>271</v>
      </c>
      <c r="W467" t="s">
        <v>272</v>
      </c>
      <c r="X467" t="s">
        <v>38</v>
      </c>
      <c r="Y467" t="b">
        <v>0</v>
      </c>
      <c r="Z467" t="s">
        <v>39</v>
      </c>
      <c r="AA467" t="s">
        <v>273</v>
      </c>
      <c r="AB467" t="s">
        <v>41</v>
      </c>
      <c r="AC467">
        <f t="shared" si="7"/>
        <v>4</v>
      </c>
    </row>
    <row r="468" spans="1:29" x14ac:dyDescent="0.3">
      <c r="A468">
        <v>2472053</v>
      </c>
      <c r="B468" t="s">
        <v>559</v>
      </c>
      <c r="C468" t="s">
        <v>29</v>
      </c>
      <c r="D468" t="s">
        <v>560</v>
      </c>
      <c r="E468" t="s">
        <v>560</v>
      </c>
      <c r="F468" s="1">
        <v>46098.536909722221</v>
      </c>
      <c r="G468" t="s">
        <v>138</v>
      </c>
      <c r="H468">
        <v>0</v>
      </c>
      <c r="I468">
        <v>98</v>
      </c>
      <c r="J468">
        <v>98</v>
      </c>
      <c r="K468">
        <v>196</v>
      </c>
      <c r="L468">
        <v>340</v>
      </c>
      <c r="M468">
        <v>400</v>
      </c>
      <c r="N468">
        <v>534</v>
      </c>
      <c r="O468">
        <v>4</v>
      </c>
      <c r="P468">
        <v>5</v>
      </c>
      <c r="Q468">
        <v>4</v>
      </c>
      <c r="R468" t="s">
        <v>561</v>
      </c>
      <c r="S468" t="s">
        <v>562</v>
      </c>
      <c r="T468" t="s">
        <v>563</v>
      </c>
      <c r="U468" t="s">
        <v>200</v>
      </c>
      <c r="V468" t="s">
        <v>564</v>
      </c>
      <c r="W468" t="s">
        <v>565</v>
      </c>
      <c r="X468" t="s">
        <v>38</v>
      </c>
      <c r="Y468" t="b">
        <v>0</v>
      </c>
      <c r="Z468" t="s">
        <v>39</v>
      </c>
      <c r="AA468" t="s">
        <v>566</v>
      </c>
      <c r="AB468" t="s">
        <v>41</v>
      </c>
      <c r="AC468">
        <f t="shared" si="7"/>
        <v>4</v>
      </c>
    </row>
    <row r="469" spans="1:29" x14ac:dyDescent="0.3">
      <c r="A469">
        <v>2472053</v>
      </c>
      <c r="B469" t="s">
        <v>793</v>
      </c>
      <c r="C469" t="s">
        <v>29</v>
      </c>
      <c r="D469" t="s">
        <v>794</v>
      </c>
      <c r="E469" t="s">
        <v>794</v>
      </c>
      <c r="F469" s="1">
        <v>46091.539652777778</v>
      </c>
      <c r="G469" t="s">
        <v>31</v>
      </c>
      <c r="H469">
        <v>0</v>
      </c>
      <c r="I469">
        <v>81</v>
      </c>
      <c r="J469">
        <v>102</v>
      </c>
      <c r="K469">
        <v>183</v>
      </c>
      <c r="L469">
        <v>272</v>
      </c>
      <c r="M469">
        <v>289</v>
      </c>
      <c r="N469">
        <v>802</v>
      </c>
      <c r="O469">
        <v>4</v>
      </c>
      <c r="P469">
        <v>5</v>
      </c>
      <c r="Q469">
        <v>4</v>
      </c>
      <c r="R469" t="s">
        <v>795</v>
      </c>
      <c r="S469" t="s">
        <v>796</v>
      </c>
      <c r="T469" t="s">
        <v>797</v>
      </c>
      <c r="U469" t="s">
        <v>798</v>
      </c>
      <c r="V469" t="s">
        <v>799</v>
      </c>
      <c r="W469" t="s">
        <v>800</v>
      </c>
      <c r="X469" t="s">
        <v>38</v>
      </c>
      <c r="Y469" t="b">
        <v>0</v>
      </c>
      <c r="Z469" t="s">
        <v>39</v>
      </c>
      <c r="AA469" t="s">
        <v>801</v>
      </c>
      <c r="AB469" t="s">
        <v>41</v>
      </c>
      <c r="AC469">
        <f t="shared" si="7"/>
        <v>4</v>
      </c>
    </row>
    <row r="470" spans="1:29" x14ac:dyDescent="0.3">
      <c r="A470">
        <v>2472053</v>
      </c>
      <c r="B470" t="s">
        <v>846</v>
      </c>
      <c r="C470" t="s">
        <v>29</v>
      </c>
      <c r="D470" t="s">
        <v>847</v>
      </c>
      <c r="E470" t="s">
        <v>847</v>
      </c>
      <c r="F470" s="1">
        <v>46098.545856481483</v>
      </c>
      <c r="G470" t="s">
        <v>138</v>
      </c>
      <c r="H470">
        <v>0</v>
      </c>
      <c r="I470">
        <v>86</v>
      </c>
      <c r="J470">
        <v>107</v>
      </c>
      <c r="K470">
        <v>193</v>
      </c>
      <c r="L470">
        <v>235</v>
      </c>
      <c r="M470">
        <v>332</v>
      </c>
      <c r="N470">
        <v>833</v>
      </c>
      <c r="O470">
        <v>4</v>
      </c>
      <c r="P470">
        <v>5</v>
      </c>
      <c r="Q470">
        <v>4</v>
      </c>
      <c r="R470" t="s">
        <v>32</v>
      </c>
      <c r="S470" t="s">
        <v>848</v>
      </c>
      <c r="T470" t="s">
        <v>849</v>
      </c>
      <c r="U470" t="s">
        <v>200</v>
      </c>
      <c r="V470" t="s">
        <v>850</v>
      </c>
      <c r="W470" t="s">
        <v>143</v>
      </c>
      <c r="X470" t="s">
        <v>154</v>
      </c>
      <c r="Y470" t="b">
        <v>0</v>
      </c>
      <c r="Z470" t="s">
        <v>39</v>
      </c>
      <c r="AA470" t="s">
        <v>851</v>
      </c>
      <c r="AB470" t="s">
        <v>41</v>
      </c>
      <c r="AC470">
        <f t="shared" si="7"/>
        <v>5</v>
      </c>
    </row>
    <row r="471" spans="1:29" x14ac:dyDescent="0.3">
      <c r="A471">
        <v>2472053</v>
      </c>
      <c r="B471" t="s">
        <v>956</v>
      </c>
      <c r="C471" t="s">
        <v>29</v>
      </c>
      <c r="D471" t="s">
        <v>957</v>
      </c>
      <c r="E471" t="s">
        <v>957</v>
      </c>
      <c r="F471" s="1">
        <v>46098.516921296286</v>
      </c>
      <c r="G471" t="s">
        <v>138</v>
      </c>
      <c r="H471">
        <v>0</v>
      </c>
      <c r="I471">
        <v>72</v>
      </c>
      <c r="J471">
        <v>97</v>
      </c>
      <c r="K471">
        <v>169</v>
      </c>
      <c r="L471">
        <v>236</v>
      </c>
      <c r="M471">
        <v>391</v>
      </c>
      <c r="N471">
        <v>927</v>
      </c>
      <c r="O471">
        <v>4</v>
      </c>
      <c r="P471">
        <v>5</v>
      </c>
      <c r="Q471">
        <v>4</v>
      </c>
      <c r="R471" t="s">
        <v>958</v>
      </c>
      <c r="S471" t="s">
        <v>959</v>
      </c>
      <c r="T471" t="s">
        <v>960</v>
      </c>
      <c r="U471" t="s">
        <v>961</v>
      </c>
      <c r="V471" t="s">
        <v>962</v>
      </c>
      <c r="W471" t="s">
        <v>963</v>
      </c>
      <c r="X471" t="s">
        <v>38</v>
      </c>
      <c r="Y471" t="b">
        <v>0</v>
      </c>
      <c r="Z471" t="s">
        <v>39</v>
      </c>
      <c r="AA471" t="s">
        <v>964</v>
      </c>
      <c r="AB471" t="s">
        <v>41</v>
      </c>
      <c r="AC471">
        <f t="shared" si="7"/>
        <v>4</v>
      </c>
    </row>
    <row r="472" spans="1:29" x14ac:dyDescent="0.3">
      <c r="A472">
        <v>2472053</v>
      </c>
      <c r="B472" t="s">
        <v>1025</v>
      </c>
      <c r="C472" t="s">
        <v>29</v>
      </c>
      <c r="D472" t="s">
        <v>1026</v>
      </c>
      <c r="E472" t="s">
        <v>1026</v>
      </c>
      <c r="F472" s="1">
        <v>46091.501099537039</v>
      </c>
      <c r="G472" t="s">
        <v>31</v>
      </c>
      <c r="H472">
        <v>0</v>
      </c>
      <c r="I472">
        <v>455</v>
      </c>
      <c r="J472">
        <v>132</v>
      </c>
      <c r="K472">
        <v>587</v>
      </c>
      <c r="L472">
        <v>1010</v>
      </c>
      <c r="M472">
        <v>462</v>
      </c>
      <c r="N472">
        <v>993</v>
      </c>
      <c r="O472">
        <v>4</v>
      </c>
      <c r="P472">
        <v>5</v>
      </c>
      <c r="Q472">
        <v>4</v>
      </c>
      <c r="R472" t="s">
        <v>909</v>
      </c>
      <c r="S472" t="s">
        <v>712</v>
      </c>
      <c r="T472" t="s">
        <v>493</v>
      </c>
      <c r="U472" t="s">
        <v>125</v>
      </c>
      <c r="V472" t="s">
        <v>1027</v>
      </c>
      <c r="W472" t="s">
        <v>337</v>
      </c>
      <c r="X472" t="s">
        <v>38</v>
      </c>
      <c r="Y472" t="b">
        <v>0</v>
      </c>
      <c r="Z472" t="s">
        <v>39</v>
      </c>
      <c r="AA472" t="s">
        <v>1028</v>
      </c>
      <c r="AB472" t="s">
        <v>41</v>
      </c>
      <c r="AC472">
        <f t="shared" si="7"/>
        <v>4</v>
      </c>
    </row>
    <row r="473" spans="1:29" x14ac:dyDescent="0.3">
      <c r="A473">
        <v>2472053</v>
      </c>
      <c r="B473" t="s">
        <v>1195</v>
      </c>
      <c r="C473" t="s">
        <v>29</v>
      </c>
      <c r="D473" t="s">
        <v>1196</v>
      </c>
      <c r="E473" t="s">
        <v>1196</v>
      </c>
      <c r="F473" s="1">
        <v>46112.490578703713</v>
      </c>
      <c r="G473" t="s">
        <v>304</v>
      </c>
      <c r="H473">
        <v>0</v>
      </c>
      <c r="I473">
        <v>95</v>
      </c>
      <c r="J473">
        <v>293</v>
      </c>
      <c r="K473">
        <v>388</v>
      </c>
      <c r="L473">
        <v>326</v>
      </c>
      <c r="M473">
        <v>1044</v>
      </c>
      <c r="N473">
        <v>1283</v>
      </c>
      <c r="O473">
        <v>4</v>
      </c>
      <c r="P473">
        <v>5</v>
      </c>
      <c r="Q473">
        <v>5</v>
      </c>
      <c r="R473" t="s">
        <v>1197</v>
      </c>
      <c r="S473" t="s">
        <v>1198</v>
      </c>
      <c r="T473" t="s">
        <v>1199</v>
      </c>
      <c r="U473" t="s">
        <v>170</v>
      </c>
      <c r="V473" t="s">
        <v>1200</v>
      </c>
      <c r="W473" t="s">
        <v>309</v>
      </c>
      <c r="X473" t="s">
        <v>154</v>
      </c>
      <c r="Y473" t="b">
        <v>0</v>
      </c>
      <c r="Z473" t="s">
        <v>39</v>
      </c>
      <c r="AA473" t="s">
        <v>1201</v>
      </c>
      <c r="AB473" t="s">
        <v>41</v>
      </c>
      <c r="AC473">
        <f t="shared" si="7"/>
        <v>5</v>
      </c>
    </row>
    <row r="474" spans="1:29" x14ac:dyDescent="0.3">
      <c r="A474">
        <v>2472053</v>
      </c>
      <c r="B474" t="s">
        <v>1242</v>
      </c>
      <c r="C474" t="s">
        <v>29</v>
      </c>
      <c r="D474" t="s">
        <v>1243</v>
      </c>
      <c r="E474" t="s">
        <v>1243</v>
      </c>
      <c r="F474" s="1">
        <v>46098.50917824074</v>
      </c>
      <c r="G474" t="s">
        <v>138</v>
      </c>
      <c r="H474">
        <v>0</v>
      </c>
      <c r="I474">
        <v>33</v>
      </c>
      <c r="J474">
        <v>188</v>
      </c>
      <c r="K474">
        <v>221</v>
      </c>
      <c r="L474">
        <v>135</v>
      </c>
      <c r="M474">
        <v>691</v>
      </c>
      <c r="N474">
        <v>1364</v>
      </c>
      <c r="O474">
        <v>4</v>
      </c>
      <c r="P474">
        <v>5</v>
      </c>
      <c r="Q474">
        <v>4</v>
      </c>
      <c r="R474" t="s">
        <v>1244</v>
      </c>
      <c r="S474" t="s">
        <v>1245</v>
      </c>
      <c r="T474" t="s">
        <v>379</v>
      </c>
      <c r="U474" t="s">
        <v>125</v>
      </c>
      <c r="V474" t="s">
        <v>1246</v>
      </c>
      <c r="W474" t="s">
        <v>337</v>
      </c>
      <c r="X474" t="s">
        <v>154</v>
      </c>
      <c r="Y474" t="b">
        <v>0</v>
      </c>
      <c r="Z474" t="s">
        <v>39</v>
      </c>
      <c r="AA474" t="s">
        <v>1247</v>
      </c>
      <c r="AB474" t="s">
        <v>41</v>
      </c>
      <c r="AC474">
        <f t="shared" si="7"/>
        <v>5</v>
      </c>
    </row>
    <row r="475" spans="1:29" x14ac:dyDescent="0.3">
      <c r="A475">
        <v>2472053</v>
      </c>
      <c r="B475" t="s">
        <v>1404</v>
      </c>
      <c r="C475" t="s">
        <v>29</v>
      </c>
      <c r="D475" t="s">
        <v>1405</v>
      </c>
      <c r="E475" t="s">
        <v>1405</v>
      </c>
      <c r="F475" s="1">
        <v>46098.524085648147</v>
      </c>
      <c r="G475" t="s">
        <v>138</v>
      </c>
      <c r="H475">
        <v>0</v>
      </c>
      <c r="I475">
        <v>123</v>
      </c>
      <c r="J475">
        <v>382</v>
      </c>
      <c r="K475">
        <v>505</v>
      </c>
      <c r="L475">
        <v>386</v>
      </c>
      <c r="M475">
        <v>1399</v>
      </c>
      <c r="N475">
        <v>1522</v>
      </c>
      <c r="O475">
        <v>4</v>
      </c>
      <c r="P475">
        <v>5</v>
      </c>
      <c r="Q475">
        <v>4</v>
      </c>
      <c r="R475" t="s">
        <v>1406</v>
      </c>
      <c r="S475" t="s">
        <v>1040</v>
      </c>
      <c r="T475" t="s">
        <v>1407</v>
      </c>
      <c r="U475" t="s">
        <v>1408</v>
      </c>
      <c r="V475" t="s">
        <v>1409</v>
      </c>
      <c r="W475" t="s">
        <v>1410</v>
      </c>
      <c r="X475" t="s">
        <v>38</v>
      </c>
      <c r="Y475" t="b">
        <v>0</v>
      </c>
      <c r="Z475" t="s">
        <v>39</v>
      </c>
      <c r="AA475" t="s">
        <v>1411</v>
      </c>
      <c r="AB475" t="s">
        <v>41</v>
      </c>
      <c r="AC475">
        <f t="shared" si="7"/>
        <v>4</v>
      </c>
    </row>
    <row r="476" spans="1:29" x14ac:dyDescent="0.3">
      <c r="A476">
        <v>2472053</v>
      </c>
      <c r="B476" t="s">
        <v>2155</v>
      </c>
      <c r="C476" t="s">
        <v>29</v>
      </c>
      <c r="D476" t="s">
        <v>2156</v>
      </c>
      <c r="E476" t="s">
        <v>2156</v>
      </c>
      <c r="F476" s="1">
        <v>46084.528912037043</v>
      </c>
      <c r="G476" t="s">
        <v>177</v>
      </c>
      <c r="H476">
        <v>0</v>
      </c>
      <c r="I476">
        <v>54</v>
      </c>
      <c r="J476">
        <v>586</v>
      </c>
      <c r="K476">
        <v>640</v>
      </c>
      <c r="L476">
        <v>177</v>
      </c>
      <c r="M476">
        <v>1857</v>
      </c>
      <c r="N476">
        <v>2480</v>
      </c>
      <c r="O476">
        <v>4</v>
      </c>
      <c r="P476">
        <v>5</v>
      </c>
      <c r="Q476">
        <v>5</v>
      </c>
      <c r="R476" t="s">
        <v>2157</v>
      </c>
      <c r="S476" t="s">
        <v>2158</v>
      </c>
      <c r="T476" t="s">
        <v>2159</v>
      </c>
      <c r="U476" t="s">
        <v>362</v>
      </c>
      <c r="V476" t="s">
        <v>2160</v>
      </c>
      <c r="W476" t="s">
        <v>2161</v>
      </c>
      <c r="X476" t="s">
        <v>154</v>
      </c>
      <c r="Y476" t="b">
        <v>0</v>
      </c>
      <c r="Z476" t="s">
        <v>39</v>
      </c>
      <c r="AA476" t="s">
        <v>2162</v>
      </c>
      <c r="AB476" t="s">
        <v>41</v>
      </c>
      <c r="AC476">
        <f t="shared" si="7"/>
        <v>5</v>
      </c>
    </row>
    <row r="477" spans="1:29" x14ac:dyDescent="0.3">
      <c r="A477">
        <v>2472053</v>
      </c>
      <c r="B477" t="s">
        <v>2453</v>
      </c>
      <c r="C477" t="s">
        <v>29</v>
      </c>
      <c r="D477" t="s">
        <v>2454</v>
      </c>
      <c r="E477" t="s">
        <v>2454</v>
      </c>
      <c r="F477" s="1">
        <v>46126.440995370373</v>
      </c>
      <c r="G477" t="s">
        <v>45</v>
      </c>
      <c r="H477">
        <v>0</v>
      </c>
      <c r="I477">
        <v>107</v>
      </c>
      <c r="J477">
        <v>253</v>
      </c>
      <c r="K477">
        <v>360</v>
      </c>
      <c r="L477">
        <v>397</v>
      </c>
      <c r="M477">
        <v>824</v>
      </c>
      <c r="N477">
        <v>2761</v>
      </c>
      <c r="O477">
        <v>4</v>
      </c>
      <c r="P477">
        <v>5</v>
      </c>
      <c r="Q477">
        <v>5</v>
      </c>
      <c r="R477" t="s">
        <v>926</v>
      </c>
      <c r="S477" t="s">
        <v>33</v>
      </c>
      <c r="T477" t="s">
        <v>927</v>
      </c>
      <c r="U477" t="s">
        <v>125</v>
      </c>
      <c r="V477" t="s">
        <v>2455</v>
      </c>
      <c r="W477" t="s">
        <v>2456</v>
      </c>
      <c r="X477" t="s">
        <v>154</v>
      </c>
      <c r="Y477" t="b">
        <v>0</v>
      </c>
      <c r="Z477" t="s">
        <v>39</v>
      </c>
      <c r="AA477" t="s">
        <v>2457</v>
      </c>
      <c r="AB477" t="s">
        <v>41</v>
      </c>
      <c r="AC477">
        <f t="shared" si="7"/>
        <v>5</v>
      </c>
    </row>
    <row r="478" spans="1:29" x14ac:dyDescent="0.3">
      <c r="A478">
        <v>2472053</v>
      </c>
      <c r="B478" t="s">
        <v>3172</v>
      </c>
      <c r="C478" t="s">
        <v>29</v>
      </c>
      <c r="D478" t="s">
        <v>3173</v>
      </c>
      <c r="E478" t="s">
        <v>3173</v>
      </c>
      <c r="F478" s="1">
        <v>46098.521921296298</v>
      </c>
      <c r="G478" t="s">
        <v>138</v>
      </c>
      <c r="H478">
        <v>0</v>
      </c>
      <c r="I478">
        <v>86</v>
      </c>
      <c r="J478">
        <v>114</v>
      </c>
      <c r="K478">
        <v>200</v>
      </c>
      <c r="L478">
        <v>288</v>
      </c>
      <c r="M478">
        <v>411</v>
      </c>
      <c r="N478">
        <v>3599</v>
      </c>
      <c r="O478">
        <v>4</v>
      </c>
      <c r="P478">
        <v>5</v>
      </c>
      <c r="Q478">
        <v>5</v>
      </c>
      <c r="R478" t="s">
        <v>1611</v>
      </c>
      <c r="S478" t="s">
        <v>3174</v>
      </c>
      <c r="T478" t="s">
        <v>493</v>
      </c>
      <c r="U478" t="s">
        <v>125</v>
      </c>
      <c r="V478" t="s">
        <v>3175</v>
      </c>
      <c r="W478" t="s">
        <v>337</v>
      </c>
      <c r="X478" t="s">
        <v>154</v>
      </c>
      <c r="Y478" t="b">
        <v>0</v>
      </c>
      <c r="Z478" t="s">
        <v>39</v>
      </c>
      <c r="AA478" t="s">
        <v>3176</v>
      </c>
      <c r="AB478" t="s">
        <v>41</v>
      </c>
      <c r="AC478">
        <f t="shared" si="7"/>
        <v>5</v>
      </c>
    </row>
    <row r="479" spans="1:29" x14ac:dyDescent="0.3">
      <c r="A479">
        <v>2472053</v>
      </c>
      <c r="B479" t="s">
        <v>3208</v>
      </c>
      <c r="C479" t="s">
        <v>29</v>
      </c>
      <c r="D479" t="s">
        <v>3209</v>
      </c>
      <c r="E479" t="s">
        <v>3209</v>
      </c>
      <c r="F479" s="1">
        <v>46098.556388888886</v>
      </c>
      <c r="G479" t="s">
        <v>138</v>
      </c>
      <c r="H479">
        <v>0</v>
      </c>
      <c r="I479">
        <v>106</v>
      </c>
      <c r="J479">
        <v>115</v>
      </c>
      <c r="K479">
        <v>221</v>
      </c>
      <c r="L479">
        <v>325</v>
      </c>
      <c r="M479">
        <v>430</v>
      </c>
      <c r="N479">
        <v>3631</v>
      </c>
      <c r="O479">
        <v>4</v>
      </c>
      <c r="P479">
        <v>5</v>
      </c>
      <c r="Q479">
        <v>5</v>
      </c>
      <c r="R479" t="s">
        <v>3210</v>
      </c>
      <c r="S479" t="s">
        <v>3211</v>
      </c>
      <c r="T479" t="s">
        <v>3212</v>
      </c>
      <c r="U479" t="s">
        <v>125</v>
      </c>
      <c r="V479" t="s">
        <v>3213</v>
      </c>
      <c r="W479" t="s">
        <v>3214</v>
      </c>
      <c r="X479" t="s">
        <v>154</v>
      </c>
      <c r="Y479" t="b">
        <v>0</v>
      </c>
      <c r="Z479" t="s">
        <v>39</v>
      </c>
      <c r="AA479" t="s">
        <v>3215</v>
      </c>
      <c r="AB479" t="s">
        <v>41</v>
      </c>
      <c r="AC479">
        <f t="shared" si="7"/>
        <v>5</v>
      </c>
    </row>
    <row r="480" spans="1:29" x14ac:dyDescent="0.3">
      <c r="A480">
        <v>2472053</v>
      </c>
      <c r="B480" t="s">
        <v>3216</v>
      </c>
      <c r="C480" t="s">
        <v>29</v>
      </c>
      <c r="D480" t="s">
        <v>3217</v>
      </c>
      <c r="E480" t="s">
        <v>3217</v>
      </c>
      <c r="F480" s="1">
        <v>46084.519606481481</v>
      </c>
      <c r="G480" t="s">
        <v>177</v>
      </c>
      <c r="H480">
        <v>0</v>
      </c>
      <c r="I480">
        <v>86</v>
      </c>
      <c r="J480">
        <v>575</v>
      </c>
      <c r="K480">
        <v>661</v>
      </c>
      <c r="L480">
        <v>299</v>
      </c>
      <c r="M480">
        <v>1940</v>
      </c>
      <c r="N480">
        <v>3638</v>
      </c>
      <c r="O480">
        <v>4</v>
      </c>
      <c r="P480">
        <v>5</v>
      </c>
      <c r="Q480">
        <v>5</v>
      </c>
      <c r="R480" t="s">
        <v>3218</v>
      </c>
      <c r="S480" t="s">
        <v>3219</v>
      </c>
      <c r="T480" t="s">
        <v>3220</v>
      </c>
      <c r="U480" t="s">
        <v>1704</v>
      </c>
      <c r="V480" t="s">
        <v>3221</v>
      </c>
      <c r="W480" t="s">
        <v>3222</v>
      </c>
      <c r="X480" t="s">
        <v>154</v>
      </c>
      <c r="Y480" t="b">
        <v>0</v>
      </c>
      <c r="Z480" t="s">
        <v>39</v>
      </c>
      <c r="AA480" t="s">
        <v>3223</v>
      </c>
      <c r="AB480" t="s">
        <v>41</v>
      </c>
      <c r="AC480">
        <f t="shared" si="7"/>
        <v>5</v>
      </c>
    </row>
    <row r="481" spans="1:29" x14ac:dyDescent="0.3">
      <c r="A481">
        <v>2472053</v>
      </c>
      <c r="B481" t="s">
        <v>3461</v>
      </c>
      <c r="C481" t="s">
        <v>29</v>
      </c>
      <c r="D481" t="s">
        <v>3462</v>
      </c>
      <c r="E481" t="s">
        <v>3462</v>
      </c>
      <c r="F481" s="1">
        <v>46098.495439814818</v>
      </c>
      <c r="G481" t="s">
        <v>138</v>
      </c>
      <c r="H481">
        <v>0</v>
      </c>
      <c r="I481">
        <v>274</v>
      </c>
      <c r="J481">
        <v>385</v>
      </c>
      <c r="K481">
        <v>659</v>
      </c>
      <c r="L481">
        <v>1035</v>
      </c>
      <c r="M481">
        <v>1330</v>
      </c>
      <c r="N481">
        <v>3976</v>
      </c>
      <c r="O481">
        <v>4</v>
      </c>
      <c r="P481">
        <v>5</v>
      </c>
      <c r="Q481">
        <v>4</v>
      </c>
      <c r="R481" t="s">
        <v>3463</v>
      </c>
      <c r="S481" t="s">
        <v>33</v>
      </c>
      <c r="T481" t="s">
        <v>3464</v>
      </c>
      <c r="U481" t="s">
        <v>3465</v>
      </c>
      <c r="V481" t="s">
        <v>3466</v>
      </c>
      <c r="W481" t="s">
        <v>3467</v>
      </c>
      <c r="X481" t="s">
        <v>38</v>
      </c>
      <c r="Y481" t="b">
        <v>0</v>
      </c>
      <c r="Z481" t="s">
        <v>39</v>
      </c>
      <c r="AA481" t="s">
        <v>3468</v>
      </c>
      <c r="AB481" t="s">
        <v>41</v>
      </c>
      <c r="AC481">
        <f t="shared" si="7"/>
        <v>4</v>
      </c>
    </row>
    <row r="482" spans="1:29" x14ac:dyDescent="0.3">
      <c r="A482">
        <v>2472053</v>
      </c>
      <c r="B482" t="s">
        <v>4051</v>
      </c>
      <c r="C482" t="s">
        <v>29</v>
      </c>
      <c r="D482" t="s">
        <v>4052</v>
      </c>
      <c r="E482" t="s">
        <v>4052</v>
      </c>
      <c r="F482" s="1">
        <v>46112.482789351852</v>
      </c>
      <c r="G482" t="s">
        <v>304</v>
      </c>
      <c r="H482">
        <v>0</v>
      </c>
      <c r="I482">
        <v>97</v>
      </c>
      <c r="J482">
        <v>116</v>
      </c>
      <c r="K482">
        <v>213</v>
      </c>
      <c r="L482">
        <v>259</v>
      </c>
      <c r="M482">
        <v>451</v>
      </c>
      <c r="N482">
        <v>4750</v>
      </c>
      <c r="O482">
        <v>4</v>
      </c>
      <c r="P482">
        <v>5</v>
      </c>
      <c r="Q482">
        <v>5</v>
      </c>
      <c r="R482" t="s">
        <v>1039</v>
      </c>
      <c r="S482" t="s">
        <v>1040</v>
      </c>
      <c r="T482" t="s">
        <v>4053</v>
      </c>
      <c r="U482" t="s">
        <v>200</v>
      </c>
      <c r="V482" t="s">
        <v>4054</v>
      </c>
      <c r="W482" t="s">
        <v>143</v>
      </c>
      <c r="X482" t="s">
        <v>154</v>
      </c>
      <c r="Y482" t="b">
        <v>0</v>
      </c>
      <c r="Z482" t="s">
        <v>39</v>
      </c>
      <c r="AA482" t="s">
        <v>4055</v>
      </c>
      <c r="AB482" t="s">
        <v>41</v>
      </c>
      <c r="AC482">
        <f t="shared" si="7"/>
        <v>5</v>
      </c>
    </row>
    <row r="483" spans="1:29" x14ac:dyDescent="0.3">
      <c r="A483">
        <v>2472056</v>
      </c>
      <c r="B483" t="s">
        <v>283</v>
      </c>
      <c r="C483" t="s">
        <v>29</v>
      </c>
      <c r="D483" t="s">
        <v>284</v>
      </c>
      <c r="E483" t="s">
        <v>285</v>
      </c>
      <c r="F483" s="1">
        <v>46077.557719907411</v>
      </c>
      <c r="G483" t="s">
        <v>67</v>
      </c>
      <c r="H483">
        <v>0</v>
      </c>
      <c r="I483">
        <v>669</v>
      </c>
      <c r="J483">
        <v>125</v>
      </c>
      <c r="K483">
        <v>794</v>
      </c>
      <c r="L483">
        <v>2798</v>
      </c>
      <c r="M483">
        <v>505</v>
      </c>
      <c r="N483">
        <v>309</v>
      </c>
      <c r="O483">
        <v>3</v>
      </c>
      <c r="P483">
        <v>4</v>
      </c>
      <c r="Q483">
        <v>4</v>
      </c>
      <c r="R483" t="s">
        <v>286</v>
      </c>
      <c r="S483" t="s">
        <v>287</v>
      </c>
      <c r="T483" t="s">
        <v>288</v>
      </c>
      <c r="U483" t="s">
        <v>289</v>
      </c>
      <c r="V483" t="s">
        <v>290</v>
      </c>
      <c r="W483" t="s">
        <v>291</v>
      </c>
      <c r="X483" t="s">
        <v>38</v>
      </c>
      <c r="Y483" t="b">
        <v>0</v>
      </c>
      <c r="Z483" t="s">
        <v>39</v>
      </c>
      <c r="AA483" t="s">
        <v>292</v>
      </c>
      <c r="AB483" t="s">
        <v>41</v>
      </c>
      <c r="AC483">
        <f t="shared" si="7"/>
        <v>4</v>
      </c>
    </row>
    <row r="484" spans="1:29" x14ac:dyDescent="0.3">
      <c r="A484">
        <v>2472056</v>
      </c>
      <c r="B484" t="s">
        <v>302</v>
      </c>
      <c r="C484" t="s">
        <v>29</v>
      </c>
      <c r="D484" t="s">
        <v>303</v>
      </c>
      <c r="E484" t="s">
        <v>303</v>
      </c>
      <c r="F484" s="1">
        <v>46112.493819444448</v>
      </c>
      <c r="G484" t="s">
        <v>304</v>
      </c>
      <c r="H484">
        <v>0</v>
      </c>
      <c r="I484">
        <v>44</v>
      </c>
      <c r="J484">
        <v>151</v>
      </c>
      <c r="K484">
        <v>195</v>
      </c>
      <c r="L484">
        <v>161</v>
      </c>
      <c r="M484">
        <v>550</v>
      </c>
      <c r="N484">
        <v>319</v>
      </c>
      <c r="O484">
        <v>4</v>
      </c>
      <c r="P484">
        <v>5</v>
      </c>
      <c r="Q484">
        <v>5</v>
      </c>
      <c r="R484" t="s">
        <v>305</v>
      </c>
      <c r="S484" t="s">
        <v>306</v>
      </c>
      <c r="T484" t="s">
        <v>307</v>
      </c>
      <c r="U484" t="s">
        <v>170</v>
      </c>
      <c r="V484" t="s">
        <v>308</v>
      </c>
      <c r="W484" t="s">
        <v>309</v>
      </c>
      <c r="X484" t="s">
        <v>154</v>
      </c>
      <c r="Y484" t="b">
        <v>0</v>
      </c>
      <c r="Z484" t="s">
        <v>39</v>
      </c>
      <c r="AA484" t="s">
        <v>310</v>
      </c>
      <c r="AB484" t="s">
        <v>41</v>
      </c>
      <c r="AC484">
        <f t="shared" si="7"/>
        <v>5</v>
      </c>
    </row>
    <row r="485" spans="1:29" x14ac:dyDescent="0.3">
      <c r="A485">
        <v>2472056</v>
      </c>
      <c r="B485" t="s">
        <v>536</v>
      </c>
      <c r="C485" t="s">
        <v>29</v>
      </c>
      <c r="D485" t="s">
        <v>537</v>
      </c>
      <c r="E485" t="s">
        <v>537</v>
      </c>
      <c r="F485" s="1">
        <v>46126.408622685187</v>
      </c>
      <c r="G485" t="s">
        <v>45</v>
      </c>
      <c r="H485">
        <v>0</v>
      </c>
      <c r="I485">
        <v>68</v>
      </c>
      <c r="J485">
        <v>40</v>
      </c>
      <c r="K485">
        <v>108</v>
      </c>
      <c r="L485">
        <v>152</v>
      </c>
      <c r="M485">
        <v>75</v>
      </c>
      <c r="N485">
        <v>495</v>
      </c>
      <c r="O485">
        <v>4</v>
      </c>
      <c r="P485">
        <v>5</v>
      </c>
      <c r="Q485">
        <v>4</v>
      </c>
      <c r="R485" t="s">
        <v>538</v>
      </c>
      <c r="S485" t="s">
        <v>539</v>
      </c>
      <c r="T485" t="s">
        <v>540</v>
      </c>
      <c r="U485" t="s">
        <v>125</v>
      </c>
      <c r="V485" t="s">
        <v>541</v>
      </c>
      <c r="W485" t="s">
        <v>542</v>
      </c>
      <c r="X485" t="s">
        <v>38</v>
      </c>
      <c r="Y485" t="b">
        <v>0</v>
      </c>
      <c r="Z485" t="s">
        <v>39</v>
      </c>
      <c r="AA485" t="s">
        <v>543</v>
      </c>
      <c r="AB485" t="s">
        <v>41</v>
      </c>
      <c r="AC485">
        <f t="shared" si="7"/>
        <v>4</v>
      </c>
    </row>
    <row r="486" spans="1:29" x14ac:dyDescent="0.3">
      <c r="A486">
        <v>2472056</v>
      </c>
      <c r="B486" t="s">
        <v>1311</v>
      </c>
      <c r="C486" t="s">
        <v>29</v>
      </c>
      <c r="D486" t="s">
        <v>1312</v>
      </c>
      <c r="E486" t="s">
        <v>1312</v>
      </c>
      <c r="F486" s="1">
        <v>46126.420034722221</v>
      </c>
      <c r="G486" t="s">
        <v>45</v>
      </c>
      <c r="H486">
        <v>0</v>
      </c>
      <c r="I486">
        <v>44</v>
      </c>
      <c r="J486">
        <v>19</v>
      </c>
      <c r="K486">
        <v>63</v>
      </c>
      <c r="L486">
        <v>132</v>
      </c>
      <c r="M486">
        <v>61</v>
      </c>
      <c r="N486">
        <v>1477</v>
      </c>
      <c r="O486">
        <v>4</v>
      </c>
      <c r="P486">
        <v>5</v>
      </c>
      <c r="Q486">
        <v>4</v>
      </c>
      <c r="R486" t="s">
        <v>1313</v>
      </c>
      <c r="S486" t="s">
        <v>1314</v>
      </c>
      <c r="T486" t="s">
        <v>1315</v>
      </c>
      <c r="U486" t="s">
        <v>1316</v>
      </c>
      <c r="V486" t="s">
        <v>1317</v>
      </c>
      <c r="W486" t="s">
        <v>1318</v>
      </c>
      <c r="X486" t="s">
        <v>38</v>
      </c>
      <c r="Y486" t="b">
        <v>0</v>
      </c>
      <c r="Z486" t="s">
        <v>39</v>
      </c>
      <c r="AA486" t="s">
        <v>1319</v>
      </c>
      <c r="AB486" t="s">
        <v>41</v>
      </c>
      <c r="AC486">
        <f t="shared" si="7"/>
        <v>4</v>
      </c>
    </row>
    <row r="487" spans="1:29" x14ac:dyDescent="0.3">
      <c r="A487">
        <v>2472056</v>
      </c>
      <c r="B487" t="s">
        <v>1690</v>
      </c>
      <c r="C487" t="s">
        <v>29</v>
      </c>
      <c r="D487" t="s">
        <v>1691</v>
      </c>
      <c r="E487" t="s">
        <v>1691</v>
      </c>
      <c r="F487" s="1">
        <v>46112.495833333327</v>
      </c>
      <c r="G487" t="s">
        <v>304</v>
      </c>
      <c r="H487">
        <v>0</v>
      </c>
      <c r="I487">
        <v>44</v>
      </c>
      <c r="J487">
        <v>113</v>
      </c>
      <c r="K487">
        <v>157</v>
      </c>
      <c r="L487">
        <v>146</v>
      </c>
      <c r="M487">
        <v>415</v>
      </c>
      <c r="N487">
        <v>1900</v>
      </c>
      <c r="O487">
        <v>4</v>
      </c>
      <c r="P487">
        <v>5</v>
      </c>
      <c r="Q487">
        <v>5</v>
      </c>
      <c r="R487" t="s">
        <v>1692</v>
      </c>
      <c r="S487" t="s">
        <v>1693</v>
      </c>
      <c r="T487" t="s">
        <v>1694</v>
      </c>
      <c r="U487" t="s">
        <v>1695</v>
      </c>
      <c r="V487" t="s">
        <v>1696</v>
      </c>
      <c r="W487" t="s">
        <v>1697</v>
      </c>
      <c r="X487" t="s">
        <v>154</v>
      </c>
      <c r="Y487" t="b">
        <v>0</v>
      </c>
      <c r="Z487" t="s">
        <v>39</v>
      </c>
      <c r="AA487" t="s">
        <v>1698</v>
      </c>
      <c r="AB487" t="s">
        <v>41</v>
      </c>
      <c r="AC487">
        <f t="shared" si="7"/>
        <v>5</v>
      </c>
    </row>
    <row r="488" spans="1:29" x14ac:dyDescent="0.3">
      <c r="A488">
        <v>2472056</v>
      </c>
      <c r="B488" t="s">
        <v>1867</v>
      </c>
      <c r="C488" t="s">
        <v>29</v>
      </c>
      <c r="D488" t="s">
        <v>1868</v>
      </c>
      <c r="E488" t="s">
        <v>1868</v>
      </c>
      <c r="F488" s="1">
        <v>46126.421099537038</v>
      </c>
      <c r="G488" t="s">
        <v>45</v>
      </c>
      <c r="H488">
        <v>0</v>
      </c>
      <c r="I488">
        <v>40</v>
      </c>
      <c r="J488">
        <v>10</v>
      </c>
      <c r="K488">
        <v>50</v>
      </c>
      <c r="L488">
        <v>157</v>
      </c>
      <c r="M488">
        <v>48</v>
      </c>
      <c r="N488">
        <v>2080</v>
      </c>
      <c r="O488">
        <v>4</v>
      </c>
      <c r="P488">
        <v>5</v>
      </c>
      <c r="Q488">
        <v>5</v>
      </c>
      <c r="R488" t="s">
        <v>1173</v>
      </c>
      <c r="S488" t="s">
        <v>1869</v>
      </c>
      <c r="T488" t="s">
        <v>1426</v>
      </c>
      <c r="U488" t="s">
        <v>125</v>
      </c>
      <c r="V488" t="s">
        <v>1870</v>
      </c>
      <c r="W488" t="s">
        <v>1871</v>
      </c>
      <c r="X488" t="s">
        <v>154</v>
      </c>
      <c r="Y488" t="b">
        <v>0</v>
      </c>
      <c r="Z488" t="s">
        <v>39</v>
      </c>
      <c r="AA488" t="s">
        <v>1872</v>
      </c>
      <c r="AB488" t="s">
        <v>41</v>
      </c>
      <c r="AC488">
        <f t="shared" si="7"/>
        <v>5</v>
      </c>
    </row>
    <row r="489" spans="1:29" x14ac:dyDescent="0.3">
      <c r="A489">
        <v>2472056</v>
      </c>
      <c r="B489" t="s">
        <v>2072</v>
      </c>
      <c r="C489" t="s">
        <v>29</v>
      </c>
      <c r="D489" t="s">
        <v>2073</v>
      </c>
      <c r="E489" t="s">
        <v>2074</v>
      </c>
      <c r="F489" s="1">
        <v>46091.406087962961</v>
      </c>
      <c r="G489" t="s">
        <v>31</v>
      </c>
      <c r="H489">
        <v>0</v>
      </c>
      <c r="I489">
        <v>39</v>
      </c>
      <c r="J489">
        <v>147</v>
      </c>
      <c r="K489">
        <v>186</v>
      </c>
      <c r="L489">
        <v>128</v>
      </c>
      <c r="M489">
        <v>515</v>
      </c>
      <c r="N489">
        <v>2365</v>
      </c>
      <c r="O489">
        <v>4</v>
      </c>
      <c r="P489">
        <v>5</v>
      </c>
      <c r="Q489">
        <v>4</v>
      </c>
      <c r="R489" t="s">
        <v>2075</v>
      </c>
      <c r="S489" t="s">
        <v>1040</v>
      </c>
      <c r="T489" t="s">
        <v>2076</v>
      </c>
      <c r="U489" t="s">
        <v>2077</v>
      </c>
      <c r="V489" t="s">
        <v>2078</v>
      </c>
      <c r="W489" t="s">
        <v>2079</v>
      </c>
      <c r="X489" t="s">
        <v>38</v>
      </c>
      <c r="Y489" t="b">
        <v>0</v>
      </c>
      <c r="Z489" t="s">
        <v>39</v>
      </c>
      <c r="AA489" t="s">
        <v>2080</v>
      </c>
      <c r="AB489" t="s">
        <v>41</v>
      </c>
      <c r="AC489">
        <f t="shared" si="7"/>
        <v>4</v>
      </c>
    </row>
    <row r="490" spans="1:29" x14ac:dyDescent="0.3">
      <c r="A490">
        <v>2472056</v>
      </c>
      <c r="B490" t="s">
        <v>2285</v>
      </c>
      <c r="C490" t="s">
        <v>29</v>
      </c>
      <c r="D490" t="s">
        <v>2286</v>
      </c>
      <c r="E490" t="s">
        <v>2287</v>
      </c>
      <c r="F490" s="1">
        <v>46126.464236111111</v>
      </c>
      <c r="G490" t="s">
        <v>45</v>
      </c>
      <c r="H490">
        <v>0</v>
      </c>
      <c r="I490">
        <v>53</v>
      </c>
      <c r="J490">
        <v>975</v>
      </c>
      <c r="K490">
        <v>1028</v>
      </c>
      <c r="L490">
        <v>163</v>
      </c>
      <c r="M490">
        <v>3659</v>
      </c>
      <c r="N490">
        <v>2596</v>
      </c>
      <c r="O490">
        <v>3</v>
      </c>
      <c r="P490">
        <v>4</v>
      </c>
      <c r="Q490">
        <v>4</v>
      </c>
      <c r="R490" t="s">
        <v>2288</v>
      </c>
      <c r="S490" t="s">
        <v>2289</v>
      </c>
      <c r="T490" t="s">
        <v>2290</v>
      </c>
      <c r="U490" t="s">
        <v>2291</v>
      </c>
      <c r="V490" t="s">
        <v>2292</v>
      </c>
      <c r="W490" t="s">
        <v>2293</v>
      </c>
      <c r="X490" t="s">
        <v>38</v>
      </c>
      <c r="Y490" t="b">
        <v>0</v>
      </c>
      <c r="Z490" t="s">
        <v>39</v>
      </c>
      <c r="AA490" t="s">
        <v>2294</v>
      </c>
      <c r="AB490" t="s">
        <v>41</v>
      </c>
      <c r="AC490">
        <f t="shared" si="7"/>
        <v>4</v>
      </c>
    </row>
    <row r="491" spans="1:29" x14ac:dyDescent="0.3">
      <c r="A491">
        <v>2472056</v>
      </c>
      <c r="B491" t="s">
        <v>2295</v>
      </c>
      <c r="C491" t="s">
        <v>29</v>
      </c>
      <c r="D491" t="s">
        <v>2296</v>
      </c>
      <c r="E491" t="s">
        <v>2297</v>
      </c>
      <c r="F491" s="1">
        <v>46119.508506944447</v>
      </c>
      <c r="G491" t="s">
        <v>56</v>
      </c>
      <c r="H491">
        <v>0</v>
      </c>
      <c r="I491">
        <v>421</v>
      </c>
      <c r="J491">
        <v>134</v>
      </c>
      <c r="K491">
        <v>555</v>
      </c>
      <c r="L491">
        <v>1553</v>
      </c>
      <c r="M491">
        <v>364</v>
      </c>
      <c r="N491">
        <v>2614</v>
      </c>
      <c r="O491">
        <v>3</v>
      </c>
      <c r="P491">
        <v>5</v>
      </c>
      <c r="Q491">
        <v>4</v>
      </c>
      <c r="R491" t="s">
        <v>2298</v>
      </c>
      <c r="S491" t="s">
        <v>2299</v>
      </c>
      <c r="T491" t="s">
        <v>2300</v>
      </c>
      <c r="U491" t="s">
        <v>2301</v>
      </c>
      <c r="V491" t="s">
        <v>2302</v>
      </c>
      <c r="W491" t="s">
        <v>2303</v>
      </c>
      <c r="X491" t="s">
        <v>38</v>
      </c>
      <c r="Y491" t="b">
        <v>0</v>
      </c>
      <c r="Z491" t="s">
        <v>39</v>
      </c>
      <c r="AA491" t="s">
        <v>2304</v>
      </c>
      <c r="AB491" t="s">
        <v>41</v>
      </c>
      <c r="AC491">
        <f t="shared" si="7"/>
        <v>4</v>
      </c>
    </row>
    <row r="492" spans="1:29" x14ac:dyDescent="0.3">
      <c r="A492">
        <v>2472056</v>
      </c>
      <c r="B492" t="s">
        <v>3682</v>
      </c>
      <c r="C492" t="s">
        <v>29</v>
      </c>
      <c r="D492" t="s">
        <v>3683</v>
      </c>
      <c r="E492" t="s">
        <v>3683</v>
      </c>
      <c r="F492" s="1">
        <v>46126.407118055547</v>
      </c>
      <c r="G492" t="s">
        <v>45</v>
      </c>
      <c r="H492">
        <v>0</v>
      </c>
      <c r="I492">
        <v>44</v>
      </c>
      <c r="J492">
        <v>48</v>
      </c>
      <c r="K492">
        <v>92</v>
      </c>
      <c r="L492">
        <v>147</v>
      </c>
      <c r="M492">
        <v>184</v>
      </c>
      <c r="N492">
        <v>4224</v>
      </c>
      <c r="O492">
        <v>3</v>
      </c>
      <c r="P492">
        <v>4</v>
      </c>
      <c r="Q492">
        <v>4</v>
      </c>
      <c r="R492" t="s">
        <v>3684</v>
      </c>
      <c r="S492" t="s">
        <v>3685</v>
      </c>
      <c r="T492" t="s">
        <v>3686</v>
      </c>
      <c r="U492" t="s">
        <v>3687</v>
      </c>
      <c r="V492" t="s">
        <v>3688</v>
      </c>
      <c r="W492" t="s">
        <v>3689</v>
      </c>
      <c r="X492" t="s">
        <v>38</v>
      </c>
      <c r="Y492" t="b">
        <v>0</v>
      </c>
      <c r="Z492" t="s">
        <v>39</v>
      </c>
      <c r="AA492" t="s">
        <v>3690</v>
      </c>
      <c r="AB492" t="s">
        <v>41</v>
      </c>
      <c r="AC492">
        <f t="shared" si="7"/>
        <v>4</v>
      </c>
    </row>
    <row r="493" spans="1:29" x14ac:dyDescent="0.3">
      <c r="A493">
        <v>2472056</v>
      </c>
      <c r="B493" t="s">
        <v>4104</v>
      </c>
      <c r="C493" t="s">
        <v>29</v>
      </c>
      <c r="D493" t="s">
        <v>4105</v>
      </c>
      <c r="E493" t="s">
        <v>4106</v>
      </c>
      <c r="F493" s="1">
        <v>46126.453657407408</v>
      </c>
      <c r="G493" t="s">
        <v>45</v>
      </c>
      <c r="H493">
        <v>0</v>
      </c>
      <c r="I493">
        <v>41</v>
      </c>
      <c r="J493">
        <v>1019</v>
      </c>
      <c r="K493">
        <v>1060</v>
      </c>
      <c r="L493">
        <v>120</v>
      </c>
      <c r="M493">
        <v>4067</v>
      </c>
      <c r="N493">
        <v>4799</v>
      </c>
      <c r="O493">
        <v>3</v>
      </c>
      <c r="P493">
        <v>2</v>
      </c>
      <c r="Q493">
        <v>2</v>
      </c>
      <c r="R493" t="s">
        <v>4107</v>
      </c>
      <c r="S493" t="s">
        <v>4108</v>
      </c>
      <c r="T493" t="s">
        <v>48</v>
      </c>
      <c r="U493" t="s">
        <v>4109</v>
      </c>
      <c r="V493" t="s">
        <v>4110</v>
      </c>
      <c r="W493" t="s">
        <v>4111</v>
      </c>
      <c r="X493" t="s">
        <v>84</v>
      </c>
      <c r="Y493" t="b">
        <v>0</v>
      </c>
      <c r="Z493" t="s">
        <v>39</v>
      </c>
      <c r="AA493" t="s">
        <v>4112</v>
      </c>
      <c r="AB493" t="s">
        <v>41</v>
      </c>
      <c r="AC493">
        <f t="shared" si="7"/>
        <v>3</v>
      </c>
    </row>
    <row r="494" spans="1:29" x14ac:dyDescent="0.3">
      <c r="A494">
        <v>2472057</v>
      </c>
      <c r="B494" t="s">
        <v>339</v>
      </c>
      <c r="C494" t="s">
        <v>29</v>
      </c>
      <c r="D494" t="s">
        <v>340</v>
      </c>
      <c r="E494" t="s">
        <v>340</v>
      </c>
      <c r="F494" s="1">
        <v>46092.642650462964</v>
      </c>
      <c r="G494" t="s">
        <v>31</v>
      </c>
      <c r="H494">
        <v>0</v>
      </c>
      <c r="I494">
        <v>459</v>
      </c>
      <c r="J494">
        <v>221</v>
      </c>
      <c r="K494">
        <v>680</v>
      </c>
      <c r="L494">
        <v>1570</v>
      </c>
      <c r="M494">
        <v>727</v>
      </c>
      <c r="N494">
        <v>356</v>
      </c>
      <c r="O494">
        <v>4</v>
      </c>
      <c r="P494">
        <v>4</v>
      </c>
      <c r="Q494">
        <v>4</v>
      </c>
      <c r="R494" t="s">
        <v>341</v>
      </c>
      <c r="S494" t="s">
        <v>342</v>
      </c>
      <c r="T494" t="s">
        <v>343</v>
      </c>
      <c r="U494" t="s">
        <v>344</v>
      </c>
      <c r="V494" t="s">
        <v>345</v>
      </c>
      <c r="W494" t="s">
        <v>346</v>
      </c>
      <c r="X494" t="s">
        <v>38</v>
      </c>
      <c r="Y494" t="b">
        <v>0</v>
      </c>
      <c r="Z494" t="s">
        <v>39</v>
      </c>
      <c r="AA494" t="s">
        <v>347</v>
      </c>
      <c r="AB494" t="s">
        <v>41</v>
      </c>
      <c r="AC494">
        <f t="shared" si="7"/>
        <v>4</v>
      </c>
    </row>
    <row r="495" spans="1:29" x14ac:dyDescent="0.3">
      <c r="A495">
        <v>2472057</v>
      </c>
      <c r="B495" t="s">
        <v>409</v>
      </c>
      <c r="C495" t="s">
        <v>29</v>
      </c>
      <c r="D495" t="s">
        <v>410</v>
      </c>
      <c r="E495" t="s">
        <v>410</v>
      </c>
      <c r="F495" s="1">
        <v>46085.652106481481</v>
      </c>
      <c r="G495" t="s">
        <v>177</v>
      </c>
      <c r="H495">
        <v>0</v>
      </c>
      <c r="I495">
        <v>71</v>
      </c>
      <c r="J495">
        <v>324</v>
      </c>
      <c r="K495">
        <v>395</v>
      </c>
      <c r="L495">
        <v>272</v>
      </c>
      <c r="M495">
        <v>1130</v>
      </c>
      <c r="N495">
        <v>413</v>
      </c>
      <c r="O495">
        <v>4</v>
      </c>
      <c r="P495">
        <v>5</v>
      </c>
      <c r="Q495">
        <v>4</v>
      </c>
      <c r="R495" t="s">
        <v>411</v>
      </c>
      <c r="S495" t="s">
        <v>412</v>
      </c>
      <c r="T495" t="s">
        <v>413</v>
      </c>
      <c r="U495" t="s">
        <v>414</v>
      </c>
      <c r="V495" t="s">
        <v>415</v>
      </c>
      <c r="W495" t="s">
        <v>416</v>
      </c>
      <c r="X495" t="s">
        <v>38</v>
      </c>
      <c r="Y495" t="b">
        <v>0</v>
      </c>
      <c r="Z495" t="s">
        <v>39</v>
      </c>
      <c r="AA495" t="s">
        <v>417</v>
      </c>
      <c r="AB495" t="s">
        <v>41</v>
      </c>
      <c r="AC495">
        <f t="shared" si="7"/>
        <v>4</v>
      </c>
    </row>
    <row r="496" spans="1:29" x14ac:dyDescent="0.3">
      <c r="A496">
        <v>2472057</v>
      </c>
      <c r="B496" t="s">
        <v>734</v>
      </c>
      <c r="C496" t="s">
        <v>29</v>
      </c>
      <c r="D496" t="s">
        <v>735</v>
      </c>
      <c r="E496" t="s">
        <v>735</v>
      </c>
      <c r="F496" s="1">
        <v>46092.681435185194</v>
      </c>
      <c r="G496" t="s">
        <v>31</v>
      </c>
      <c r="H496">
        <v>0</v>
      </c>
      <c r="I496">
        <v>535</v>
      </c>
      <c r="J496">
        <v>469</v>
      </c>
      <c r="K496">
        <v>1004</v>
      </c>
      <c r="L496">
        <v>1236</v>
      </c>
      <c r="M496">
        <v>1488</v>
      </c>
      <c r="N496">
        <v>761</v>
      </c>
      <c r="O496">
        <v>4</v>
      </c>
      <c r="P496">
        <v>5</v>
      </c>
      <c r="Q496">
        <v>4</v>
      </c>
      <c r="R496" t="s">
        <v>736</v>
      </c>
      <c r="S496" t="s">
        <v>729</v>
      </c>
      <c r="T496" t="s">
        <v>737</v>
      </c>
      <c r="U496" t="s">
        <v>738</v>
      </c>
      <c r="V496" t="s">
        <v>739</v>
      </c>
      <c r="W496" t="s">
        <v>740</v>
      </c>
      <c r="X496" t="s">
        <v>38</v>
      </c>
      <c r="Y496" t="b">
        <v>0</v>
      </c>
      <c r="Z496" t="s">
        <v>39</v>
      </c>
      <c r="AA496" t="s">
        <v>741</v>
      </c>
      <c r="AB496" t="s">
        <v>41</v>
      </c>
      <c r="AC496">
        <f t="shared" si="7"/>
        <v>4</v>
      </c>
    </row>
    <row r="497" spans="1:29" x14ac:dyDescent="0.3">
      <c r="A497">
        <v>2472057</v>
      </c>
      <c r="B497" t="s">
        <v>2527</v>
      </c>
      <c r="C497" t="s">
        <v>29</v>
      </c>
      <c r="D497" t="s">
        <v>2528</v>
      </c>
      <c r="E497" t="s">
        <v>2528</v>
      </c>
      <c r="F497" s="1">
        <v>46092.66715277778</v>
      </c>
      <c r="G497" t="s">
        <v>31</v>
      </c>
      <c r="H497">
        <v>0</v>
      </c>
      <c r="I497">
        <v>385</v>
      </c>
      <c r="J497">
        <v>1026</v>
      </c>
      <c r="K497">
        <v>1411</v>
      </c>
      <c r="L497">
        <v>1424</v>
      </c>
      <c r="M497">
        <v>3574</v>
      </c>
      <c r="N497">
        <v>2842</v>
      </c>
      <c r="O497">
        <v>4</v>
      </c>
      <c r="P497">
        <v>5</v>
      </c>
      <c r="Q497">
        <v>5</v>
      </c>
      <c r="R497" t="s">
        <v>1967</v>
      </c>
      <c r="S497" t="s">
        <v>208</v>
      </c>
      <c r="T497" t="s">
        <v>2529</v>
      </c>
      <c r="U497" t="s">
        <v>270</v>
      </c>
      <c r="V497" t="s">
        <v>2530</v>
      </c>
      <c r="W497" t="s">
        <v>309</v>
      </c>
      <c r="X497" t="s">
        <v>154</v>
      </c>
      <c r="Y497" t="b">
        <v>0</v>
      </c>
      <c r="Z497" t="s">
        <v>39</v>
      </c>
      <c r="AA497" t="s">
        <v>2531</v>
      </c>
      <c r="AB497" t="s">
        <v>41</v>
      </c>
      <c r="AC497">
        <f t="shared" si="7"/>
        <v>5</v>
      </c>
    </row>
    <row r="498" spans="1:29" x14ac:dyDescent="0.3">
      <c r="A498">
        <v>2472057</v>
      </c>
      <c r="B498" t="s">
        <v>3726</v>
      </c>
      <c r="C498" t="s">
        <v>29</v>
      </c>
      <c r="D498" t="s">
        <v>3727</v>
      </c>
      <c r="E498" t="s">
        <v>3727</v>
      </c>
      <c r="F498" s="1">
        <v>46092.659224537027</v>
      </c>
      <c r="G498" t="s">
        <v>31</v>
      </c>
      <c r="H498">
        <v>0</v>
      </c>
      <c r="I498">
        <v>34</v>
      </c>
      <c r="J498">
        <v>86</v>
      </c>
      <c r="K498">
        <v>120</v>
      </c>
      <c r="L498">
        <v>157</v>
      </c>
      <c r="M498">
        <v>350</v>
      </c>
      <c r="N498">
        <v>4287</v>
      </c>
      <c r="O498">
        <v>4</v>
      </c>
      <c r="P498">
        <v>5</v>
      </c>
      <c r="Q498">
        <v>5</v>
      </c>
      <c r="R498" t="s">
        <v>139</v>
      </c>
      <c r="S498" t="s">
        <v>3728</v>
      </c>
      <c r="T498" t="s">
        <v>621</v>
      </c>
      <c r="U498" t="s">
        <v>125</v>
      </c>
      <c r="V498" t="s">
        <v>3729</v>
      </c>
      <c r="W498" t="s">
        <v>3730</v>
      </c>
      <c r="X498" t="s">
        <v>154</v>
      </c>
      <c r="Y498" t="b">
        <v>0</v>
      </c>
      <c r="Z498" t="s">
        <v>39</v>
      </c>
      <c r="AA498" t="s">
        <v>3731</v>
      </c>
      <c r="AB498" t="s">
        <v>41</v>
      </c>
      <c r="AC498">
        <f t="shared" si="7"/>
        <v>5</v>
      </c>
    </row>
    <row r="499" spans="1:29" x14ac:dyDescent="0.3">
      <c r="A499">
        <v>2472057</v>
      </c>
      <c r="B499" t="s">
        <v>4061</v>
      </c>
      <c r="C499" t="s">
        <v>29</v>
      </c>
      <c r="D499" t="s">
        <v>4062</v>
      </c>
      <c r="E499" t="s">
        <v>4062</v>
      </c>
      <c r="F499" s="1">
        <v>46092.650046296287</v>
      </c>
      <c r="G499" t="s">
        <v>31</v>
      </c>
      <c r="H499">
        <v>0</v>
      </c>
      <c r="I499">
        <v>46</v>
      </c>
      <c r="J499">
        <v>140</v>
      </c>
      <c r="K499">
        <v>186</v>
      </c>
      <c r="L499">
        <v>153</v>
      </c>
      <c r="M499">
        <v>398</v>
      </c>
      <c r="N499">
        <v>4756</v>
      </c>
      <c r="O499">
        <v>3</v>
      </c>
      <c r="P499">
        <v>4</v>
      </c>
      <c r="Q499">
        <v>3</v>
      </c>
      <c r="R499" t="s">
        <v>3684</v>
      </c>
      <c r="S499" t="s">
        <v>4063</v>
      </c>
      <c r="T499" t="s">
        <v>4064</v>
      </c>
      <c r="U499" t="s">
        <v>4065</v>
      </c>
      <c r="V499" t="s">
        <v>4066</v>
      </c>
      <c r="W499" t="s">
        <v>4067</v>
      </c>
      <c r="X499" t="s">
        <v>38</v>
      </c>
      <c r="Y499" t="b">
        <v>0</v>
      </c>
      <c r="Z499" t="s">
        <v>39</v>
      </c>
      <c r="AA499" t="s">
        <v>4068</v>
      </c>
      <c r="AB499" t="s">
        <v>41</v>
      </c>
      <c r="AC499">
        <f t="shared" si="7"/>
        <v>4</v>
      </c>
    </row>
    <row r="500" spans="1:29" x14ac:dyDescent="0.3">
      <c r="A500">
        <v>2472058</v>
      </c>
      <c r="B500" t="s">
        <v>1075</v>
      </c>
      <c r="C500" t="s">
        <v>29</v>
      </c>
      <c r="D500" t="s">
        <v>1076</v>
      </c>
      <c r="E500" t="s">
        <v>1077</v>
      </c>
      <c r="F500" s="1">
        <v>46092.685868055552</v>
      </c>
      <c r="G500" t="s">
        <v>31</v>
      </c>
      <c r="H500">
        <v>0</v>
      </c>
      <c r="I500">
        <v>160</v>
      </c>
      <c r="J500">
        <v>102</v>
      </c>
      <c r="K500">
        <v>262</v>
      </c>
      <c r="L500">
        <v>612</v>
      </c>
      <c r="M500">
        <v>380</v>
      </c>
      <c r="N500">
        <v>1064</v>
      </c>
      <c r="O500">
        <v>3</v>
      </c>
      <c r="P500">
        <v>4</v>
      </c>
      <c r="Q500">
        <v>4</v>
      </c>
      <c r="R500" t="s">
        <v>1078</v>
      </c>
      <c r="S500" t="s">
        <v>1079</v>
      </c>
      <c r="T500" t="s">
        <v>1080</v>
      </c>
      <c r="U500" t="s">
        <v>1081</v>
      </c>
      <c r="V500" t="s">
        <v>1082</v>
      </c>
      <c r="W500" t="s">
        <v>1083</v>
      </c>
      <c r="X500" t="s">
        <v>38</v>
      </c>
      <c r="Y500" t="b">
        <v>0</v>
      </c>
      <c r="Z500" t="s">
        <v>39</v>
      </c>
      <c r="AA500" t="s">
        <v>1084</v>
      </c>
      <c r="AB500" t="s">
        <v>41</v>
      </c>
      <c r="AC500">
        <f t="shared" si="7"/>
        <v>4</v>
      </c>
    </row>
    <row r="501" spans="1:29" x14ac:dyDescent="0.3">
      <c r="A501">
        <v>2472058</v>
      </c>
      <c r="B501" t="s">
        <v>1161</v>
      </c>
      <c r="C501" t="s">
        <v>29</v>
      </c>
      <c r="D501" t="s">
        <v>1162</v>
      </c>
      <c r="E501" t="s">
        <v>1163</v>
      </c>
      <c r="F501" s="1">
        <v>46078.693032407413</v>
      </c>
      <c r="G501" t="s">
        <v>67</v>
      </c>
      <c r="H501">
        <v>0</v>
      </c>
      <c r="I501">
        <v>37</v>
      </c>
      <c r="J501">
        <v>137</v>
      </c>
      <c r="K501">
        <v>174</v>
      </c>
      <c r="L501">
        <v>131</v>
      </c>
      <c r="M501">
        <v>495</v>
      </c>
      <c r="N501">
        <v>1228</v>
      </c>
      <c r="O501">
        <v>3</v>
      </c>
      <c r="P501">
        <v>4</v>
      </c>
      <c r="Q501">
        <v>3</v>
      </c>
      <c r="R501" t="s">
        <v>1164</v>
      </c>
      <c r="S501" t="s">
        <v>1165</v>
      </c>
      <c r="T501" t="s">
        <v>1166</v>
      </c>
      <c r="U501" t="s">
        <v>1167</v>
      </c>
      <c r="V501" t="s">
        <v>1168</v>
      </c>
      <c r="W501" t="s">
        <v>1169</v>
      </c>
      <c r="X501" t="s">
        <v>38</v>
      </c>
      <c r="Y501" t="b">
        <v>0</v>
      </c>
      <c r="Z501" t="s">
        <v>39</v>
      </c>
      <c r="AA501" t="s">
        <v>1170</v>
      </c>
      <c r="AB501" t="s">
        <v>41</v>
      </c>
      <c r="AC501">
        <f t="shared" si="7"/>
        <v>4</v>
      </c>
    </row>
    <row r="502" spans="1:29" x14ac:dyDescent="0.3">
      <c r="A502">
        <v>2472058</v>
      </c>
      <c r="B502" t="s">
        <v>1617</v>
      </c>
      <c r="C502" t="s">
        <v>29</v>
      </c>
      <c r="D502" t="s">
        <v>1618</v>
      </c>
      <c r="E502" t="s">
        <v>1619</v>
      </c>
      <c r="F502" s="1">
        <v>46085.647824074083</v>
      </c>
      <c r="G502" t="s">
        <v>177</v>
      </c>
      <c r="H502">
        <v>0</v>
      </c>
      <c r="I502">
        <v>31</v>
      </c>
      <c r="J502">
        <v>73</v>
      </c>
      <c r="K502">
        <v>104</v>
      </c>
      <c r="L502">
        <v>113</v>
      </c>
      <c r="M502">
        <v>285</v>
      </c>
      <c r="N502">
        <v>1764</v>
      </c>
      <c r="O502">
        <v>3</v>
      </c>
      <c r="P502">
        <v>4</v>
      </c>
      <c r="Q502">
        <v>3</v>
      </c>
      <c r="R502" t="s">
        <v>1620</v>
      </c>
      <c r="S502" t="s">
        <v>1621</v>
      </c>
      <c r="T502" t="s">
        <v>1622</v>
      </c>
      <c r="U502" t="s">
        <v>1623</v>
      </c>
      <c r="V502" t="s">
        <v>1624</v>
      </c>
      <c r="W502" t="s">
        <v>1625</v>
      </c>
      <c r="X502" t="s">
        <v>38</v>
      </c>
      <c r="Y502" t="b">
        <v>0</v>
      </c>
      <c r="Z502" t="s">
        <v>39</v>
      </c>
      <c r="AA502" t="s">
        <v>1626</v>
      </c>
      <c r="AB502" t="s">
        <v>41</v>
      </c>
      <c r="AC502">
        <f t="shared" si="7"/>
        <v>4</v>
      </c>
    </row>
    <row r="503" spans="1:29" x14ac:dyDescent="0.3">
      <c r="A503">
        <v>2472058</v>
      </c>
      <c r="B503" t="s">
        <v>2510</v>
      </c>
      <c r="C503" t="s">
        <v>29</v>
      </c>
      <c r="D503" t="s">
        <v>2511</v>
      </c>
      <c r="E503" t="s">
        <v>2512</v>
      </c>
      <c r="F503" s="1">
        <v>46127.601006944453</v>
      </c>
      <c r="G503" t="s">
        <v>45</v>
      </c>
      <c r="H503">
        <v>0</v>
      </c>
      <c r="I503">
        <v>294</v>
      </c>
      <c r="J503">
        <v>1009</v>
      </c>
      <c r="K503">
        <v>1303</v>
      </c>
      <c r="L503">
        <v>874</v>
      </c>
      <c r="M503">
        <v>4065</v>
      </c>
      <c r="N503">
        <v>2820</v>
      </c>
      <c r="O503">
        <v>4</v>
      </c>
      <c r="P503">
        <v>3</v>
      </c>
      <c r="Q503">
        <v>3</v>
      </c>
      <c r="R503" t="s">
        <v>1130</v>
      </c>
      <c r="S503" t="s">
        <v>485</v>
      </c>
      <c r="T503" t="s">
        <v>2513</v>
      </c>
      <c r="U503" t="s">
        <v>2514</v>
      </c>
      <c r="V503" t="s">
        <v>2515</v>
      </c>
      <c r="W503" t="s">
        <v>2516</v>
      </c>
      <c r="X503" t="s">
        <v>84</v>
      </c>
      <c r="Y503" t="b">
        <v>0</v>
      </c>
      <c r="Z503" t="s">
        <v>39</v>
      </c>
      <c r="AA503" t="s">
        <v>2517</v>
      </c>
      <c r="AB503" t="s">
        <v>41</v>
      </c>
      <c r="AC503">
        <f t="shared" si="7"/>
        <v>3</v>
      </c>
    </row>
    <row r="504" spans="1:29" x14ac:dyDescent="0.3">
      <c r="A504">
        <v>2472058</v>
      </c>
      <c r="B504" t="s">
        <v>2664</v>
      </c>
      <c r="C504" t="s">
        <v>29</v>
      </c>
      <c r="D504" t="s">
        <v>2665</v>
      </c>
      <c r="E504" t="s">
        <v>2666</v>
      </c>
      <c r="F504" s="1">
        <v>46078.679074074083</v>
      </c>
      <c r="G504" t="s">
        <v>67</v>
      </c>
      <c r="H504">
        <v>0</v>
      </c>
      <c r="I504">
        <v>191</v>
      </c>
      <c r="J504">
        <v>61</v>
      </c>
      <c r="K504">
        <v>252</v>
      </c>
      <c r="L504">
        <v>851</v>
      </c>
      <c r="M504">
        <v>291</v>
      </c>
      <c r="N504">
        <v>3005</v>
      </c>
      <c r="O504">
        <v>4</v>
      </c>
      <c r="P504">
        <v>5</v>
      </c>
      <c r="Q504">
        <v>4</v>
      </c>
      <c r="R504" t="s">
        <v>438</v>
      </c>
      <c r="S504" t="s">
        <v>729</v>
      </c>
      <c r="T504" t="s">
        <v>2667</v>
      </c>
      <c r="U504" t="s">
        <v>2490</v>
      </c>
      <c r="V504" t="s">
        <v>2668</v>
      </c>
      <c r="W504" t="s">
        <v>1117</v>
      </c>
      <c r="X504" t="s">
        <v>154</v>
      </c>
      <c r="Y504" t="b">
        <v>0</v>
      </c>
      <c r="Z504" t="s">
        <v>39</v>
      </c>
      <c r="AA504" t="s">
        <v>2669</v>
      </c>
      <c r="AB504" t="s">
        <v>41</v>
      </c>
      <c r="AC504">
        <f t="shared" si="7"/>
        <v>5</v>
      </c>
    </row>
    <row r="505" spans="1:29" x14ac:dyDescent="0.3">
      <c r="A505">
        <v>2472058</v>
      </c>
      <c r="B505" t="s">
        <v>3001</v>
      </c>
      <c r="C505" t="s">
        <v>29</v>
      </c>
      <c r="D505" t="s">
        <v>3002</v>
      </c>
      <c r="E505" t="s">
        <v>3003</v>
      </c>
      <c r="F505" s="1">
        <v>46078.686122685183</v>
      </c>
      <c r="G505" t="s">
        <v>67</v>
      </c>
      <c r="H505">
        <v>0</v>
      </c>
      <c r="I505">
        <v>208</v>
      </c>
      <c r="J505">
        <v>633</v>
      </c>
      <c r="K505">
        <v>841</v>
      </c>
      <c r="L505">
        <v>956</v>
      </c>
      <c r="M505">
        <v>2894</v>
      </c>
      <c r="N505">
        <v>3439</v>
      </c>
      <c r="O505">
        <v>3</v>
      </c>
      <c r="P505">
        <v>4</v>
      </c>
      <c r="Q505">
        <v>3</v>
      </c>
      <c r="R505" t="s">
        <v>3004</v>
      </c>
      <c r="S505" t="s">
        <v>3005</v>
      </c>
      <c r="T505" t="s">
        <v>3006</v>
      </c>
      <c r="U505" t="s">
        <v>3007</v>
      </c>
      <c r="V505" t="s">
        <v>3008</v>
      </c>
      <c r="W505" t="s">
        <v>3009</v>
      </c>
      <c r="X505" t="s">
        <v>38</v>
      </c>
      <c r="Y505" t="b">
        <v>0</v>
      </c>
      <c r="Z505" t="s">
        <v>39</v>
      </c>
      <c r="AA505" t="s">
        <v>3010</v>
      </c>
      <c r="AB505" t="s">
        <v>41</v>
      </c>
      <c r="AC505">
        <f t="shared" si="7"/>
        <v>4</v>
      </c>
    </row>
    <row r="506" spans="1:29" x14ac:dyDescent="0.3">
      <c r="A506">
        <v>2472058</v>
      </c>
      <c r="B506" t="s">
        <v>4128</v>
      </c>
      <c r="C506" t="s">
        <v>29</v>
      </c>
      <c r="D506" t="s">
        <v>4129</v>
      </c>
      <c r="E506" t="s">
        <v>4129</v>
      </c>
      <c r="F506" s="1">
        <v>46127.625787037039</v>
      </c>
      <c r="G506" t="s">
        <v>45</v>
      </c>
      <c r="H506">
        <v>0</v>
      </c>
      <c r="I506">
        <v>353</v>
      </c>
      <c r="J506">
        <v>947</v>
      </c>
      <c r="K506">
        <v>1300</v>
      </c>
      <c r="L506">
        <v>1240</v>
      </c>
      <c r="M506">
        <v>3309</v>
      </c>
      <c r="N506">
        <v>4817</v>
      </c>
      <c r="O506">
        <v>4</v>
      </c>
      <c r="P506">
        <v>5</v>
      </c>
      <c r="Q506">
        <v>5</v>
      </c>
      <c r="R506" t="s">
        <v>4130</v>
      </c>
      <c r="S506" t="s">
        <v>4131</v>
      </c>
      <c r="T506" t="s">
        <v>4132</v>
      </c>
      <c r="U506" t="s">
        <v>4133</v>
      </c>
      <c r="V506" t="s">
        <v>4134</v>
      </c>
      <c r="W506" t="s">
        <v>4135</v>
      </c>
      <c r="X506" t="s">
        <v>154</v>
      </c>
      <c r="Y506" t="b">
        <v>0</v>
      </c>
      <c r="Z506" t="s">
        <v>39</v>
      </c>
      <c r="AA506" t="s">
        <v>4136</v>
      </c>
      <c r="AB506" t="s">
        <v>41</v>
      </c>
      <c r="AC506">
        <f t="shared" si="7"/>
        <v>5</v>
      </c>
    </row>
    <row r="507" spans="1:29" x14ac:dyDescent="0.3">
      <c r="A507">
        <v>2472058</v>
      </c>
      <c r="B507" t="s">
        <v>4165</v>
      </c>
      <c r="C507" t="s">
        <v>29</v>
      </c>
      <c r="D507" t="s">
        <v>4166</v>
      </c>
      <c r="E507" t="s">
        <v>4166</v>
      </c>
      <c r="F507" s="1">
        <v>46092.636631944442</v>
      </c>
      <c r="G507" t="s">
        <v>31</v>
      </c>
      <c r="H507">
        <v>0</v>
      </c>
      <c r="I507">
        <v>43</v>
      </c>
      <c r="J507">
        <v>144</v>
      </c>
      <c r="K507">
        <v>187</v>
      </c>
      <c r="L507">
        <v>166</v>
      </c>
      <c r="M507">
        <v>537</v>
      </c>
      <c r="N507">
        <v>4883</v>
      </c>
      <c r="O507">
        <v>4</v>
      </c>
      <c r="P507">
        <v>5</v>
      </c>
      <c r="Q507">
        <v>5</v>
      </c>
      <c r="R507" t="s">
        <v>1491</v>
      </c>
      <c r="S507" t="s">
        <v>2094</v>
      </c>
      <c r="T507" t="s">
        <v>4167</v>
      </c>
      <c r="U507" t="s">
        <v>125</v>
      </c>
      <c r="V507" t="s">
        <v>4168</v>
      </c>
      <c r="W507" t="s">
        <v>4169</v>
      </c>
      <c r="X507" t="s">
        <v>154</v>
      </c>
      <c r="Y507" t="b">
        <v>0</v>
      </c>
      <c r="Z507" t="s">
        <v>39</v>
      </c>
      <c r="AA507" t="s">
        <v>4170</v>
      </c>
      <c r="AB507" t="s">
        <v>41</v>
      </c>
      <c r="AC507">
        <f t="shared" si="7"/>
        <v>5</v>
      </c>
    </row>
    <row r="508" spans="1:29" x14ac:dyDescent="0.3">
      <c r="A508">
        <v>2472064</v>
      </c>
      <c r="B508" t="s">
        <v>28</v>
      </c>
      <c r="C508" t="s">
        <v>29</v>
      </c>
      <c r="D508" t="s">
        <v>30</v>
      </c>
      <c r="E508" t="s">
        <v>30</v>
      </c>
      <c r="F508" s="1">
        <v>46092.674942129634</v>
      </c>
      <c r="G508" t="s">
        <v>31</v>
      </c>
      <c r="H508">
        <v>0</v>
      </c>
      <c r="I508">
        <v>110</v>
      </c>
      <c r="J508">
        <v>506</v>
      </c>
      <c r="K508">
        <v>616</v>
      </c>
      <c r="L508">
        <v>473</v>
      </c>
      <c r="M508">
        <v>1689</v>
      </c>
      <c r="N508">
        <v>48</v>
      </c>
      <c r="O508">
        <v>4</v>
      </c>
      <c r="P508">
        <v>4</v>
      </c>
      <c r="Q508">
        <v>4</v>
      </c>
      <c r="R508" t="s">
        <v>32</v>
      </c>
      <c r="S508" t="s">
        <v>33</v>
      </c>
      <c r="T508" t="s">
        <v>34</v>
      </c>
      <c r="U508" t="s">
        <v>35</v>
      </c>
      <c r="V508" t="s">
        <v>36</v>
      </c>
      <c r="W508" t="s">
        <v>37</v>
      </c>
      <c r="X508" t="s">
        <v>38</v>
      </c>
      <c r="Y508" t="b">
        <v>0</v>
      </c>
      <c r="Z508" t="s">
        <v>39</v>
      </c>
      <c r="AA508" t="s">
        <v>40</v>
      </c>
      <c r="AB508" t="s">
        <v>41</v>
      </c>
      <c r="AC508">
        <f t="shared" si="7"/>
        <v>4</v>
      </c>
    </row>
    <row r="509" spans="1:29" x14ac:dyDescent="0.3">
      <c r="A509">
        <v>2472064</v>
      </c>
      <c r="B509" t="s">
        <v>1018</v>
      </c>
      <c r="C509" t="s">
        <v>29</v>
      </c>
      <c r="D509" t="s">
        <v>1019</v>
      </c>
      <c r="E509" t="s">
        <v>1019</v>
      </c>
      <c r="F509" s="1">
        <v>46099.672696759262</v>
      </c>
      <c r="G509" t="s">
        <v>138</v>
      </c>
      <c r="H509">
        <v>0</v>
      </c>
      <c r="I509">
        <v>64</v>
      </c>
      <c r="J509">
        <v>261</v>
      </c>
      <c r="K509">
        <v>325</v>
      </c>
      <c r="L509">
        <v>240</v>
      </c>
      <c r="M509">
        <v>958</v>
      </c>
      <c r="N509">
        <v>964</v>
      </c>
      <c r="O509">
        <v>4</v>
      </c>
      <c r="P509">
        <v>5</v>
      </c>
      <c r="Q509">
        <v>4</v>
      </c>
      <c r="R509" t="s">
        <v>139</v>
      </c>
      <c r="S509" t="s">
        <v>387</v>
      </c>
      <c r="T509" t="s">
        <v>1020</v>
      </c>
      <c r="U509" t="s">
        <v>1021</v>
      </c>
      <c r="V509" t="s">
        <v>1022</v>
      </c>
      <c r="W509" t="s">
        <v>1023</v>
      </c>
      <c r="X509" t="s">
        <v>38</v>
      </c>
      <c r="Y509" t="b">
        <v>0</v>
      </c>
      <c r="Z509" t="s">
        <v>39</v>
      </c>
      <c r="AA509" t="s">
        <v>1024</v>
      </c>
      <c r="AB509" t="s">
        <v>41</v>
      </c>
      <c r="AC509">
        <f t="shared" si="7"/>
        <v>4</v>
      </c>
    </row>
    <row r="510" spans="1:29" x14ac:dyDescent="0.3">
      <c r="A510">
        <v>2472064</v>
      </c>
      <c r="B510" t="s">
        <v>1340</v>
      </c>
      <c r="C510" t="s">
        <v>29</v>
      </c>
      <c r="D510" t="s">
        <v>1341</v>
      </c>
      <c r="E510" t="s">
        <v>1341</v>
      </c>
      <c r="F510" s="1">
        <v>46092.647465277783</v>
      </c>
      <c r="G510" t="s">
        <v>31</v>
      </c>
      <c r="H510">
        <v>0</v>
      </c>
      <c r="I510">
        <v>51</v>
      </c>
      <c r="J510">
        <v>149</v>
      </c>
      <c r="K510">
        <v>200</v>
      </c>
      <c r="L510">
        <v>174</v>
      </c>
      <c r="M510">
        <v>535</v>
      </c>
      <c r="N510">
        <v>1486</v>
      </c>
      <c r="O510">
        <v>4</v>
      </c>
      <c r="P510">
        <v>5</v>
      </c>
      <c r="Q510">
        <v>5</v>
      </c>
      <c r="R510" t="s">
        <v>1342</v>
      </c>
      <c r="S510" t="s">
        <v>1343</v>
      </c>
      <c r="T510" t="s">
        <v>1344</v>
      </c>
      <c r="U510" t="s">
        <v>170</v>
      </c>
      <c r="V510" t="s">
        <v>1345</v>
      </c>
      <c r="W510" t="s">
        <v>1346</v>
      </c>
      <c r="X510" t="s">
        <v>154</v>
      </c>
      <c r="Y510" t="b">
        <v>0</v>
      </c>
      <c r="Z510" t="s">
        <v>39</v>
      </c>
      <c r="AA510" t="s">
        <v>1347</v>
      </c>
      <c r="AB510" t="s">
        <v>41</v>
      </c>
      <c r="AC510">
        <f t="shared" si="7"/>
        <v>5</v>
      </c>
    </row>
    <row r="511" spans="1:29" x14ac:dyDescent="0.3">
      <c r="A511">
        <v>2472064</v>
      </c>
      <c r="B511" t="s">
        <v>1783</v>
      </c>
      <c r="C511" t="s">
        <v>29</v>
      </c>
      <c r="D511" t="s">
        <v>1784</v>
      </c>
      <c r="E511" t="s">
        <v>1784</v>
      </c>
      <c r="F511" s="1">
        <v>46127.632291666669</v>
      </c>
      <c r="G511" t="s">
        <v>45</v>
      </c>
      <c r="H511">
        <v>0</v>
      </c>
      <c r="I511">
        <v>483</v>
      </c>
      <c r="J511">
        <v>446</v>
      </c>
      <c r="K511">
        <v>929</v>
      </c>
      <c r="L511">
        <v>1637</v>
      </c>
      <c r="M511">
        <v>1400</v>
      </c>
      <c r="N511">
        <v>1994</v>
      </c>
      <c r="O511">
        <v>4</v>
      </c>
      <c r="P511">
        <v>5</v>
      </c>
      <c r="Q511">
        <v>5</v>
      </c>
      <c r="R511" t="s">
        <v>1785</v>
      </c>
      <c r="S511" t="s">
        <v>1786</v>
      </c>
      <c r="T511" t="s">
        <v>1787</v>
      </c>
      <c r="U511" t="s">
        <v>200</v>
      </c>
      <c r="V511" t="s">
        <v>1788</v>
      </c>
      <c r="W511" t="s">
        <v>309</v>
      </c>
      <c r="X511" t="s">
        <v>154</v>
      </c>
      <c r="Y511" t="b">
        <v>0</v>
      </c>
      <c r="Z511" t="s">
        <v>39</v>
      </c>
      <c r="AA511" t="s">
        <v>1789</v>
      </c>
      <c r="AB511" t="s">
        <v>41</v>
      </c>
      <c r="AC511">
        <f t="shared" si="7"/>
        <v>5</v>
      </c>
    </row>
    <row r="512" spans="1:29" x14ac:dyDescent="0.3">
      <c r="A512">
        <v>2472064</v>
      </c>
      <c r="B512" t="s">
        <v>2418</v>
      </c>
      <c r="C512" t="s">
        <v>29</v>
      </c>
      <c r="D512" t="s">
        <v>2419</v>
      </c>
      <c r="E512" t="s">
        <v>2419</v>
      </c>
      <c r="F512" s="1">
        <v>46127.620115740741</v>
      </c>
      <c r="G512" t="s">
        <v>45</v>
      </c>
      <c r="H512">
        <v>0</v>
      </c>
      <c r="I512">
        <v>185</v>
      </c>
      <c r="J512">
        <v>1071</v>
      </c>
      <c r="K512">
        <v>1256</v>
      </c>
      <c r="L512">
        <v>679</v>
      </c>
      <c r="M512">
        <v>3566</v>
      </c>
      <c r="N512">
        <v>2718</v>
      </c>
      <c r="O512">
        <v>4</v>
      </c>
      <c r="P512">
        <v>5</v>
      </c>
      <c r="Q512">
        <v>4</v>
      </c>
      <c r="R512" t="s">
        <v>2420</v>
      </c>
      <c r="S512" t="s">
        <v>387</v>
      </c>
      <c r="T512" t="s">
        <v>1122</v>
      </c>
      <c r="U512" t="s">
        <v>2421</v>
      </c>
      <c r="V512" t="s">
        <v>2422</v>
      </c>
      <c r="W512" t="s">
        <v>2423</v>
      </c>
      <c r="X512" t="s">
        <v>38</v>
      </c>
      <c r="Y512" t="b">
        <v>0</v>
      </c>
      <c r="Z512" t="s">
        <v>39</v>
      </c>
      <c r="AA512" t="s">
        <v>2424</v>
      </c>
      <c r="AB512" t="s">
        <v>41</v>
      </c>
      <c r="AC512">
        <f t="shared" si="7"/>
        <v>4</v>
      </c>
    </row>
    <row r="513" spans="1:29" x14ac:dyDescent="0.3">
      <c r="A513">
        <v>2472901</v>
      </c>
      <c r="B513" t="s">
        <v>1597</v>
      </c>
      <c r="C513" t="s">
        <v>29</v>
      </c>
      <c r="D513" t="s">
        <v>1598</v>
      </c>
      <c r="E513" t="s">
        <v>1598</v>
      </c>
      <c r="F513" s="1">
        <v>46084.518495370372</v>
      </c>
      <c r="G513" t="s">
        <v>177</v>
      </c>
      <c r="H513">
        <v>0</v>
      </c>
      <c r="I513">
        <v>38</v>
      </c>
      <c r="J513">
        <v>113</v>
      </c>
      <c r="K513">
        <v>151</v>
      </c>
      <c r="L513">
        <v>129</v>
      </c>
      <c r="M513">
        <v>399</v>
      </c>
      <c r="N513">
        <v>1749</v>
      </c>
      <c r="O513">
        <v>3</v>
      </c>
      <c r="P513">
        <v>4</v>
      </c>
      <c r="Q513">
        <v>4</v>
      </c>
      <c r="R513" t="s">
        <v>1599</v>
      </c>
      <c r="S513" t="s">
        <v>1600</v>
      </c>
      <c r="T513" t="s">
        <v>1601</v>
      </c>
      <c r="U513" t="s">
        <v>1602</v>
      </c>
      <c r="V513" t="s">
        <v>1603</v>
      </c>
      <c r="W513" t="s">
        <v>1604</v>
      </c>
      <c r="X513" t="s">
        <v>38</v>
      </c>
      <c r="Y513" t="b">
        <v>0</v>
      </c>
      <c r="Z513" t="s">
        <v>39</v>
      </c>
      <c r="AA513" t="s">
        <v>1605</v>
      </c>
      <c r="AB513" t="s">
        <v>41</v>
      </c>
      <c r="AC513">
        <f t="shared" si="7"/>
        <v>4</v>
      </c>
    </row>
    <row r="514" spans="1:29" x14ac:dyDescent="0.3">
      <c r="A514">
        <v>2472901</v>
      </c>
      <c r="B514" t="s">
        <v>2925</v>
      </c>
      <c r="C514" t="s">
        <v>29</v>
      </c>
      <c r="D514" t="s">
        <v>2926</v>
      </c>
      <c r="E514" t="s">
        <v>2926</v>
      </c>
      <c r="F514" s="1">
        <v>46126.399606481478</v>
      </c>
      <c r="G514" t="s">
        <v>45</v>
      </c>
      <c r="H514">
        <v>0</v>
      </c>
      <c r="I514">
        <v>39</v>
      </c>
      <c r="J514">
        <v>49</v>
      </c>
      <c r="K514">
        <v>88</v>
      </c>
      <c r="L514">
        <v>120</v>
      </c>
      <c r="M514">
        <v>185</v>
      </c>
      <c r="N514">
        <v>3358</v>
      </c>
      <c r="O514">
        <v>3</v>
      </c>
      <c r="P514">
        <v>4</v>
      </c>
      <c r="Q514">
        <v>3</v>
      </c>
      <c r="R514" t="s">
        <v>2927</v>
      </c>
      <c r="S514" t="s">
        <v>2928</v>
      </c>
      <c r="T514" t="s">
        <v>2929</v>
      </c>
      <c r="U514" t="s">
        <v>2930</v>
      </c>
      <c r="V514" t="s">
        <v>2931</v>
      </c>
      <c r="W514" t="s">
        <v>2932</v>
      </c>
      <c r="X514" t="s">
        <v>38</v>
      </c>
      <c r="Y514" t="b">
        <v>0</v>
      </c>
      <c r="Z514" t="s">
        <v>39</v>
      </c>
      <c r="AA514" t="s">
        <v>2933</v>
      </c>
      <c r="AB514" t="s">
        <v>41</v>
      </c>
      <c r="AC514">
        <f t="shared" si="7"/>
        <v>4</v>
      </c>
    </row>
    <row r="515" spans="1:29" x14ac:dyDescent="0.3">
      <c r="A515">
        <v>2472901</v>
      </c>
      <c r="B515" t="s">
        <v>3163</v>
      </c>
      <c r="C515" t="s">
        <v>29</v>
      </c>
      <c r="D515" t="s">
        <v>3164</v>
      </c>
      <c r="E515" t="s">
        <v>3164</v>
      </c>
      <c r="F515" s="1">
        <v>46126.409467592603</v>
      </c>
      <c r="G515" t="s">
        <v>45</v>
      </c>
      <c r="H515">
        <v>0</v>
      </c>
      <c r="I515">
        <v>43</v>
      </c>
      <c r="J515">
        <v>8</v>
      </c>
      <c r="K515">
        <v>51</v>
      </c>
      <c r="L515">
        <v>129</v>
      </c>
      <c r="M515">
        <v>28</v>
      </c>
      <c r="N515">
        <v>3597</v>
      </c>
      <c r="O515">
        <v>3</v>
      </c>
      <c r="P515">
        <v>3</v>
      </c>
      <c r="Q515">
        <v>3</v>
      </c>
      <c r="R515" t="s">
        <v>3165</v>
      </c>
      <c r="S515" t="s">
        <v>3166</v>
      </c>
      <c r="T515" t="s">
        <v>3167</v>
      </c>
      <c r="U515" t="s">
        <v>3168</v>
      </c>
      <c r="V515" t="s">
        <v>3169</v>
      </c>
      <c r="W515" t="s">
        <v>3170</v>
      </c>
      <c r="X515" t="s">
        <v>84</v>
      </c>
      <c r="Y515" t="b">
        <v>0</v>
      </c>
      <c r="Z515" t="s">
        <v>39</v>
      </c>
      <c r="AA515" t="s">
        <v>3171</v>
      </c>
      <c r="AB515" t="s">
        <v>41</v>
      </c>
      <c r="AC515">
        <f t="shared" ref="AC515:AC536" si="8">IF(LOWER(TRIM(X515))="excellent",5,
 IF(LOWER(TRIM(X515))="good",4,
 IF(LOWER(TRIM(X515))="fair",3,
 IF(LOWER(TRIM(X515))="poor",2,
 IF(LOWER(TRIM(X515))="weak",1,0)))))</f>
        <v>3</v>
      </c>
    </row>
    <row r="516" spans="1:29" x14ac:dyDescent="0.3">
      <c r="A516">
        <v>2472901</v>
      </c>
      <c r="B516" t="s">
        <v>3493</v>
      </c>
      <c r="C516" t="s">
        <v>29</v>
      </c>
      <c r="D516" t="s">
        <v>3494</v>
      </c>
      <c r="E516" t="s">
        <v>3494</v>
      </c>
      <c r="F516" s="1">
        <v>46126.413344907407</v>
      </c>
      <c r="G516" t="s">
        <v>45</v>
      </c>
      <c r="H516">
        <v>0</v>
      </c>
      <c r="I516">
        <v>73</v>
      </c>
      <c r="J516">
        <v>43</v>
      </c>
      <c r="K516">
        <v>116</v>
      </c>
      <c r="L516">
        <v>234</v>
      </c>
      <c r="M516">
        <v>141</v>
      </c>
      <c r="N516">
        <v>3999</v>
      </c>
      <c r="O516">
        <v>4</v>
      </c>
      <c r="P516">
        <v>5</v>
      </c>
      <c r="Q516">
        <v>4</v>
      </c>
      <c r="R516" t="s">
        <v>305</v>
      </c>
      <c r="S516" t="s">
        <v>2860</v>
      </c>
      <c r="T516" t="s">
        <v>3495</v>
      </c>
      <c r="U516" t="s">
        <v>3496</v>
      </c>
      <c r="V516" t="s">
        <v>3497</v>
      </c>
      <c r="W516" t="s">
        <v>3498</v>
      </c>
      <c r="X516" t="s">
        <v>38</v>
      </c>
      <c r="Y516" t="b">
        <v>0</v>
      </c>
      <c r="Z516" t="s">
        <v>39</v>
      </c>
      <c r="AA516" t="s">
        <v>3499</v>
      </c>
      <c r="AB516" t="s">
        <v>41</v>
      </c>
      <c r="AC516">
        <f t="shared" si="8"/>
        <v>4</v>
      </c>
    </row>
    <row r="517" spans="1:29" x14ac:dyDescent="0.3">
      <c r="A517">
        <v>2472901</v>
      </c>
      <c r="B517" t="s">
        <v>4069</v>
      </c>
      <c r="C517" t="s">
        <v>29</v>
      </c>
      <c r="D517" t="s">
        <v>4070</v>
      </c>
      <c r="E517" t="s">
        <v>4070</v>
      </c>
      <c r="F517" s="1">
        <v>46126.41615740741</v>
      </c>
      <c r="G517" t="s">
        <v>45</v>
      </c>
      <c r="H517">
        <v>0</v>
      </c>
      <c r="I517">
        <v>70</v>
      </c>
      <c r="J517">
        <v>28</v>
      </c>
      <c r="K517">
        <v>98</v>
      </c>
      <c r="L517">
        <v>239</v>
      </c>
      <c r="M517">
        <v>85</v>
      </c>
      <c r="N517">
        <v>4759</v>
      </c>
      <c r="O517">
        <v>3</v>
      </c>
      <c r="P517">
        <v>4</v>
      </c>
      <c r="Q517">
        <v>3</v>
      </c>
      <c r="R517" t="s">
        <v>4071</v>
      </c>
      <c r="S517" t="s">
        <v>4072</v>
      </c>
      <c r="T517" t="s">
        <v>4073</v>
      </c>
      <c r="U517" t="s">
        <v>4074</v>
      </c>
      <c r="V517" t="s">
        <v>4075</v>
      </c>
      <c r="W517" t="s">
        <v>4076</v>
      </c>
      <c r="X517" t="s">
        <v>84</v>
      </c>
      <c r="Y517" t="b">
        <v>0</v>
      </c>
      <c r="Z517" t="s">
        <v>39</v>
      </c>
      <c r="AA517" t="s">
        <v>4077</v>
      </c>
      <c r="AB517" t="s">
        <v>41</v>
      </c>
      <c r="AC517">
        <f t="shared" si="8"/>
        <v>3</v>
      </c>
    </row>
    <row r="518" spans="1:29" x14ac:dyDescent="0.3">
      <c r="F518" s="1"/>
      <c r="AC518">
        <f t="shared" si="8"/>
        <v>0</v>
      </c>
    </row>
    <row r="519" spans="1:29" x14ac:dyDescent="0.3">
      <c r="F519" s="1"/>
      <c r="AC519">
        <f t="shared" si="8"/>
        <v>0</v>
      </c>
    </row>
    <row r="520" spans="1:29" x14ac:dyDescent="0.3">
      <c r="F520" s="1"/>
      <c r="AC520">
        <f t="shared" si="8"/>
        <v>0</v>
      </c>
    </row>
    <row r="521" spans="1:29" x14ac:dyDescent="0.3">
      <c r="F521" s="1"/>
      <c r="AC521">
        <f t="shared" si="8"/>
        <v>0</v>
      </c>
    </row>
    <row r="522" spans="1:29" x14ac:dyDescent="0.3">
      <c r="F522" s="1"/>
      <c r="AC522">
        <f t="shared" si="8"/>
        <v>0</v>
      </c>
    </row>
    <row r="523" spans="1:29" x14ac:dyDescent="0.3">
      <c r="F523" s="1"/>
      <c r="AC523">
        <f t="shared" si="8"/>
        <v>0</v>
      </c>
    </row>
    <row r="524" spans="1:29" x14ac:dyDescent="0.3">
      <c r="F524" s="1"/>
      <c r="AC524">
        <f t="shared" si="8"/>
        <v>0</v>
      </c>
    </row>
    <row r="525" spans="1:29" x14ac:dyDescent="0.3">
      <c r="F525" s="1"/>
      <c r="AC525">
        <f t="shared" si="8"/>
        <v>0</v>
      </c>
    </row>
    <row r="526" spans="1:29" x14ac:dyDescent="0.3">
      <c r="F526" s="1"/>
      <c r="AC526">
        <f t="shared" si="8"/>
        <v>0</v>
      </c>
    </row>
    <row r="527" spans="1:29" x14ac:dyDescent="0.3">
      <c r="F527" s="1"/>
      <c r="AC527">
        <f t="shared" si="8"/>
        <v>0</v>
      </c>
    </row>
    <row r="528" spans="1:29" x14ac:dyDescent="0.3">
      <c r="F528" s="1"/>
      <c r="AC528">
        <f t="shared" si="8"/>
        <v>0</v>
      </c>
    </row>
    <row r="529" spans="6:29" x14ac:dyDescent="0.3">
      <c r="F529" s="1"/>
      <c r="AC529">
        <f t="shared" si="8"/>
        <v>0</v>
      </c>
    </row>
    <row r="530" spans="6:29" x14ac:dyDescent="0.3">
      <c r="F530" s="1"/>
      <c r="AC530">
        <f t="shared" si="8"/>
        <v>0</v>
      </c>
    </row>
    <row r="531" spans="6:29" x14ac:dyDescent="0.3">
      <c r="F531" s="1"/>
      <c r="AC531">
        <f t="shared" si="8"/>
        <v>0</v>
      </c>
    </row>
    <row r="532" spans="6:29" x14ac:dyDescent="0.3">
      <c r="F532" s="1"/>
      <c r="AC532">
        <f t="shared" si="8"/>
        <v>0</v>
      </c>
    </row>
    <row r="533" spans="6:29" x14ac:dyDescent="0.3">
      <c r="F533" s="1"/>
      <c r="AC533">
        <f t="shared" si="8"/>
        <v>0</v>
      </c>
    </row>
    <row r="534" spans="6:29" x14ac:dyDescent="0.3">
      <c r="F534" s="1"/>
      <c r="AC534">
        <f t="shared" si="8"/>
        <v>0</v>
      </c>
    </row>
    <row r="535" spans="6:29" x14ac:dyDescent="0.3">
      <c r="F535" s="1"/>
      <c r="AC535">
        <f t="shared" si="8"/>
        <v>0</v>
      </c>
    </row>
    <row r="536" spans="6:29" x14ac:dyDescent="0.3">
      <c r="F536" s="1"/>
      <c r="AC536">
        <f t="shared" si="8"/>
        <v>0</v>
      </c>
    </row>
  </sheetData>
  <autoFilter ref="A1:AC536" xr:uid="{00000000-0001-0000-0000-000000000000}">
    <sortState xmlns:xlrd2="http://schemas.microsoft.com/office/spreadsheetml/2017/richdata2" ref="A2:AC536">
      <sortCondition ref="A1:A536"/>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81BE5-6243-4039-9097-E468553723D7}">
  <dimension ref="A1:AE77"/>
  <sheetViews>
    <sheetView topLeftCell="A51" zoomScale="89" workbookViewId="0">
      <selection activeCell="F77" sqref="F77"/>
    </sheetView>
  </sheetViews>
  <sheetFormatPr defaultRowHeight="14.4" x14ac:dyDescent="0.3"/>
  <cols>
    <col min="1" max="1" width="13.6640625" bestFit="1" customWidth="1"/>
    <col min="2" max="2" width="7" bestFit="1" customWidth="1"/>
    <col min="3" max="3" width="6" bestFit="1" customWidth="1"/>
    <col min="4" max="5" width="7" bestFit="1" customWidth="1"/>
    <col min="6" max="7" width="6" bestFit="1" customWidth="1"/>
    <col min="8" max="8" width="7" bestFit="1" customWidth="1"/>
    <col min="9" max="9" width="10.5546875" bestFit="1" customWidth="1"/>
    <col min="12" max="12" width="10.5546875" bestFit="1" customWidth="1"/>
    <col min="20" max="20" width="10.5546875" bestFit="1" customWidth="1"/>
    <col min="23" max="23" width="10.5546875" bestFit="1" customWidth="1"/>
    <col min="24" max="30" width="6" bestFit="1" customWidth="1"/>
    <col min="31" max="31" width="10.5546875" bestFit="1" customWidth="1"/>
    <col min="32" max="32" width="13.109375" customWidth="1"/>
  </cols>
  <sheetData>
    <row r="1" spans="1:31" x14ac:dyDescent="0.3">
      <c r="A1" s="5" t="s">
        <v>4233</v>
      </c>
      <c r="B1" s="5"/>
      <c r="C1" s="5"/>
      <c r="D1" s="5"/>
      <c r="E1" s="5"/>
      <c r="F1" s="5"/>
      <c r="G1" s="5"/>
      <c r="H1" s="5"/>
      <c r="I1" s="5"/>
      <c r="L1" s="5" t="s">
        <v>4238</v>
      </c>
      <c r="M1" s="5"/>
      <c r="N1" s="5"/>
      <c r="O1" s="5"/>
      <c r="P1" s="5"/>
      <c r="Q1" s="5"/>
      <c r="R1" s="5"/>
      <c r="S1" s="5"/>
      <c r="T1" s="5"/>
      <c r="W1" s="13" t="s">
        <v>4239</v>
      </c>
      <c r="X1" s="14"/>
      <c r="Y1" s="14"/>
      <c r="Z1" s="14"/>
      <c r="AA1" s="14"/>
      <c r="AB1" s="14"/>
      <c r="AC1" s="14"/>
      <c r="AD1" s="14"/>
      <c r="AE1" s="15"/>
    </row>
    <row r="2" spans="1:31" x14ac:dyDescent="0.3">
      <c r="A2" s="5"/>
      <c r="B2" s="5"/>
      <c r="C2" s="5"/>
      <c r="D2" s="5"/>
      <c r="E2" s="5"/>
      <c r="F2" s="5"/>
      <c r="G2" s="5"/>
      <c r="H2" s="5"/>
      <c r="I2" s="5"/>
      <c r="L2" s="5"/>
      <c r="M2" s="5"/>
      <c r="N2" s="5"/>
      <c r="O2" s="5"/>
      <c r="P2" s="5"/>
      <c r="Q2" s="5"/>
      <c r="R2" s="5"/>
      <c r="S2" s="5"/>
      <c r="T2" s="5"/>
      <c r="W2" s="16"/>
      <c r="X2" s="17"/>
      <c r="Y2" s="17"/>
      <c r="Z2" s="17"/>
      <c r="AA2" s="17"/>
      <c r="AB2" s="17"/>
      <c r="AC2" s="17"/>
      <c r="AD2" s="17"/>
      <c r="AE2" s="18"/>
    </row>
    <row r="3" spans="1:31" x14ac:dyDescent="0.3">
      <c r="A3" s="6" t="s">
        <v>4230</v>
      </c>
      <c r="B3" s="6" t="s">
        <v>67</v>
      </c>
      <c r="C3" s="6" t="s">
        <v>177</v>
      </c>
      <c r="D3" s="6" t="s">
        <v>31</v>
      </c>
      <c r="E3" s="6" t="s">
        <v>138</v>
      </c>
      <c r="F3" s="6" t="s">
        <v>304</v>
      </c>
      <c r="G3" s="6" t="s">
        <v>56</v>
      </c>
      <c r="H3" s="6" t="s">
        <v>45</v>
      </c>
      <c r="I3" s="6" t="s">
        <v>4231</v>
      </c>
      <c r="L3" s="6" t="s">
        <v>4230</v>
      </c>
      <c r="M3" s="6" t="s">
        <v>67</v>
      </c>
      <c r="N3" s="6" t="s">
        <v>177</v>
      </c>
      <c r="O3" s="6" t="s">
        <v>31</v>
      </c>
      <c r="P3" s="6" t="s">
        <v>138</v>
      </c>
      <c r="Q3" s="6" t="s">
        <v>304</v>
      </c>
      <c r="R3" s="6" t="s">
        <v>56</v>
      </c>
      <c r="S3" s="6" t="s">
        <v>45</v>
      </c>
      <c r="T3" s="6" t="s">
        <v>4231</v>
      </c>
      <c r="W3" s="6" t="s">
        <v>4230</v>
      </c>
      <c r="X3" s="6" t="s">
        <v>67</v>
      </c>
      <c r="Y3" s="6" t="s">
        <v>177</v>
      </c>
      <c r="Z3" s="6" t="s">
        <v>31</v>
      </c>
      <c r="AA3" s="6" t="s">
        <v>138</v>
      </c>
      <c r="AB3" s="6" t="s">
        <v>304</v>
      </c>
      <c r="AC3" s="6" t="s">
        <v>56</v>
      </c>
      <c r="AD3" s="6" t="s">
        <v>45</v>
      </c>
      <c r="AE3" s="6" t="s">
        <v>4231</v>
      </c>
    </row>
    <row r="4" spans="1:31" x14ac:dyDescent="0.3">
      <c r="A4" s="6">
        <v>2172013</v>
      </c>
      <c r="B4" s="6">
        <v>6003</v>
      </c>
      <c r="C4" s="6">
        <v>590</v>
      </c>
      <c r="D4" s="6">
        <v>2906</v>
      </c>
      <c r="E4" s="6">
        <v>1042</v>
      </c>
      <c r="F4" s="6">
        <v>1541</v>
      </c>
      <c r="G4" s="6">
        <v>1679</v>
      </c>
      <c r="H4" s="6">
        <v>1437</v>
      </c>
      <c r="I4" s="6">
        <v>15198</v>
      </c>
      <c r="L4" s="6">
        <v>2172013</v>
      </c>
      <c r="M4" s="6">
        <v>5618</v>
      </c>
      <c r="N4" s="6">
        <v>590</v>
      </c>
      <c r="O4" s="6">
        <v>2787</v>
      </c>
      <c r="P4" s="6">
        <v>1042</v>
      </c>
      <c r="Q4" s="6">
        <v>1541</v>
      </c>
      <c r="R4" s="6">
        <v>1383</v>
      </c>
      <c r="S4" s="6">
        <v>1437</v>
      </c>
      <c r="T4" s="6">
        <f>SUM(M4:S4)</f>
        <v>14398</v>
      </c>
      <c r="W4" s="6">
        <v>2172013</v>
      </c>
      <c r="X4" s="6">
        <v>385</v>
      </c>
      <c r="Y4" s="6">
        <v>0</v>
      </c>
      <c r="Z4" s="6">
        <v>119</v>
      </c>
      <c r="AA4" s="6">
        <v>0</v>
      </c>
      <c r="AB4" s="6">
        <v>0</v>
      </c>
      <c r="AC4" s="6">
        <v>296</v>
      </c>
      <c r="AD4" s="6">
        <v>0</v>
      </c>
      <c r="AE4" s="6">
        <v>800</v>
      </c>
    </row>
    <row r="5" spans="1:31" x14ac:dyDescent="0.3">
      <c r="A5" s="6">
        <v>2172022</v>
      </c>
      <c r="B5" s="6">
        <v>2102</v>
      </c>
      <c r="C5" s="6">
        <v>0</v>
      </c>
      <c r="D5" s="6">
        <v>0</v>
      </c>
      <c r="E5" s="6">
        <v>0</v>
      </c>
      <c r="F5" s="6">
        <v>0</v>
      </c>
      <c r="G5" s="6">
        <v>799</v>
      </c>
      <c r="H5" s="6">
        <v>11849</v>
      </c>
      <c r="I5" s="6">
        <v>14750</v>
      </c>
      <c r="L5" s="6">
        <v>2172022</v>
      </c>
      <c r="M5" s="6">
        <v>1763</v>
      </c>
      <c r="N5" s="6">
        <v>0</v>
      </c>
      <c r="O5" s="6">
        <v>0</v>
      </c>
      <c r="P5" s="6">
        <v>0</v>
      </c>
      <c r="Q5" s="6">
        <v>0</v>
      </c>
      <c r="R5" s="6">
        <v>799</v>
      </c>
      <c r="S5" s="6">
        <v>9576</v>
      </c>
      <c r="T5" s="6">
        <f t="shared" ref="T5:T68" si="0">SUM(M5:S5)</f>
        <v>12138</v>
      </c>
      <c r="W5" s="6">
        <v>2172022</v>
      </c>
      <c r="X5" s="6">
        <v>339</v>
      </c>
      <c r="Y5" s="6">
        <v>0</v>
      </c>
      <c r="Z5" s="6">
        <v>0</v>
      </c>
      <c r="AA5" s="6">
        <v>0</v>
      </c>
      <c r="AB5" s="6">
        <v>0</v>
      </c>
      <c r="AC5" s="6">
        <v>0</v>
      </c>
      <c r="AD5" s="6">
        <v>2273</v>
      </c>
      <c r="AE5" s="6">
        <v>2612</v>
      </c>
    </row>
    <row r="6" spans="1:31" x14ac:dyDescent="0.3">
      <c r="A6" s="6">
        <v>2172025</v>
      </c>
      <c r="B6" s="6">
        <v>2357</v>
      </c>
      <c r="C6" s="6">
        <v>2817</v>
      </c>
      <c r="D6" s="6">
        <v>2733</v>
      </c>
      <c r="E6" s="6">
        <v>7598</v>
      </c>
      <c r="F6" s="6">
        <v>5231</v>
      </c>
      <c r="G6" s="6">
        <v>0</v>
      </c>
      <c r="H6" s="6">
        <v>22291</v>
      </c>
      <c r="I6" s="6">
        <v>43027</v>
      </c>
      <c r="L6" s="6">
        <v>2172025</v>
      </c>
      <c r="M6" s="6">
        <v>2002</v>
      </c>
      <c r="N6" s="6">
        <v>1883</v>
      </c>
      <c r="O6" s="6">
        <v>1785</v>
      </c>
      <c r="P6" s="6">
        <v>5435</v>
      </c>
      <c r="Q6" s="6">
        <v>4195</v>
      </c>
      <c r="R6" s="6">
        <v>0</v>
      </c>
      <c r="S6" s="6">
        <v>19425</v>
      </c>
      <c r="T6" s="6">
        <f t="shared" si="0"/>
        <v>34725</v>
      </c>
      <c r="W6" s="6">
        <v>2172025</v>
      </c>
      <c r="X6" s="6">
        <v>355</v>
      </c>
      <c r="Y6" s="6">
        <v>934</v>
      </c>
      <c r="Z6" s="6">
        <v>948</v>
      </c>
      <c r="AA6" s="6">
        <v>2163</v>
      </c>
      <c r="AB6" s="6">
        <v>1036</v>
      </c>
      <c r="AC6" s="6">
        <v>0</v>
      </c>
      <c r="AD6" s="6">
        <v>2866</v>
      </c>
      <c r="AE6" s="6">
        <v>8302</v>
      </c>
    </row>
    <row r="7" spans="1:31" x14ac:dyDescent="0.3">
      <c r="A7" s="6">
        <v>2272017</v>
      </c>
      <c r="B7" s="6">
        <v>0</v>
      </c>
      <c r="C7" s="6">
        <v>0</v>
      </c>
      <c r="D7" s="6">
        <v>297</v>
      </c>
      <c r="E7" s="6">
        <v>0</v>
      </c>
      <c r="F7" s="6">
        <v>1307</v>
      </c>
      <c r="G7" s="6">
        <v>0</v>
      </c>
      <c r="H7" s="6">
        <v>0</v>
      </c>
      <c r="I7" s="6">
        <v>1604</v>
      </c>
      <c r="L7" s="6">
        <v>2272017</v>
      </c>
      <c r="M7" s="6">
        <v>0</v>
      </c>
      <c r="N7" s="6">
        <v>0</v>
      </c>
      <c r="O7" s="6">
        <v>167</v>
      </c>
      <c r="P7" s="6">
        <v>0</v>
      </c>
      <c r="Q7" s="6">
        <v>1307</v>
      </c>
      <c r="R7" s="6">
        <v>0</v>
      </c>
      <c r="S7" s="6">
        <v>0</v>
      </c>
      <c r="T7" s="6">
        <f t="shared" si="0"/>
        <v>1474</v>
      </c>
      <c r="W7" s="6">
        <v>2272017</v>
      </c>
      <c r="X7" s="6">
        <v>0</v>
      </c>
      <c r="Y7" s="6">
        <v>0</v>
      </c>
      <c r="Z7" s="6">
        <v>130</v>
      </c>
      <c r="AA7" s="6">
        <v>0</v>
      </c>
      <c r="AB7" s="6">
        <v>0</v>
      </c>
      <c r="AC7" s="6">
        <v>0</v>
      </c>
      <c r="AD7" s="6">
        <v>0</v>
      </c>
      <c r="AE7" s="6">
        <v>130</v>
      </c>
    </row>
    <row r="8" spans="1:31" x14ac:dyDescent="0.3">
      <c r="A8" s="6">
        <v>2372004</v>
      </c>
      <c r="B8" s="6">
        <v>1544</v>
      </c>
      <c r="C8" s="6">
        <v>71</v>
      </c>
      <c r="D8" s="6">
        <v>251</v>
      </c>
      <c r="E8" s="6">
        <v>1089</v>
      </c>
      <c r="F8" s="6">
        <v>3446</v>
      </c>
      <c r="G8" s="6">
        <v>0</v>
      </c>
      <c r="H8" s="6">
        <v>4119</v>
      </c>
      <c r="I8" s="6">
        <v>10520</v>
      </c>
      <c r="L8" s="6">
        <v>2372004</v>
      </c>
      <c r="M8" s="6">
        <v>1544</v>
      </c>
      <c r="N8" s="6">
        <v>71</v>
      </c>
      <c r="O8" s="6">
        <v>251</v>
      </c>
      <c r="P8" s="6">
        <v>779</v>
      </c>
      <c r="Q8" s="6">
        <v>3152</v>
      </c>
      <c r="R8" s="6">
        <v>0</v>
      </c>
      <c r="S8" s="6">
        <v>4033</v>
      </c>
      <c r="T8" s="6">
        <f t="shared" si="0"/>
        <v>9830</v>
      </c>
      <c r="W8" s="6">
        <v>2372004</v>
      </c>
      <c r="X8" s="6">
        <v>0</v>
      </c>
      <c r="Y8" s="6">
        <v>0</v>
      </c>
      <c r="Z8" s="6">
        <v>0</v>
      </c>
      <c r="AA8" s="6">
        <v>310</v>
      </c>
      <c r="AB8" s="6">
        <v>294</v>
      </c>
      <c r="AC8" s="6">
        <v>0</v>
      </c>
      <c r="AD8" s="6">
        <v>86</v>
      </c>
      <c r="AE8" s="6">
        <v>690</v>
      </c>
    </row>
    <row r="9" spans="1:31" x14ac:dyDescent="0.3">
      <c r="A9" s="6">
        <v>2372006</v>
      </c>
      <c r="B9" s="6">
        <v>2310</v>
      </c>
      <c r="C9" s="6">
        <v>1201</v>
      </c>
      <c r="D9" s="6">
        <v>0</v>
      </c>
      <c r="E9" s="6">
        <v>0</v>
      </c>
      <c r="F9" s="6">
        <v>1737</v>
      </c>
      <c r="G9" s="6">
        <v>1428</v>
      </c>
      <c r="H9" s="6">
        <v>3304</v>
      </c>
      <c r="I9" s="6">
        <v>9980</v>
      </c>
      <c r="L9" s="6">
        <v>2372006</v>
      </c>
      <c r="M9" s="6">
        <v>1250</v>
      </c>
      <c r="N9" s="6">
        <v>1201</v>
      </c>
      <c r="O9" s="6">
        <v>0</v>
      </c>
      <c r="P9" s="6">
        <v>0</v>
      </c>
      <c r="Q9" s="6">
        <v>1304</v>
      </c>
      <c r="R9" s="6">
        <v>1428</v>
      </c>
      <c r="S9" s="6">
        <v>2165</v>
      </c>
      <c r="T9" s="6">
        <f t="shared" si="0"/>
        <v>7348</v>
      </c>
      <c r="W9" s="6">
        <v>2372006</v>
      </c>
      <c r="X9" s="6">
        <v>1060</v>
      </c>
      <c r="Y9" s="6">
        <v>0</v>
      </c>
      <c r="Z9" s="6">
        <v>0</v>
      </c>
      <c r="AA9" s="6">
        <v>0</v>
      </c>
      <c r="AB9" s="6">
        <v>433</v>
      </c>
      <c r="AC9" s="6">
        <v>0</v>
      </c>
      <c r="AD9" s="6">
        <v>1139</v>
      </c>
      <c r="AE9" s="6">
        <v>2632</v>
      </c>
    </row>
    <row r="10" spans="1:31" x14ac:dyDescent="0.3">
      <c r="A10" s="6">
        <v>2372012</v>
      </c>
      <c r="B10" s="6">
        <v>2313</v>
      </c>
      <c r="C10" s="6">
        <v>409</v>
      </c>
      <c r="D10" s="6">
        <v>901</v>
      </c>
      <c r="E10" s="6">
        <v>335</v>
      </c>
      <c r="F10" s="6">
        <v>0</v>
      </c>
      <c r="G10" s="6">
        <v>0</v>
      </c>
      <c r="H10" s="6">
        <v>0</v>
      </c>
      <c r="I10" s="6">
        <v>3958</v>
      </c>
      <c r="L10" s="6">
        <v>2372012</v>
      </c>
      <c r="M10" s="6">
        <v>1639</v>
      </c>
      <c r="N10" s="6">
        <v>0</v>
      </c>
      <c r="O10" s="6">
        <v>614</v>
      </c>
      <c r="P10" s="6">
        <v>89</v>
      </c>
      <c r="Q10" s="6">
        <v>0</v>
      </c>
      <c r="R10" s="6">
        <v>0</v>
      </c>
      <c r="S10" s="6">
        <v>0</v>
      </c>
      <c r="T10" s="6">
        <f t="shared" si="0"/>
        <v>2342</v>
      </c>
      <c r="W10" s="6">
        <v>2372012</v>
      </c>
      <c r="X10" s="6">
        <v>674</v>
      </c>
      <c r="Y10" s="6">
        <v>409</v>
      </c>
      <c r="Z10" s="6">
        <v>287</v>
      </c>
      <c r="AA10" s="6">
        <v>246</v>
      </c>
      <c r="AB10" s="6">
        <v>0</v>
      </c>
      <c r="AC10" s="6">
        <v>0</v>
      </c>
      <c r="AD10" s="6">
        <v>0</v>
      </c>
      <c r="AE10" s="6">
        <v>1616</v>
      </c>
    </row>
    <row r="11" spans="1:31" x14ac:dyDescent="0.3">
      <c r="A11" s="6">
        <v>2372017</v>
      </c>
      <c r="B11" s="6">
        <v>1934</v>
      </c>
      <c r="C11" s="6">
        <v>1284</v>
      </c>
      <c r="D11" s="6">
        <v>820</v>
      </c>
      <c r="E11" s="6">
        <v>0</v>
      </c>
      <c r="F11" s="6">
        <v>526</v>
      </c>
      <c r="G11" s="6">
        <v>0</v>
      </c>
      <c r="H11" s="6">
        <v>0</v>
      </c>
      <c r="I11" s="6">
        <v>4564</v>
      </c>
      <c r="L11" s="6">
        <v>2372017</v>
      </c>
      <c r="M11" s="6">
        <v>599</v>
      </c>
      <c r="N11" s="6">
        <v>966</v>
      </c>
      <c r="O11" s="6">
        <v>820</v>
      </c>
      <c r="P11" s="6">
        <v>0</v>
      </c>
      <c r="Q11" s="6">
        <v>526</v>
      </c>
      <c r="R11" s="6">
        <v>0</v>
      </c>
      <c r="S11" s="6">
        <v>0</v>
      </c>
      <c r="T11" s="6">
        <f t="shared" si="0"/>
        <v>2911</v>
      </c>
      <c r="W11" s="6">
        <v>2372017</v>
      </c>
      <c r="X11" s="6">
        <v>1335</v>
      </c>
      <c r="Y11" s="6">
        <v>318</v>
      </c>
      <c r="Z11" s="6">
        <v>0</v>
      </c>
      <c r="AA11" s="6">
        <v>0</v>
      </c>
      <c r="AB11" s="6">
        <v>0</v>
      </c>
      <c r="AC11" s="6">
        <v>0</v>
      </c>
      <c r="AD11" s="6">
        <v>0</v>
      </c>
      <c r="AE11" s="6">
        <v>1653</v>
      </c>
    </row>
    <row r="12" spans="1:31" x14ac:dyDescent="0.3">
      <c r="A12" s="6">
        <v>2372019</v>
      </c>
      <c r="B12" s="6">
        <v>2292</v>
      </c>
      <c r="C12" s="6">
        <v>0</v>
      </c>
      <c r="D12" s="6">
        <v>860</v>
      </c>
      <c r="E12" s="6">
        <v>0</v>
      </c>
      <c r="F12" s="6">
        <v>0</v>
      </c>
      <c r="G12" s="6">
        <v>694</v>
      </c>
      <c r="H12" s="6">
        <v>4281</v>
      </c>
      <c r="I12" s="6">
        <v>8127</v>
      </c>
      <c r="L12" s="6">
        <v>2372019</v>
      </c>
      <c r="M12" s="6">
        <v>1826</v>
      </c>
      <c r="N12" s="6">
        <v>0</v>
      </c>
      <c r="O12" s="6">
        <v>769</v>
      </c>
      <c r="P12" s="6">
        <v>0</v>
      </c>
      <c r="Q12" s="6">
        <v>0</v>
      </c>
      <c r="R12" s="6">
        <v>694</v>
      </c>
      <c r="S12" s="6">
        <v>2911</v>
      </c>
      <c r="T12" s="6">
        <f t="shared" si="0"/>
        <v>6200</v>
      </c>
      <c r="W12" s="6">
        <v>2372019</v>
      </c>
      <c r="X12" s="6">
        <v>466</v>
      </c>
      <c r="Y12" s="6">
        <v>0</v>
      </c>
      <c r="Z12" s="6">
        <v>91</v>
      </c>
      <c r="AA12" s="6">
        <v>0</v>
      </c>
      <c r="AB12" s="6">
        <v>0</v>
      </c>
      <c r="AC12" s="6">
        <v>0</v>
      </c>
      <c r="AD12" s="6">
        <v>1370</v>
      </c>
      <c r="AE12" s="6">
        <v>1927</v>
      </c>
    </row>
    <row r="13" spans="1:31" x14ac:dyDescent="0.3">
      <c r="A13" s="6">
        <v>2372022</v>
      </c>
      <c r="B13" s="6">
        <v>1765</v>
      </c>
      <c r="C13" s="6">
        <v>1512</v>
      </c>
      <c r="D13" s="6">
        <v>0</v>
      </c>
      <c r="E13" s="6">
        <v>0</v>
      </c>
      <c r="F13" s="6">
        <v>106</v>
      </c>
      <c r="G13" s="6">
        <v>72</v>
      </c>
      <c r="H13" s="6">
        <v>0</v>
      </c>
      <c r="I13" s="6">
        <v>3455</v>
      </c>
      <c r="L13" s="6">
        <v>2372022</v>
      </c>
      <c r="M13" s="6">
        <v>1706</v>
      </c>
      <c r="N13" s="6">
        <v>1050</v>
      </c>
      <c r="O13" s="6">
        <v>0</v>
      </c>
      <c r="P13" s="6">
        <v>0</v>
      </c>
      <c r="Q13" s="6">
        <v>106</v>
      </c>
      <c r="R13" s="6">
        <v>72</v>
      </c>
      <c r="S13" s="6">
        <v>0</v>
      </c>
      <c r="T13" s="6">
        <f t="shared" si="0"/>
        <v>2934</v>
      </c>
      <c r="W13" s="6">
        <v>2372022</v>
      </c>
      <c r="X13" s="6">
        <v>59</v>
      </c>
      <c r="Y13" s="6">
        <v>462</v>
      </c>
      <c r="Z13" s="6">
        <v>0</v>
      </c>
      <c r="AA13" s="6">
        <v>0</v>
      </c>
      <c r="AB13" s="6">
        <v>0</v>
      </c>
      <c r="AC13" s="6">
        <v>0</v>
      </c>
      <c r="AD13" s="6">
        <v>0</v>
      </c>
      <c r="AE13" s="6">
        <v>521</v>
      </c>
    </row>
    <row r="14" spans="1:31" x14ac:dyDescent="0.3">
      <c r="A14" s="6">
        <v>2372027</v>
      </c>
      <c r="B14" s="6">
        <v>2547</v>
      </c>
      <c r="C14" s="6">
        <v>1429</v>
      </c>
      <c r="D14" s="6">
        <v>0</v>
      </c>
      <c r="E14" s="6">
        <v>2456</v>
      </c>
      <c r="F14" s="6">
        <v>0</v>
      </c>
      <c r="G14" s="6">
        <v>0</v>
      </c>
      <c r="H14" s="6">
        <v>8585</v>
      </c>
      <c r="I14" s="6">
        <v>15017</v>
      </c>
      <c r="L14" s="6">
        <v>2372027</v>
      </c>
      <c r="M14" s="6">
        <v>2547</v>
      </c>
      <c r="N14" s="6">
        <v>1361</v>
      </c>
      <c r="O14" s="6">
        <v>0</v>
      </c>
      <c r="P14" s="6">
        <v>1716</v>
      </c>
      <c r="Q14" s="6">
        <v>0</v>
      </c>
      <c r="R14" s="6">
        <v>0</v>
      </c>
      <c r="S14" s="6">
        <v>8268</v>
      </c>
      <c r="T14" s="6">
        <f t="shared" si="0"/>
        <v>13892</v>
      </c>
      <c r="W14" s="6">
        <v>2372027</v>
      </c>
      <c r="X14" s="6">
        <v>0</v>
      </c>
      <c r="Y14" s="6">
        <v>68</v>
      </c>
      <c r="Z14" s="6">
        <v>0</v>
      </c>
      <c r="AA14" s="6">
        <v>740</v>
      </c>
      <c r="AB14" s="6">
        <v>0</v>
      </c>
      <c r="AC14" s="6">
        <v>0</v>
      </c>
      <c r="AD14" s="6">
        <v>317</v>
      </c>
      <c r="AE14" s="6">
        <v>1125</v>
      </c>
    </row>
    <row r="15" spans="1:31" x14ac:dyDescent="0.3">
      <c r="A15" s="6">
        <v>2372028</v>
      </c>
      <c r="B15" s="6">
        <v>2644</v>
      </c>
      <c r="C15" s="6">
        <v>4147</v>
      </c>
      <c r="D15" s="6">
        <v>0</v>
      </c>
      <c r="E15" s="6">
        <v>0</v>
      </c>
      <c r="F15" s="6">
        <v>946</v>
      </c>
      <c r="G15" s="6">
        <v>1570</v>
      </c>
      <c r="H15" s="6">
        <v>10453</v>
      </c>
      <c r="I15" s="6">
        <v>19760</v>
      </c>
      <c r="L15" s="6">
        <v>2372028</v>
      </c>
      <c r="M15" s="6">
        <v>2644</v>
      </c>
      <c r="N15" s="6">
        <v>3022</v>
      </c>
      <c r="O15" s="6">
        <v>0</v>
      </c>
      <c r="P15" s="6">
        <v>0</v>
      </c>
      <c r="Q15" s="6">
        <v>383</v>
      </c>
      <c r="R15" s="6">
        <v>425</v>
      </c>
      <c r="S15" s="6">
        <v>8179</v>
      </c>
      <c r="T15" s="6">
        <f t="shared" si="0"/>
        <v>14653</v>
      </c>
      <c r="W15" s="6">
        <v>2372028</v>
      </c>
      <c r="X15" s="6">
        <v>0</v>
      </c>
      <c r="Y15" s="6">
        <v>1125</v>
      </c>
      <c r="Z15" s="6">
        <v>0</v>
      </c>
      <c r="AA15" s="6">
        <v>0</v>
      </c>
      <c r="AB15" s="6">
        <v>563</v>
      </c>
      <c r="AC15" s="6">
        <v>1145</v>
      </c>
      <c r="AD15" s="6">
        <v>2274</v>
      </c>
      <c r="AE15" s="6">
        <v>5107</v>
      </c>
    </row>
    <row r="16" spans="1:31" x14ac:dyDescent="0.3">
      <c r="A16" s="6">
        <v>2372036</v>
      </c>
      <c r="B16" s="6">
        <v>3441</v>
      </c>
      <c r="C16" s="6">
        <v>3473</v>
      </c>
      <c r="D16" s="6">
        <v>4379</v>
      </c>
      <c r="E16" s="6">
        <v>0</v>
      </c>
      <c r="F16" s="6">
        <v>0</v>
      </c>
      <c r="G16" s="6">
        <v>4016</v>
      </c>
      <c r="H16" s="6">
        <v>5793</v>
      </c>
      <c r="I16" s="6">
        <v>21102</v>
      </c>
      <c r="L16" s="6">
        <v>2372036</v>
      </c>
      <c r="M16" s="6">
        <v>2605</v>
      </c>
      <c r="N16" s="6">
        <v>2559</v>
      </c>
      <c r="O16" s="6">
        <v>3320</v>
      </c>
      <c r="P16" s="6">
        <v>0</v>
      </c>
      <c r="Q16" s="6">
        <v>0</v>
      </c>
      <c r="R16" s="6">
        <v>3356</v>
      </c>
      <c r="S16" s="6">
        <v>3723</v>
      </c>
      <c r="T16" s="6">
        <f t="shared" si="0"/>
        <v>15563</v>
      </c>
      <c r="W16" s="6">
        <v>2372036</v>
      </c>
      <c r="X16" s="6">
        <v>836</v>
      </c>
      <c r="Y16" s="6">
        <v>914</v>
      </c>
      <c r="Z16" s="6">
        <v>1059</v>
      </c>
      <c r="AA16" s="6">
        <v>0</v>
      </c>
      <c r="AB16" s="6">
        <v>0</v>
      </c>
      <c r="AC16" s="6">
        <v>660</v>
      </c>
      <c r="AD16" s="6">
        <v>2070</v>
      </c>
      <c r="AE16" s="6">
        <v>5539</v>
      </c>
    </row>
    <row r="17" spans="1:31" x14ac:dyDescent="0.3">
      <c r="A17" s="6">
        <v>2372041</v>
      </c>
      <c r="B17" s="6">
        <v>2684</v>
      </c>
      <c r="C17" s="6">
        <v>1220</v>
      </c>
      <c r="D17" s="6">
        <v>991</v>
      </c>
      <c r="E17" s="6">
        <v>0</v>
      </c>
      <c r="F17" s="6">
        <v>2311</v>
      </c>
      <c r="G17" s="6">
        <v>133</v>
      </c>
      <c r="H17" s="6">
        <v>4254</v>
      </c>
      <c r="I17" s="6">
        <v>11593</v>
      </c>
      <c r="L17" s="6">
        <v>2372041</v>
      </c>
      <c r="M17" s="6">
        <v>1902</v>
      </c>
      <c r="N17" s="6">
        <v>1220</v>
      </c>
      <c r="O17" s="6">
        <v>498</v>
      </c>
      <c r="P17" s="6">
        <v>0</v>
      </c>
      <c r="Q17" s="6">
        <v>769</v>
      </c>
      <c r="R17" s="6">
        <v>133</v>
      </c>
      <c r="S17" s="6">
        <v>2231</v>
      </c>
      <c r="T17" s="6">
        <f t="shared" si="0"/>
        <v>6753</v>
      </c>
      <c r="W17" s="6">
        <v>2372041</v>
      </c>
      <c r="X17" s="6">
        <v>782</v>
      </c>
      <c r="Y17" s="6">
        <v>0</v>
      </c>
      <c r="Z17" s="6">
        <v>493</v>
      </c>
      <c r="AA17" s="6">
        <v>0</v>
      </c>
      <c r="AB17" s="6">
        <v>1542</v>
      </c>
      <c r="AC17" s="6">
        <v>0</v>
      </c>
      <c r="AD17" s="6">
        <v>2023</v>
      </c>
      <c r="AE17" s="6">
        <v>4840</v>
      </c>
    </row>
    <row r="18" spans="1:31" x14ac:dyDescent="0.3">
      <c r="A18" s="6">
        <v>2372042</v>
      </c>
      <c r="B18" s="6">
        <v>2684</v>
      </c>
      <c r="C18" s="6">
        <v>1490</v>
      </c>
      <c r="D18" s="6">
        <v>3426</v>
      </c>
      <c r="E18" s="6">
        <v>0</v>
      </c>
      <c r="F18" s="6">
        <v>1383</v>
      </c>
      <c r="G18" s="6">
        <v>0</v>
      </c>
      <c r="H18" s="6">
        <v>4083</v>
      </c>
      <c r="I18" s="6">
        <v>13066</v>
      </c>
      <c r="L18" s="6">
        <v>2372042</v>
      </c>
      <c r="M18" s="6">
        <v>703</v>
      </c>
      <c r="N18" s="6">
        <v>1143</v>
      </c>
      <c r="O18" s="6">
        <v>3144</v>
      </c>
      <c r="P18" s="6">
        <v>0</v>
      </c>
      <c r="Q18" s="6">
        <v>1383</v>
      </c>
      <c r="R18" s="6">
        <v>0</v>
      </c>
      <c r="S18" s="6">
        <v>4083</v>
      </c>
      <c r="T18" s="6">
        <f t="shared" si="0"/>
        <v>10456</v>
      </c>
      <c r="W18" s="6">
        <v>2372042</v>
      </c>
      <c r="X18" s="6">
        <v>1981</v>
      </c>
      <c r="Y18" s="6">
        <v>347</v>
      </c>
      <c r="Z18" s="6">
        <v>282</v>
      </c>
      <c r="AA18" s="6">
        <v>0</v>
      </c>
      <c r="AB18" s="6">
        <v>0</v>
      </c>
      <c r="AC18" s="6">
        <v>0</v>
      </c>
      <c r="AD18" s="6">
        <v>0</v>
      </c>
      <c r="AE18" s="6">
        <v>2610</v>
      </c>
    </row>
    <row r="19" spans="1:31" x14ac:dyDescent="0.3">
      <c r="A19" s="6">
        <v>2372050</v>
      </c>
      <c r="B19" s="6">
        <v>2090</v>
      </c>
      <c r="C19" s="6">
        <v>736</v>
      </c>
      <c r="D19" s="6">
        <v>717</v>
      </c>
      <c r="E19" s="6">
        <v>0</v>
      </c>
      <c r="F19" s="6">
        <v>310</v>
      </c>
      <c r="G19" s="6">
        <v>1196</v>
      </c>
      <c r="H19" s="6">
        <v>1409</v>
      </c>
      <c r="I19" s="6">
        <v>6458</v>
      </c>
      <c r="L19" s="6">
        <v>2372050</v>
      </c>
      <c r="M19" s="6">
        <v>2090</v>
      </c>
      <c r="N19" s="6">
        <v>736</v>
      </c>
      <c r="O19" s="6">
        <v>541</v>
      </c>
      <c r="P19" s="6">
        <v>0</v>
      </c>
      <c r="Q19" s="6">
        <v>310</v>
      </c>
      <c r="R19" s="6">
        <v>1196</v>
      </c>
      <c r="S19" s="6">
        <v>0</v>
      </c>
      <c r="T19" s="6">
        <f t="shared" si="0"/>
        <v>4873</v>
      </c>
      <c r="W19" s="6">
        <v>2372050</v>
      </c>
      <c r="X19" s="6">
        <v>0</v>
      </c>
      <c r="Y19" s="6">
        <v>0</v>
      </c>
      <c r="Z19" s="6">
        <v>176</v>
      </c>
      <c r="AA19" s="6">
        <v>0</v>
      </c>
      <c r="AB19" s="6">
        <v>0</v>
      </c>
      <c r="AC19" s="6">
        <v>0</v>
      </c>
      <c r="AD19" s="6">
        <v>1409</v>
      </c>
      <c r="AE19" s="6">
        <v>1585</v>
      </c>
    </row>
    <row r="20" spans="1:31" x14ac:dyDescent="0.3">
      <c r="A20" s="6">
        <v>2372059</v>
      </c>
      <c r="B20" s="6">
        <v>4060</v>
      </c>
      <c r="C20" s="6">
        <v>494</v>
      </c>
      <c r="D20" s="6">
        <v>1623</v>
      </c>
      <c r="E20" s="6">
        <v>0</v>
      </c>
      <c r="F20" s="6">
        <v>0</v>
      </c>
      <c r="G20" s="6">
        <v>1925</v>
      </c>
      <c r="H20" s="6">
        <v>2086</v>
      </c>
      <c r="I20" s="6">
        <v>10188</v>
      </c>
      <c r="L20" s="6">
        <v>2372059</v>
      </c>
      <c r="M20" s="6">
        <v>3611</v>
      </c>
      <c r="N20" s="6">
        <v>494</v>
      </c>
      <c r="O20" s="6">
        <v>1331</v>
      </c>
      <c r="P20" s="6">
        <v>0</v>
      </c>
      <c r="Q20" s="6">
        <v>0</v>
      </c>
      <c r="R20" s="6">
        <v>1632</v>
      </c>
      <c r="S20" s="6">
        <v>2086</v>
      </c>
      <c r="T20" s="6">
        <f t="shared" si="0"/>
        <v>9154</v>
      </c>
      <c r="W20" s="6">
        <v>2372059</v>
      </c>
      <c r="X20" s="6">
        <v>449</v>
      </c>
      <c r="Y20" s="6">
        <v>0</v>
      </c>
      <c r="Z20" s="6">
        <v>292</v>
      </c>
      <c r="AA20" s="6">
        <v>0</v>
      </c>
      <c r="AB20" s="6">
        <v>0</v>
      </c>
      <c r="AC20" s="6">
        <v>293</v>
      </c>
      <c r="AD20" s="6">
        <v>0</v>
      </c>
      <c r="AE20" s="6">
        <v>1034</v>
      </c>
    </row>
    <row r="21" spans="1:31" x14ac:dyDescent="0.3">
      <c r="A21" s="6">
        <v>2372062</v>
      </c>
      <c r="B21" s="6">
        <v>1073</v>
      </c>
      <c r="C21" s="6">
        <v>689</v>
      </c>
      <c r="D21" s="6">
        <v>1644</v>
      </c>
      <c r="E21" s="6">
        <v>0</v>
      </c>
      <c r="F21" s="6">
        <v>405</v>
      </c>
      <c r="G21" s="6">
        <v>0</v>
      </c>
      <c r="H21" s="6">
        <v>0</v>
      </c>
      <c r="I21" s="6">
        <v>3811</v>
      </c>
      <c r="L21" s="6">
        <v>2372062</v>
      </c>
      <c r="M21" s="6">
        <v>1073</v>
      </c>
      <c r="N21" s="6">
        <v>545</v>
      </c>
      <c r="O21" s="6">
        <v>1480</v>
      </c>
      <c r="P21" s="6">
        <v>0</v>
      </c>
      <c r="Q21" s="6">
        <v>405</v>
      </c>
      <c r="R21" s="6">
        <v>0</v>
      </c>
      <c r="S21" s="6">
        <v>0</v>
      </c>
      <c r="T21" s="6">
        <f t="shared" si="0"/>
        <v>3503</v>
      </c>
      <c r="W21" s="6">
        <v>2372062</v>
      </c>
      <c r="X21" s="6">
        <v>0</v>
      </c>
      <c r="Y21" s="6">
        <v>144</v>
      </c>
      <c r="Z21" s="6">
        <v>164</v>
      </c>
      <c r="AA21" s="6">
        <v>0</v>
      </c>
      <c r="AB21" s="6">
        <v>0</v>
      </c>
      <c r="AC21" s="6">
        <v>0</v>
      </c>
      <c r="AD21" s="6">
        <v>0</v>
      </c>
      <c r="AE21" s="6">
        <v>308</v>
      </c>
    </row>
    <row r="22" spans="1:31" x14ac:dyDescent="0.3">
      <c r="A22" s="6">
        <v>2372063</v>
      </c>
      <c r="B22" s="6">
        <v>3758</v>
      </c>
      <c r="C22" s="6">
        <v>67</v>
      </c>
      <c r="D22" s="6">
        <v>3446</v>
      </c>
      <c r="E22" s="6">
        <v>0</v>
      </c>
      <c r="F22" s="6">
        <v>2038</v>
      </c>
      <c r="G22" s="6">
        <v>0</v>
      </c>
      <c r="H22" s="6">
        <v>6373</v>
      </c>
      <c r="I22" s="6">
        <v>15682</v>
      </c>
      <c r="L22" s="6">
        <v>2372063</v>
      </c>
      <c r="M22" s="6">
        <v>2229</v>
      </c>
      <c r="N22" s="6">
        <v>67</v>
      </c>
      <c r="O22" s="6">
        <v>3217</v>
      </c>
      <c r="P22" s="6">
        <v>0</v>
      </c>
      <c r="Q22" s="6">
        <v>2038</v>
      </c>
      <c r="R22" s="6">
        <v>0</v>
      </c>
      <c r="S22" s="6">
        <v>6373</v>
      </c>
      <c r="T22" s="6">
        <f t="shared" si="0"/>
        <v>13924</v>
      </c>
      <c r="W22" s="6">
        <v>2372063</v>
      </c>
      <c r="X22" s="6">
        <v>1529</v>
      </c>
      <c r="Y22" s="6">
        <v>0</v>
      </c>
      <c r="Z22" s="6">
        <v>229</v>
      </c>
      <c r="AA22" s="6">
        <v>0</v>
      </c>
      <c r="AB22" s="6">
        <v>0</v>
      </c>
      <c r="AC22" s="6">
        <v>0</v>
      </c>
      <c r="AD22" s="6">
        <v>0</v>
      </c>
      <c r="AE22" s="6">
        <v>1758</v>
      </c>
    </row>
    <row r="23" spans="1:31" x14ac:dyDescent="0.3">
      <c r="A23" s="6">
        <v>2372902</v>
      </c>
      <c r="B23" s="6">
        <v>1194</v>
      </c>
      <c r="C23" s="6">
        <v>1681</v>
      </c>
      <c r="D23" s="6">
        <v>1180</v>
      </c>
      <c r="E23" s="6">
        <v>0</v>
      </c>
      <c r="F23" s="6">
        <v>1155</v>
      </c>
      <c r="G23" s="6">
        <v>920</v>
      </c>
      <c r="H23" s="6">
        <v>3640</v>
      </c>
      <c r="I23" s="6">
        <v>9770</v>
      </c>
      <c r="L23" s="6">
        <v>2372902</v>
      </c>
      <c r="M23" s="6">
        <v>562</v>
      </c>
      <c r="N23" s="6">
        <v>1340</v>
      </c>
      <c r="O23" s="6">
        <v>1180</v>
      </c>
      <c r="P23" s="6">
        <v>0</v>
      </c>
      <c r="Q23" s="6">
        <v>1155</v>
      </c>
      <c r="R23" s="6">
        <v>920</v>
      </c>
      <c r="S23" s="6">
        <v>2412</v>
      </c>
      <c r="T23" s="6">
        <f t="shared" si="0"/>
        <v>7569</v>
      </c>
      <c r="W23" s="6">
        <v>2372902</v>
      </c>
      <c r="X23" s="6">
        <v>632</v>
      </c>
      <c r="Y23" s="6">
        <v>341</v>
      </c>
      <c r="Z23" s="6">
        <v>0</v>
      </c>
      <c r="AA23" s="6">
        <v>0</v>
      </c>
      <c r="AB23" s="6">
        <v>0</v>
      </c>
      <c r="AC23" s="6">
        <v>0</v>
      </c>
      <c r="AD23" s="6">
        <v>1228</v>
      </c>
      <c r="AE23" s="6">
        <v>2201</v>
      </c>
    </row>
    <row r="24" spans="1:31" x14ac:dyDescent="0.3">
      <c r="A24" s="6">
        <v>2472001</v>
      </c>
      <c r="B24" s="6">
        <v>80</v>
      </c>
      <c r="C24" s="6">
        <v>899</v>
      </c>
      <c r="D24" s="6">
        <v>1376</v>
      </c>
      <c r="E24" s="6">
        <v>3657</v>
      </c>
      <c r="F24" s="6">
        <v>1469</v>
      </c>
      <c r="G24" s="6">
        <v>2045</v>
      </c>
      <c r="H24" s="6">
        <v>2093</v>
      </c>
      <c r="I24" s="6">
        <v>11619</v>
      </c>
      <c r="L24" s="6">
        <v>2472001</v>
      </c>
      <c r="M24" s="6">
        <v>80</v>
      </c>
      <c r="N24" s="6">
        <v>899</v>
      </c>
      <c r="O24" s="6">
        <v>1131</v>
      </c>
      <c r="P24" s="6">
        <v>3512</v>
      </c>
      <c r="Q24" s="6">
        <v>781</v>
      </c>
      <c r="R24" s="6">
        <v>2045</v>
      </c>
      <c r="S24" s="6">
        <v>1381</v>
      </c>
      <c r="T24" s="6">
        <f t="shared" si="0"/>
        <v>9829</v>
      </c>
      <c r="W24" s="6">
        <v>2472001</v>
      </c>
      <c r="X24" s="6">
        <v>0</v>
      </c>
      <c r="Y24" s="6">
        <v>0</v>
      </c>
      <c r="Z24" s="6">
        <v>245</v>
      </c>
      <c r="AA24" s="6">
        <v>145</v>
      </c>
      <c r="AB24" s="6">
        <v>688</v>
      </c>
      <c r="AC24" s="6">
        <v>0</v>
      </c>
      <c r="AD24" s="6">
        <v>712</v>
      </c>
      <c r="AE24" s="6">
        <v>1790</v>
      </c>
    </row>
    <row r="25" spans="1:31" x14ac:dyDescent="0.3">
      <c r="A25" s="6">
        <v>2472003</v>
      </c>
      <c r="B25" s="6">
        <v>184</v>
      </c>
      <c r="C25" s="6">
        <v>662</v>
      </c>
      <c r="D25" s="6">
        <v>496</v>
      </c>
      <c r="E25" s="6">
        <v>1246</v>
      </c>
      <c r="F25" s="6">
        <v>907</v>
      </c>
      <c r="G25" s="6">
        <v>0</v>
      </c>
      <c r="H25" s="6">
        <v>0</v>
      </c>
      <c r="I25" s="6">
        <v>3495</v>
      </c>
      <c r="L25" s="6">
        <v>2472003</v>
      </c>
      <c r="M25" s="6">
        <v>184</v>
      </c>
      <c r="N25" s="6">
        <v>662</v>
      </c>
      <c r="O25" s="6">
        <v>305</v>
      </c>
      <c r="P25" s="6">
        <v>1246</v>
      </c>
      <c r="Q25" s="6">
        <v>446</v>
      </c>
      <c r="R25" s="6">
        <v>0</v>
      </c>
      <c r="S25" s="6">
        <v>0</v>
      </c>
      <c r="T25" s="6">
        <f t="shared" si="0"/>
        <v>2843</v>
      </c>
      <c r="W25" s="6">
        <v>2472003</v>
      </c>
      <c r="X25" s="6">
        <v>0</v>
      </c>
      <c r="Y25" s="6">
        <v>0</v>
      </c>
      <c r="Z25" s="6">
        <v>191</v>
      </c>
      <c r="AA25" s="6">
        <v>0</v>
      </c>
      <c r="AB25" s="6">
        <v>461</v>
      </c>
      <c r="AC25" s="6">
        <v>0</v>
      </c>
      <c r="AD25" s="6">
        <v>0</v>
      </c>
      <c r="AE25" s="6">
        <v>652</v>
      </c>
    </row>
    <row r="26" spans="1:31" x14ac:dyDescent="0.3">
      <c r="A26" s="6">
        <v>2472005</v>
      </c>
      <c r="B26" s="6">
        <v>0</v>
      </c>
      <c r="C26" s="6">
        <v>1291</v>
      </c>
      <c r="D26" s="6">
        <v>1769</v>
      </c>
      <c r="E26" s="6">
        <v>1097</v>
      </c>
      <c r="F26" s="6">
        <v>388</v>
      </c>
      <c r="G26" s="6">
        <v>3735</v>
      </c>
      <c r="H26" s="6">
        <v>3665</v>
      </c>
      <c r="I26" s="6">
        <v>11945</v>
      </c>
      <c r="L26" s="6">
        <v>2472005</v>
      </c>
      <c r="M26" s="6">
        <v>0</v>
      </c>
      <c r="N26" s="6">
        <v>1291</v>
      </c>
      <c r="O26" s="6">
        <v>1713</v>
      </c>
      <c r="P26" s="6">
        <v>1097</v>
      </c>
      <c r="Q26" s="6">
        <v>388</v>
      </c>
      <c r="R26" s="6">
        <v>3236</v>
      </c>
      <c r="S26" s="6">
        <v>1436</v>
      </c>
      <c r="T26" s="6">
        <f t="shared" si="0"/>
        <v>9161</v>
      </c>
      <c r="W26" s="6">
        <v>2472005</v>
      </c>
      <c r="X26" s="6">
        <v>0</v>
      </c>
      <c r="Y26" s="6">
        <v>0</v>
      </c>
      <c r="Z26" s="6">
        <v>56</v>
      </c>
      <c r="AA26" s="6">
        <v>0</v>
      </c>
      <c r="AB26" s="6">
        <v>0</v>
      </c>
      <c r="AC26" s="6">
        <v>499</v>
      </c>
      <c r="AD26" s="6">
        <v>2229</v>
      </c>
      <c r="AE26" s="6">
        <v>2784</v>
      </c>
    </row>
    <row r="27" spans="1:31" x14ac:dyDescent="0.3">
      <c r="A27" s="6">
        <v>2472007</v>
      </c>
      <c r="B27" s="6">
        <v>3801</v>
      </c>
      <c r="C27" s="6">
        <v>1978</v>
      </c>
      <c r="D27" s="6">
        <v>8357</v>
      </c>
      <c r="E27" s="6">
        <v>11946</v>
      </c>
      <c r="F27" s="6">
        <v>4095</v>
      </c>
      <c r="G27" s="6">
        <v>10297</v>
      </c>
      <c r="H27" s="6">
        <v>14204</v>
      </c>
      <c r="I27" s="6">
        <v>54678</v>
      </c>
      <c r="L27" s="6">
        <v>2472007</v>
      </c>
      <c r="M27" s="6">
        <v>3801</v>
      </c>
      <c r="N27" s="6">
        <v>1578</v>
      </c>
      <c r="O27" s="6">
        <v>7288</v>
      </c>
      <c r="P27" s="6">
        <v>11076</v>
      </c>
      <c r="Q27" s="6">
        <v>2681</v>
      </c>
      <c r="R27" s="6">
        <v>8015</v>
      </c>
      <c r="S27" s="6">
        <v>10587</v>
      </c>
      <c r="T27" s="6">
        <f t="shared" si="0"/>
        <v>45026</v>
      </c>
      <c r="W27" s="6">
        <v>2472007</v>
      </c>
      <c r="X27" s="6">
        <v>0</v>
      </c>
      <c r="Y27" s="6">
        <v>400</v>
      </c>
      <c r="Z27" s="6">
        <v>1069</v>
      </c>
      <c r="AA27" s="6">
        <v>870</v>
      </c>
      <c r="AB27" s="6">
        <v>1414</v>
      </c>
      <c r="AC27" s="6">
        <v>2282</v>
      </c>
      <c r="AD27" s="6">
        <v>3617</v>
      </c>
      <c r="AE27" s="6">
        <v>9652</v>
      </c>
    </row>
    <row r="28" spans="1:31" x14ac:dyDescent="0.3">
      <c r="A28" s="6">
        <v>2472008</v>
      </c>
      <c r="B28" s="6">
        <v>4002</v>
      </c>
      <c r="C28" s="6">
        <v>1562</v>
      </c>
      <c r="D28" s="6">
        <v>9833</v>
      </c>
      <c r="E28" s="6">
        <v>4384</v>
      </c>
      <c r="F28" s="6">
        <v>5084</v>
      </c>
      <c r="G28" s="6">
        <v>10344</v>
      </c>
      <c r="H28" s="6">
        <v>15465</v>
      </c>
      <c r="I28" s="6">
        <v>50674</v>
      </c>
      <c r="L28" s="6">
        <v>2472008</v>
      </c>
      <c r="M28" s="6">
        <v>1883</v>
      </c>
      <c r="N28" s="6">
        <v>1206</v>
      </c>
      <c r="O28" s="6">
        <v>8628</v>
      </c>
      <c r="P28" s="6">
        <v>3572</v>
      </c>
      <c r="Q28" s="6">
        <v>4140</v>
      </c>
      <c r="R28" s="6">
        <v>8984</v>
      </c>
      <c r="S28" s="6">
        <v>12436</v>
      </c>
      <c r="T28" s="6">
        <f t="shared" si="0"/>
        <v>40849</v>
      </c>
      <c r="W28" s="6">
        <v>2472008</v>
      </c>
      <c r="X28" s="6">
        <v>2119</v>
      </c>
      <c r="Y28" s="6">
        <v>356</v>
      </c>
      <c r="Z28" s="6">
        <v>1205</v>
      </c>
      <c r="AA28" s="6">
        <v>812</v>
      </c>
      <c r="AB28" s="6">
        <v>944</v>
      </c>
      <c r="AC28" s="6">
        <v>1360</v>
      </c>
      <c r="AD28" s="6">
        <v>3029</v>
      </c>
      <c r="AE28" s="6">
        <v>9825</v>
      </c>
    </row>
    <row r="29" spans="1:31" x14ac:dyDescent="0.3">
      <c r="A29" s="6">
        <v>2472009</v>
      </c>
      <c r="B29" s="6">
        <v>4704</v>
      </c>
      <c r="C29" s="6">
        <v>526</v>
      </c>
      <c r="D29" s="6">
        <v>873</v>
      </c>
      <c r="E29" s="6">
        <v>0</v>
      </c>
      <c r="F29" s="6">
        <v>788</v>
      </c>
      <c r="G29" s="6">
        <v>0</v>
      </c>
      <c r="H29" s="6">
        <v>925</v>
      </c>
      <c r="I29" s="6">
        <v>7816</v>
      </c>
      <c r="L29" s="6">
        <v>2472009</v>
      </c>
      <c r="M29" s="6">
        <v>3863</v>
      </c>
      <c r="N29" s="6">
        <v>526</v>
      </c>
      <c r="O29" s="6">
        <v>627</v>
      </c>
      <c r="P29" s="6">
        <v>0</v>
      </c>
      <c r="Q29" s="6">
        <v>726</v>
      </c>
      <c r="R29" s="6">
        <v>0</v>
      </c>
      <c r="S29" s="6">
        <v>925</v>
      </c>
      <c r="T29" s="6">
        <f t="shared" si="0"/>
        <v>6667</v>
      </c>
      <c r="W29" s="6">
        <v>2472009</v>
      </c>
      <c r="X29" s="6">
        <v>841</v>
      </c>
      <c r="Y29" s="6">
        <v>0</v>
      </c>
      <c r="Z29" s="6">
        <v>246</v>
      </c>
      <c r="AA29" s="6">
        <v>0</v>
      </c>
      <c r="AB29" s="6">
        <v>62</v>
      </c>
      <c r="AC29" s="6">
        <v>0</v>
      </c>
      <c r="AD29" s="6">
        <v>0</v>
      </c>
      <c r="AE29" s="6">
        <v>1149</v>
      </c>
    </row>
    <row r="30" spans="1:31" x14ac:dyDescent="0.3">
      <c r="A30" s="6">
        <v>2472010</v>
      </c>
      <c r="B30" s="6">
        <v>2389</v>
      </c>
      <c r="C30" s="6">
        <v>344</v>
      </c>
      <c r="D30" s="6">
        <v>6742</v>
      </c>
      <c r="E30" s="6">
        <v>0</v>
      </c>
      <c r="F30" s="6">
        <v>1195</v>
      </c>
      <c r="G30" s="6">
        <v>0</v>
      </c>
      <c r="H30" s="6">
        <v>8616</v>
      </c>
      <c r="I30" s="6">
        <v>19286</v>
      </c>
      <c r="L30" s="6">
        <v>2472010</v>
      </c>
      <c r="M30" s="6">
        <v>1364</v>
      </c>
      <c r="N30" s="6">
        <v>0</v>
      </c>
      <c r="O30" s="6">
        <v>4710</v>
      </c>
      <c r="P30" s="6">
        <v>0</v>
      </c>
      <c r="Q30" s="6">
        <v>1195</v>
      </c>
      <c r="R30" s="6">
        <v>0</v>
      </c>
      <c r="S30" s="6">
        <v>8307</v>
      </c>
      <c r="T30" s="6">
        <f t="shared" si="0"/>
        <v>15576</v>
      </c>
      <c r="W30" s="6">
        <v>2472010</v>
      </c>
      <c r="X30" s="6">
        <v>1025</v>
      </c>
      <c r="Y30" s="6">
        <v>344</v>
      </c>
      <c r="Z30" s="6">
        <v>2032</v>
      </c>
      <c r="AA30" s="6">
        <v>0</v>
      </c>
      <c r="AB30" s="6">
        <v>0</v>
      </c>
      <c r="AC30" s="6">
        <v>0</v>
      </c>
      <c r="AD30" s="6">
        <v>309</v>
      </c>
      <c r="AE30" s="6">
        <v>3710</v>
      </c>
    </row>
    <row r="31" spans="1:31" x14ac:dyDescent="0.3">
      <c r="A31" s="6">
        <v>2472011</v>
      </c>
      <c r="B31" s="6">
        <v>4904</v>
      </c>
      <c r="C31" s="6">
        <v>2224</v>
      </c>
      <c r="D31" s="6">
        <v>2704</v>
      </c>
      <c r="E31" s="6">
        <v>4911</v>
      </c>
      <c r="F31" s="6">
        <v>1175</v>
      </c>
      <c r="G31" s="6">
        <v>1726</v>
      </c>
      <c r="H31" s="6">
        <v>8039</v>
      </c>
      <c r="I31" s="6">
        <v>25683</v>
      </c>
      <c r="L31" s="6">
        <v>2472011</v>
      </c>
      <c r="M31" s="6">
        <v>3884</v>
      </c>
      <c r="N31" s="6">
        <v>2224</v>
      </c>
      <c r="O31" s="6">
        <v>2193</v>
      </c>
      <c r="P31" s="6">
        <v>4347</v>
      </c>
      <c r="Q31" s="6">
        <v>1175</v>
      </c>
      <c r="R31" s="6">
        <v>133</v>
      </c>
      <c r="S31" s="6">
        <v>6523</v>
      </c>
      <c r="T31" s="6">
        <f t="shared" si="0"/>
        <v>20479</v>
      </c>
      <c r="W31" s="6">
        <v>2472011</v>
      </c>
      <c r="X31" s="6">
        <v>1020</v>
      </c>
      <c r="Y31" s="6">
        <v>0</v>
      </c>
      <c r="Z31" s="6">
        <v>511</v>
      </c>
      <c r="AA31" s="6">
        <v>564</v>
      </c>
      <c r="AB31" s="6">
        <v>0</v>
      </c>
      <c r="AC31" s="6">
        <v>1593</v>
      </c>
      <c r="AD31" s="6">
        <v>1516</v>
      </c>
      <c r="AE31" s="6">
        <v>5204</v>
      </c>
    </row>
    <row r="32" spans="1:31" x14ac:dyDescent="0.3">
      <c r="A32" s="6">
        <v>2472012</v>
      </c>
      <c r="B32" s="6">
        <v>704</v>
      </c>
      <c r="C32" s="6">
        <v>1275</v>
      </c>
      <c r="D32" s="6">
        <v>3568</v>
      </c>
      <c r="E32" s="6">
        <v>4363</v>
      </c>
      <c r="F32" s="6">
        <v>334</v>
      </c>
      <c r="G32" s="6">
        <v>331</v>
      </c>
      <c r="H32" s="6">
        <v>1348</v>
      </c>
      <c r="I32" s="6">
        <v>11923</v>
      </c>
      <c r="L32" s="6">
        <v>2472012</v>
      </c>
      <c r="M32" s="6">
        <v>310</v>
      </c>
      <c r="N32" s="6">
        <v>1275</v>
      </c>
      <c r="O32" s="6">
        <v>2939</v>
      </c>
      <c r="P32" s="6">
        <v>3289</v>
      </c>
      <c r="Q32" s="6">
        <v>334</v>
      </c>
      <c r="R32" s="6">
        <v>331</v>
      </c>
      <c r="S32" s="6">
        <v>1348</v>
      </c>
      <c r="T32" s="6">
        <f t="shared" si="0"/>
        <v>9826</v>
      </c>
      <c r="W32" s="6">
        <v>2472012</v>
      </c>
      <c r="X32" s="6">
        <v>394</v>
      </c>
      <c r="Y32" s="6">
        <v>0</v>
      </c>
      <c r="Z32" s="6">
        <v>629</v>
      </c>
      <c r="AA32" s="6">
        <v>1074</v>
      </c>
      <c r="AB32" s="6">
        <v>0</v>
      </c>
      <c r="AC32" s="6">
        <v>0</v>
      </c>
      <c r="AD32" s="6">
        <v>0</v>
      </c>
      <c r="AE32" s="6">
        <v>2097</v>
      </c>
    </row>
    <row r="33" spans="1:31" x14ac:dyDescent="0.3">
      <c r="A33" s="6">
        <v>2472013</v>
      </c>
      <c r="B33" s="6">
        <v>618</v>
      </c>
      <c r="C33" s="6">
        <v>216</v>
      </c>
      <c r="D33" s="6">
        <v>0</v>
      </c>
      <c r="E33" s="6">
        <v>0</v>
      </c>
      <c r="F33" s="6">
        <v>0</v>
      </c>
      <c r="G33" s="6">
        <v>788</v>
      </c>
      <c r="H33" s="6">
        <v>6052</v>
      </c>
      <c r="I33" s="6">
        <v>7674</v>
      </c>
      <c r="L33" s="6">
        <v>2472013</v>
      </c>
      <c r="M33" s="6">
        <v>618</v>
      </c>
      <c r="N33" s="6">
        <v>216</v>
      </c>
      <c r="O33" s="6">
        <v>0</v>
      </c>
      <c r="P33" s="6">
        <v>0</v>
      </c>
      <c r="Q33" s="6">
        <v>0</v>
      </c>
      <c r="R33" s="6">
        <v>788</v>
      </c>
      <c r="S33" s="6">
        <v>4907</v>
      </c>
      <c r="T33" s="6">
        <f t="shared" si="0"/>
        <v>6529</v>
      </c>
      <c r="W33" s="6">
        <v>2472013</v>
      </c>
      <c r="X33" s="6">
        <v>0</v>
      </c>
      <c r="Y33" s="6">
        <v>0</v>
      </c>
      <c r="Z33" s="6">
        <v>0</v>
      </c>
      <c r="AA33" s="6">
        <v>0</v>
      </c>
      <c r="AB33" s="6">
        <v>0</v>
      </c>
      <c r="AC33" s="6">
        <v>0</v>
      </c>
      <c r="AD33" s="6">
        <v>1145</v>
      </c>
      <c r="AE33" s="6">
        <v>1145</v>
      </c>
    </row>
    <row r="34" spans="1:31" x14ac:dyDescent="0.3">
      <c r="A34" s="6">
        <v>2472014</v>
      </c>
      <c r="B34" s="6">
        <v>1636</v>
      </c>
      <c r="C34" s="6">
        <v>455</v>
      </c>
      <c r="D34" s="6">
        <v>2232</v>
      </c>
      <c r="E34" s="6">
        <v>3912</v>
      </c>
      <c r="F34" s="6">
        <v>2464</v>
      </c>
      <c r="G34" s="6">
        <v>0</v>
      </c>
      <c r="H34" s="6">
        <v>1536</v>
      </c>
      <c r="I34" s="6">
        <v>12235</v>
      </c>
      <c r="L34" s="6">
        <v>2472014</v>
      </c>
      <c r="M34" s="6">
        <v>1636</v>
      </c>
      <c r="N34" s="6">
        <v>455</v>
      </c>
      <c r="O34" s="6">
        <v>2232</v>
      </c>
      <c r="P34" s="6">
        <v>3272</v>
      </c>
      <c r="Q34" s="6">
        <v>2052</v>
      </c>
      <c r="R34" s="6">
        <v>0</v>
      </c>
      <c r="S34" s="6">
        <v>856</v>
      </c>
      <c r="T34" s="6">
        <f t="shared" si="0"/>
        <v>10503</v>
      </c>
      <c r="W34" s="6">
        <v>2472014</v>
      </c>
      <c r="X34" s="6">
        <v>0</v>
      </c>
      <c r="Y34" s="6">
        <v>0</v>
      </c>
      <c r="Z34" s="6">
        <v>0</v>
      </c>
      <c r="AA34" s="6">
        <v>640</v>
      </c>
      <c r="AB34" s="6">
        <v>412</v>
      </c>
      <c r="AC34" s="6">
        <v>0</v>
      </c>
      <c r="AD34" s="6">
        <v>680</v>
      </c>
      <c r="AE34" s="6">
        <v>1732</v>
      </c>
    </row>
    <row r="35" spans="1:31" x14ac:dyDescent="0.3">
      <c r="A35" s="6">
        <v>2472017</v>
      </c>
      <c r="B35" s="6">
        <v>5676</v>
      </c>
      <c r="C35" s="6">
        <v>2319</v>
      </c>
      <c r="D35" s="6">
        <v>5659</v>
      </c>
      <c r="E35" s="6">
        <v>2764</v>
      </c>
      <c r="F35" s="6">
        <v>988</v>
      </c>
      <c r="G35" s="6">
        <v>1170</v>
      </c>
      <c r="H35" s="6">
        <v>18387</v>
      </c>
      <c r="I35" s="6">
        <v>36963</v>
      </c>
      <c r="L35" s="6">
        <v>2472017</v>
      </c>
      <c r="M35" s="6">
        <v>5099</v>
      </c>
      <c r="N35" s="6">
        <v>2027</v>
      </c>
      <c r="O35" s="6">
        <v>3790</v>
      </c>
      <c r="P35" s="6">
        <v>2158</v>
      </c>
      <c r="Q35" s="6">
        <v>791</v>
      </c>
      <c r="R35" s="6">
        <v>1125</v>
      </c>
      <c r="S35" s="6">
        <v>12271</v>
      </c>
      <c r="T35" s="6">
        <f t="shared" si="0"/>
        <v>27261</v>
      </c>
      <c r="W35" s="6">
        <v>2472017</v>
      </c>
      <c r="X35" s="6">
        <v>577</v>
      </c>
      <c r="Y35" s="6">
        <v>292</v>
      </c>
      <c r="Z35" s="6">
        <v>1869</v>
      </c>
      <c r="AA35" s="6">
        <v>606</v>
      </c>
      <c r="AB35" s="6">
        <v>197</v>
      </c>
      <c r="AC35" s="6">
        <v>45</v>
      </c>
      <c r="AD35" s="6">
        <v>6116</v>
      </c>
      <c r="AE35" s="6">
        <v>9702</v>
      </c>
    </row>
    <row r="36" spans="1:31" x14ac:dyDescent="0.3">
      <c r="A36" s="6">
        <v>2472018</v>
      </c>
      <c r="B36" s="6">
        <v>660</v>
      </c>
      <c r="C36" s="6">
        <v>886</v>
      </c>
      <c r="D36" s="6">
        <v>3448</v>
      </c>
      <c r="E36" s="6">
        <v>4429</v>
      </c>
      <c r="F36" s="6">
        <v>1487</v>
      </c>
      <c r="G36" s="6">
        <v>4658</v>
      </c>
      <c r="H36" s="6">
        <v>11945</v>
      </c>
      <c r="I36" s="6">
        <v>27513</v>
      </c>
      <c r="L36" s="6">
        <v>2472018</v>
      </c>
      <c r="M36" s="6">
        <v>124</v>
      </c>
      <c r="N36" s="6">
        <v>387</v>
      </c>
      <c r="O36" s="6">
        <v>3293</v>
      </c>
      <c r="P36" s="6">
        <v>3118</v>
      </c>
      <c r="Q36" s="6">
        <v>1127</v>
      </c>
      <c r="R36" s="6">
        <v>3316</v>
      </c>
      <c r="S36" s="6">
        <v>9629</v>
      </c>
      <c r="T36" s="6">
        <f t="shared" si="0"/>
        <v>20994</v>
      </c>
      <c r="W36" s="6">
        <v>2472018</v>
      </c>
      <c r="X36" s="6">
        <v>536</v>
      </c>
      <c r="Y36" s="6">
        <v>499</v>
      </c>
      <c r="Z36" s="6">
        <v>155</v>
      </c>
      <c r="AA36" s="6">
        <v>1311</v>
      </c>
      <c r="AB36" s="6">
        <v>360</v>
      </c>
      <c r="AC36" s="6">
        <v>1342</v>
      </c>
      <c r="AD36" s="6">
        <v>2316</v>
      </c>
      <c r="AE36" s="6">
        <v>6519</v>
      </c>
    </row>
    <row r="37" spans="1:31" x14ac:dyDescent="0.3">
      <c r="A37" s="6">
        <v>2472019</v>
      </c>
      <c r="B37" s="6">
        <v>981</v>
      </c>
      <c r="C37" s="6">
        <v>1115</v>
      </c>
      <c r="D37" s="6">
        <v>3808</v>
      </c>
      <c r="E37" s="6">
        <v>1017</v>
      </c>
      <c r="F37" s="6">
        <v>1400</v>
      </c>
      <c r="G37" s="6">
        <v>1416</v>
      </c>
      <c r="H37" s="6">
        <v>986</v>
      </c>
      <c r="I37" s="6">
        <v>10723</v>
      </c>
      <c r="L37" s="6">
        <v>2472019</v>
      </c>
      <c r="M37" s="6">
        <v>0</v>
      </c>
      <c r="N37" s="6">
        <v>679</v>
      </c>
      <c r="O37" s="6">
        <v>3030</v>
      </c>
      <c r="P37" s="6">
        <v>0</v>
      </c>
      <c r="Q37" s="6">
        <v>1400</v>
      </c>
      <c r="R37" s="6">
        <v>1208</v>
      </c>
      <c r="S37" s="6">
        <v>469</v>
      </c>
      <c r="T37" s="6">
        <f t="shared" si="0"/>
        <v>6786</v>
      </c>
      <c r="W37" s="6">
        <v>2472019</v>
      </c>
      <c r="X37" s="6">
        <v>981</v>
      </c>
      <c r="Y37" s="6">
        <v>436</v>
      </c>
      <c r="Z37" s="6">
        <v>778</v>
      </c>
      <c r="AA37" s="6">
        <v>1017</v>
      </c>
      <c r="AB37" s="6">
        <v>0</v>
      </c>
      <c r="AC37" s="6">
        <v>208</v>
      </c>
      <c r="AD37" s="6">
        <v>517</v>
      </c>
      <c r="AE37" s="6">
        <v>3937</v>
      </c>
    </row>
    <row r="38" spans="1:31" x14ac:dyDescent="0.3">
      <c r="A38" s="6">
        <v>2472020</v>
      </c>
      <c r="B38" s="6">
        <v>2073</v>
      </c>
      <c r="C38" s="6">
        <v>5763</v>
      </c>
      <c r="D38" s="6">
        <v>5953</v>
      </c>
      <c r="E38" s="6">
        <v>6984</v>
      </c>
      <c r="F38" s="6">
        <v>3074</v>
      </c>
      <c r="G38" s="6">
        <v>4129</v>
      </c>
      <c r="H38" s="6">
        <v>13863</v>
      </c>
      <c r="I38" s="6">
        <v>41839</v>
      </c>
      <c r="L38" s="6">
        <v>2472020</v>
      </c>
      <c r="M38" s="6">
        <v>2073</v>
      </c>
      <c r="N38" s="6">
        <v>4621</v>
      </c>
      <c r="O38" s="6">
        <v>5108</v>
      </c>
      <c r="P38" s="6">
        <v>5861</v>
      </c>
      <c r="Q38" s="6">
        <v>3074</v>
      </c>
      <c r="R38" s="6">
        <v>3892</v>
      </c>
      <c r="S38" s="6">
        <v>10503</v>
      </c>
      <c r="T38" s="6">
        <f t="shared" si="0"/>
        <v>35132</v>
      </c>
      <c r="W38" s="6">
        <v>2472020</v>
      </c>
      <c r="X38" s="6">
        <v>0</v>
      </c>
      <c r="Y38" s="6">
        <v>1142</v>
      </c>
      <c r="Z38" s="6">
        <v>845</v>
      </c>
      <c r="AA38" s="6">
        <v>1123</v>
      </c>
      <c r="AB38" s="6">
        <v>0</v>
      </c>
      <c r="AC38" s="6">
        <v>237</v>
      </c>
      <c r="AD38" s="6">
        <v>3360</v>
      </c>
      <c r="AE38" s="6">
        <v>6707</v>
      </c>
    </row>
    <row r="39" spans="1:31" x14ac:dyDescent="0.3">
      <c r="A39" s="6">
        <v>2472021</v>
      </c>
      <c r="B39" s="6">
        <v>2803</v>
      </c>
      <c r="C39" s="6">
        <v>1627</v>
      </c>
      <c r="D39" s="6">
        <v>4286</v>
      </c>
      <c r="E39" s="6">
        <v>3244</v>
      </c>
      <c r="F39" s="6">
        <v>339</v>
      </c>
      <c r="G39" s="6">
        <v>0</v>
      </c>
      <c r="H39" s="6">
        <v>2337</v>
      </c>
      <c r="I39" s="6">
        <v>14636</v>
      </c>
      <c r="L39" s="6">
        <v>2472021</v>
      </c>
      <c r="M39" s="6">
        <v>1508</v>
      </c>
      <c r="N39" s="6">
        <v>1330</v>
      </c>
      <c r="O39" s="6">
        <v>4286</v>
      </c>
      <c r="P39" s="6">
        <v>2659</v>
      </c>
      <c r="Q39" s="6">
        <v>339</v>
      </c>
      <c r="R39" s="6">
        <v>0</v>
      </c>
      <c r="S39" s="6">
        <v>2231</v>
      </c>
      <c r="T39" s="6">
        <f t="shared" si="0"/>
        <v>12353</v>
      </c>
      <c r="W39" s="6">
        <v>2472021</v>
      </c>
      <c r="X39" s="6">
        <v>1295</v>
      </c>
      <c r="Y39" s="6">
        <v>297</v>
      </c>
      <c r="Z39" s="6">
        <v>0</v>
      </c>
      <c r="AA39" s="6">
        <v>585</v>
      </c>
      <c r="AB39" s="6">
        <v>0</v>
      </c>
      <c r="AC39" s="6">
        <v>0</v>
      </c>
      <c r="AD39" s="6">
        <v>106</v>
      </c>
      <c r="AE39" s="6">
        <v>2283</v>
      </c>
    </row>
    <row r="40" spans="1:31" x14ac:dyDescent="0.3">
      <c r="A40" s="6">
        <v>2472022</v>
      </c>
      <c r="B40" s="6">
        <v>1547</v>
      </c>
      <c r="C40" s="6">
        <v>1733</v>
      </c>
      <c r="D40" s="6">
        <v>500</v>
      </c>
      <c r="E40" s="6">
        <v>3988</v>
      </c>
      <c r="F40" s="6">
        <v>497</v>
      </c>
      <c r="G40" s="6">
        <v>1904</v>
      </c>
      <c r="H40" s="6">
        <v>3041</v>
      </c>
      <c r="I40" s="6">
        <v>13210</v>
      </c>
      <c r="L40" s="6">
        <v>2472022</v>
      </c>
      <c r="M40" s="6">
        <v>1547</v>
      </c>
      <c r="N40" s="6">
        <v>1347</v>
      </c>
      <c r="O40" s="6">
        <v>283</v>
      </c>
      <c r="P40" s="6">
        <v>3753</v>
      </c>
      <c r="Q40" s="6">
        <v>497</v>
      </c>
      <c r="R40" s="6">
        <v>1052</v>
      </c>
      <c r="S40" s="6">
        <v>632</v>
      </c>
      <c r="T40" s="6">
        <f t="shared" si="0"/>
        <v>9111</v>
      </c>
      <c r="W40" s="6">
        <v>2472022</v>
      </c>
      <c r="X40" s="6">
        <v>0</v>
      </c>
      <c r="Y40" s="6">
        <v>386</v>
      </c>
      <c r="Z40" s="6">
        <v>217</v>
      </c>
      <c r="AA40" s="6">
        <v>235</v>
      </c>
      <c r="AB40" s="6">
        <v>0</v>
      </c>
      <c r="AC40" s="6">
        <v>852</v>
      </c>
      <c r="AD40" s="6">
        <v>2409</v>
      </c>
      <c r="AE40" s="6">
        <v>4099</v>
      </c>
    </row>
    <row r="41" spans="1:31" x14ac:dyDescent="0.3">
      <c r="A41" s="6">
        <v>2472023</v>
      </c>
      <c r="B41" s="6">
        <v>0</v>
      </c>
      <c r="C41" s="6">
        <v>370</v>
      </c>
      <c r="D41" s="6">
        <v>2197</v>
      </c>
      <c r="E41" s="6">
        <v>0</v>
      </c>
      <c r="F41" s="6">
        <v>1426</v>
      </c>
      <c r="G41" s="6">
        <v>185</v>
      </c>
      <c r="H41" s="6">
        <v>746</v>
      </c>
      <c r="I41" s="6">
        <v>4924</v>
      </c>
      <c r="L41" s="6">
        <v>2472023</v>
      </c>
      <c r="M41" s="6">
        <v>0</v>
      </c>
      <c r="N41" s="6">
        <v>217</v>
      </c>
      <c r="O41" s="6">
        <v>1967</v>
      </c>
      <c r="P41" s="6">
        <v>0</v>
      </c>
      <c r="Q41" s="6">
        <v>748</v>
      </c>
      <c r="R41" s="6">
        <v>0</v>
      </c>
      <c r="S41" s="6">
        <v>746</v>
      </c>
      <c r="T41" s="6">
        <f t="shared" si="0"/>
        <v>3678</v>
      </c>
      <c r="W41" s="6">
        <v>2472023</v>
      </c>
      <c r="X41" s="6">
        <v>0</v>
      </c>
      <c r="Y41" s="6">
        <v>153</v>
      </c>
      <c r="Z41" s="6">
        <v>230</v>
      </c>
      <c r="AA41" s="6">
        <v>0</v>
      </c>
      <c r="AB41" s="6">
        <v>678</v>
      </c>
      <c r="AC41" s="6">
        <v>185</v>
      </c>
      <c r="AD41" s="6">
        <v>0</v>
      </c>
      <c r="AE41" s="6">
        <v>1246</v>
      </c>
    </row>
    <row r="42" spans="1:31" x14ac:dyDescent="0.3">
      <c r="A42" s="6">
        <v>2472024</v>
      </c>
      <c r="B42" s="6">
        <v>360</v>
      </c>
      <c r="C42" s="6">
        <v>2412</v>
      </c>
      <c r="D42" s="6">
        <v>6704</v>
      </c>
      <c r="E42" s="6">
        <v>4049</v>
      </c>
      <c r="F42" s="6">
        <v>1515</v>
      </c>
      <c r="G42" s="6">
        <v>56</v>
      </c>
      <c r="H42" s="6">
        <v>4367</v>
      </c>
      <c r="I42" s="6">
        <v>19463</v>
      </c>
      <c r="L42" s="6">
        <v>2472024</v>
      </c>
      <c r="M42" s="6">
        <v>360</v>
      </c>
      <c r="N42" s="6">
        <v>1456</v>
      </c>
      <c r="O42" s="6">
        <v>5553</v>
      </c>
      <c r="P42" s="6">
        <v>2923</v>
      </c>
      <c r="Q42" s="6">
        <v>1368</v>
      </c>
      <c r="R42" s="6">
        <v>56</v>
      </c>
      <c r="S42" s="6">
        <v>4013</v>
      </c>
      <c r="T42" s="6">
        <f t="shared" si="0"/>
        <v>15729</v>
      </c>
      <c r="W42" s="6">
        <v>2472024</v>
      </c>
      <c r="X42" s="6">
        <v>0</v>
      </c>
      <c r="Y42" s="6">
        <v>956</v>
      </c>
      <c r="Z42" s="6">
        <v>1151</v>
      </c>
      <c r="AA42" s="6">
        <v>1126</v>
      </c>
      <c r="AB42" s="6">
        <v>147</v>
      </c>
      <c r="AC42" s="6">
        <v>0</v>
      </c>
      <c r="AD42" s="6">
        <v>354</v>
      </c>
      <c r="AE42" s="6">
        <v>3734</v>
      </c>
    </row>
    <row r="43" spans="1:31" x14ac:dyDescent="0.3">
      <c r="A43" s="6">
        <v>2472025</v>
      </c>
      <c r="B43" s="6">
        <v>442</v>
      </c>
      <c r="C43" s="6">
        <v>3265</v>
      </c>
      <c r="D43" s="6">
        <v>1867</v>
      </c>
      <c r="E43" s="6">
        <v>2877</v>
      </c>
      <c r="F43" s="6">
        <v>120</v>
      </c>
      <c r="G43" s="6">
        <v>1287</v>
      </c>
      <c r="H43" s="6">
        <v>5023</v>
      </c>
      <c r="I43" s="6">
        <v>14881</v>
      </c>
      <c r="L43" s="6">
        <v>2472025</v>
      </c>
      <c r="M43" s="6">
        <v>442</v>
      </c>
      <c r="N43" s="6">
        <v>2135</v>
      </c>
      <c r="O43" s="6">
        <v>1734</v>
      </c>
      <c r="P43" s="6">
        <v>2295</v>
      </c>
      <c r="Q43" s="6">
        <v>120</v>
      </c>
      <c r="R43" s="6">
        <v>1287</v>
      </c>
      <c r="S43" s="6">
        <v>1439</v>
      </c>
      <c r="T43" s="6">
        <f t="shared" si="0"/>
        <v>9452</v>
      </c>
      <c r="W43" s="6">
        <v>2472025</v>
      </c>
      <c r="X43" s="6">
        <v>0</v>
      </c>
      <c r="Y43" s="6">
        <v>1130</v>
      </c>
      <c r="Z43" s="6">
        <v>133</v>
      </c>
      <c r="AA43" s="6">
        <v>582</v>
      </c>
      <c r="AB43" s="6">
        <v>0</v>
      </c>
      <c r="AC43" s="6">
        <v>0</v>
      </c>
      <c r="AD43" s="6">
        <v>3584</v>
      </c>
      <c r="AE43" s="6">
        <v>5429</v>
      </c>
    </row>
    <row r="44" spans="1:31" x14ac:dyDescent="0.3">
      <c r="A44" s="6">
        <v>2472026</v>
      </c>
      <c r="B44" s="6">
        <v>0</v>
      </c>
      <c r="C44" s="6">
        <v>385</v>
      </c>
      <c r="D44" s="6">
        <v>2315</v>
      </c>
      <c r="E44" s="6">
        <v>647</v>
      </c>
      <c r="F44" s="6">
        <v>0</v>
      </c>
      <c r="G44" s="6">
        <v>0</v>
      </c>
      <c r="H44" s="6">
        <v>1277</v>
      </c>
      <c r="I44" s="6">
        <v>4624</v>
      </c>
      <c r="L44" s="6">
        <v>2472026</v>
      </c>
      <c r="M44" s="6">
        <v>0</v>
      </c>
      <c r="N44" s="6">
        <v>80</v>
      </c>
      <c r="O44" s="6">
        <v>2264</v>
      </c>
      <c r="P44" s="6">
        <v>647</v>
      </c>
      <c r="Q44" s="6">
        <v>0</v>
      </c>
      <c r="R44" s="6">
        <v>0</v>
      </c>
      <c r="S44" s="6">
        <v>1277</v>
      </c>
      <c r="T44" s="6">
        <f t="shared" si="0"/>
        <v>4268</v>
      </c>
      <c r="W44" s="6">
        <v>2472026</v>
      </c>
      <c r="X44" s="6">
        <v>0</v>
      </c>
      <c r="Y44" s="6">
        <v>305</v>
      </c>
      <c r="Z44" s="6">
        <v>51</v>
      </c>
      <c r="AA44" s="6">
        <v>0</v>
      </c>
      <c r="AB44" s="6">
        <v>0</v>
      </c>
      <c r="AC44" s="6">
        <v>0</v>
      </c>
      <c r="AD44" s="6">
        <v>0</v>
      </c>
      <c r="AE44" s="6">
        <v>356</v>
      </c>
    </row>
    <row r="45" spans="1:31" x14ac:dyDescent="0.3">
      <c r="A45" s="6">
        <v>2472027</v>
      </c>
      <c r="B45" s="6">
        <v>798</v>
      </c>
      <c r="C45" s="6">
        <v>558</v>
      </c>
      <c r="D45" s="6">
        <v>5700</v>
      </c>
      <c r="E45" s="6">
        <v>4681</v>
      </c>
      <c r="F45" s="6">
        <v>1179</v>
      </c>
      <c r="G45" s="6">
        <v>1695</v>
      </c>
      <c r="H45" s="6">
        <v>2577</v>
      </c>
      <c r="I45" s="6">
        <v>17188</v>
      </c>
      <c r="L45" s="6">
        <v>2472027</v>
      </c>
      <c r="M45" s="6">
        <v>798</v>
      </c>
      <c r="N45" s="6">
        <v>197</v>
      </c>
      <c r="O45" s="6">
        <v>3854</v>
      </c>
      <c r="P45" s="6">
        <v>3679</v>
      </c>
      <c r="Q45" s="6">
        <v>1179</v>
      </c>
      <c r="R45" s="6">
        <v>1212</v>
      </c>
      <c r="S45" s="6">
        <v>2189</v>
      </c>
      <c r="T45" s="6">
        <f t="shared" si="0"/>
        <v>13108</v>
      </c>
      <c r="W45" s="6">
        <v>2472027</v>
      </c>
      <c r="X45" s="6">
        <v>0</v>
      </c>
      <c r="Y45" s="6">
        <v>361</v>
      </c>
      <c r="Z45" s="6">
        <v>1846</v>
      </c>
      <c r="AA45" s="6">
        <v>1002</v>
      </c>
      <c r="AB45" s="6">
        <v>0</v>
      </c>
      <c r="AC45" s="6">
        <v>483</v>
      </c>
      <c r="AD45" s="6">
        <v>388</v>
      </c>
      <c r="AE45" s="6">
        <v>4080</v>
      </c>
    </row>
    <row r="46" spans="1:31" x14ac:dyDescent="0.3">
      <c r="A46" s="6">
        <v>2472028</v>
      </c>
      <c r="B46" s="6">
        <v>2284</v>
      </c>
      <c r="C46" s="6">
        <v>310</v>
      </c>
      <c r="D46" s="6">
        <v>1399</v>
      </c>
      <c r="E46" s="6">
        <v>0</v>
      </c>
      <c r="F46" s="6">
        <v>474</v>
      </c>
      <c r="G46" s="6">
        <v>0</v>
      </c>
      <c r="H46" s="6">
        <v>3838</v>
      </c>
      <c r="I46" s="6">
        <v>8305</v>
      </c>
      <c r="L46" s="6">
        <v>2472028</v>
      </c>
      <c r="M46" s="6">
        <v>1890</v>
      </c>
      <c r="N46" s="6">
        <v>310</v>
      </c>
      <c r="O46" s="6">
        <v>1143</v>
      </c>
      <c r="P46" s="6">
        <v>0</v>
      </c>
      <c r="Q46" s="6">
        <v>474</v>
      </c>
      <c r="R46" s="6">
        <v>0</v>
      </c>
      <c r="S46" s="6">
        <v>2253</v>
      </c>
      <c r="T46" s="6">
        <f t="shared" si="0"/>
        <v>6070</v>
      </c>
      <c r="W46" s="6">
        <v>2472028</v>
      </c>
      <c r="X46" s="6">
        <v>394</v>
      </c>
      <c r="Y46" s="6">
        <v>0</v>
      </c>
      <c r="Z46" s="6">
        <v>256</v>
      </c>
      <c r="AA46" s="6">
        <v>0</v>
      </c>
      <c r="AB46" s="6">
        <v>0</v>
      </c>
      <c r="AC46" s="6">
        <v>0</v>
      </c>
      <c r="AD46" s="6">
        <v>1585</v>
      </c>
      <c r="AE46" s="6">
        <v>2235</v>
      </c>
    </row>
    <row r="47" spans="1:31" x14ac:dyDescent="0.3">
      <c r="A47" s="6">
        <v>2472029</v>
      </c>
      <c r="B47" s="6">
        <v>3540</v>
      </c>
      <c r="C47" s="6">
        <v>0</v>
      </c>
      <c r="D47" s="6">
        <v>7357</v>
      </c>
      <c r="E47" s="6">
        <v>9416</v>
      </c>
      <c r="F47" s="6">
        <v>3044</v>
      </c>
      <c r="G47" s="6">
        <v>7837</v>
      </c>
      <c r="H47" s="6">
        <v>30923</v>
      </c>
      <c r="I47" s="6">
        <v>62117</v>
      </c>
      <c r="L47" s="6">
        <v>2472029</v>
      </c>
      <c r="M47" s="6">
        <v>2063</v>
      </c>
      <c r="N47" s="6">
        <v>0</v>
      </c>
      <c r="O47" s="6">
        <v>6003</v>
      </c>
      <c r="P47" s="6">
        <v>5338</v>
      </c>
      <c r="Q47" s="6">
        <v>3044</v>
      </c>
      <c r="R47" s="6">
        <v>6497</v>
      </c>
      <c r="S47" s="6">
        <v>23184</v>
      </c>
      <c r="T47" s="6">
        <f t="shared" si="0"/>
        <v>46129</v>
      </c>
      <c r="W47" s="6">
        <v>2472029</v>
      </c>
      <c r="X47" s="6">
        <v>1477</v>
      </c>
      <c r="Y47" s="6">
        <v>0</v>
      </c>
      <c r="Z47" s="6">
        <v>1354</v>
      </c>
      <c r="AA47" s="6">
        <v>4078</v>
      </c>
      <c r="AB47" s="6">
        <v>0</v>
      </c>
      <c r="AC47" s="6">
        <v>1340</v>
      </c>
      <c r="AD47" s="6">
        <v>7739</v>
      </c>
      <c r="AE47" s="6">
        <v>15988</v>
      </c>
    </row>
    <row r="48" spans="1:31" x14ac:dyDescent="0.3">
      <c r="A48" s="6">
        <v>2472030</v>
      </c>
      <c r="B48" s="6">
        <v>1785</v>
      </c>
      <c r="C48" s="6">
        <v>2144</v>
      </c>
      <c r="D48" s="6">
        <v>3009</v>
      </c>
      <c r="E48" s="6">
        <v>0</v>
      </c>
      <c r="F48" s="6">
        <v>0</v>
      </c>
      <c r="G48" s="6">
        <v>743</v>
      </c>
      <c r="H48" s="6">
        <v>2945</v>
      </c>
      <c r="I48" s="6">
        <v>10626</v>
      </c>
      <c r="L48" s="6">
        <v>2472030</v>
      </c>
      <c r="M48" s="6">
        <v>1785</v>
      </c>
      <c r="N48" s="6">
        <v>2144</v>
      </c>
      <c r="O48" s="6">
        <v>2845</v>
      </c>
      <c r="P48" s="6">
        <v>0</v>
      </c>
      <c r="Q48" s="6">
        <v>0</v>
      </c>
      <c r="R48" s="6">
        <v>198</v>
      </c>
      <c r="S48" s="6">
        <v>2945</v>
      </c>
      <c r="T48" s="6">
        <f t="shared" si="0"/>
        <v>9917</v>
      </c>
      <c r="W48" s="6">
        <v>2472030</v>
      </c>
      <c r="X48" s="6">
        <v>0</v>
      </c>
      <c r="Y48" s="6">
        <v>0</v>
      </c>
      <c r="Z48" s="6">
        <v>164</v>
      </c>
      <c r="AA48" s="6">
        <v>0</v>
      </c>
      <c r="AB48" s="6">
        <v>0</v>
      </c>
      <c r="AC48" s="6">
        <v>545</v>
      </c>
      <c r="AD48" s="6">
        <v>0</v>
      </c>
      <c r="AE48" s="6">
        <v>709</v>
      </c>
    </row>
    <row r="49" spans="1:31" x14ac:dyDescent="0.3">
      <c r="A49" s="6">
        <v>2472032</v>
      </c>
      <c r="B49" s="6">
        <v>3213</v>
      </c>
      <c r="C49" s="6">
        <v>902</v>
      </c>
      <c r="D49" s="6">
        <v>570</v>
      </c>
      <c r="E49" s="6">
        <v>1666</v>
      </c>
      <c r="F49" s="6">
        <v>0</v>
      </c>
      <c r="G49" s="6">
        <v>0</v>
      </c>
      <c r="H49" s="6">
        <v>1277</v>
      </c>
      <c r="I49" s="6">
        <v>7628</v>
      </c>
      <c r="L49" s="6">
        <v>2472032</v>
      </c>
      <c r="M49" s="6">
        <v>2615</v>
      </c>
      <c r="N49" s="6">
        <v>439</v>
      </c>
      <c r="O49" s="6">
        <v>517</v>
      </c>
      <c r="P49" s="6">
        <v>1554</v>
      </c>
      <c r="Q49" s="6">
        <v>0</v>
      </c>
      <c r="R49" s="6">
        <v>0</v>
      </c>
      <c r="S49" s="6">
        <v>1134</v>
      </c>
      <c r="T49" s="6">
        <f t="shared" si="0"/>
        <v>6259</v>
      </c>
      <c r="W49" s="6">
        <v>2472032</v>
      </c>
      <c r="X49" s="6">
        <v>598</v>
      </c>
      <c r="Y49" s="6">
        <v>463</v>
      </c>
      <c r="Z49" s="6">
        <v>53</v>
      </c>
      <c r="AA49" s="6">
        <v>112</v>
      </c>
      <c r="AB49" s="6">
        <v>0</v>
      </c>
      <c r="AC49" s="6">
        <v>0</v>
      </c>
      <c r="AD49" s="6">
        <v>143</v>
      </c>
      <c r="AE49" s="6">
        <v>1369</v>
      </c>
    </row>
    <row r="50" spans="1:31" x14ac:dyDescent="0.3">
      <c r="A50" s="6">
        <v>2472033</v>
      </c>
      <c r="B50" s="6">
        <v>0</v>
      </c>
      <c r="C50" s="6">
        <v>0</v>
      </c>
      <c r="D50" s="6">
        <v>0</v>
      </c>
      <c r="E50" s="6">
        <v>0</v>
      </c>
      <c r="F50" s="6">
        <v>0</v>
      </c>
      <c r="G50" s="6">
        <v>550</v>
      </c>
      <c r="H50" s="6">
        <v>2611</v>
      </c>
      <c r="I50" s="6">
        <v>3161</v>
      </c>
      <c r="L50" s="6">
        <v>2472033</v>
      </c>
      <c r="M50" s="6">
        <v>0</v>
      </c>
      <c r="N50" s="6">
        <v>0</v>
      </c>
      <c r="O50" s="6">
        <v>0</v>
      </c>
      <c r="P50" s="6">
        <v>0</v>
      </c>
      <c r="Q50" s="6">
        <v>0</v>
      </c>
      <c r="R50" s="6">
        <v>550</v>
      </c>
      <c r="S50" s="6">
        <v>2611</v>
      </c>
      <c r="T50" s="6">
        <f t="shared" si="0"/>
        <v>3161</v>
      </c>
      <c r="W50" s="6">
        <v>2472034</v>
      </c>
      <c r="X50" s="6">
        <v>464</v>
      </c>
      <c r="Y50" s="6">
        <v>267</v>
      </c>
      <c r="Z50" s="6">
        <v>0</v>
      </c>
      <c r="AA50" s="6">
        <v>0</v>
      </c>
      <c r="AB50" s="6">
        <v>0</v>
      </c>
      <c r="AC50" s="6">
        <v>0</v>
      </c>
      <c r="AD50" s="6">
        <v>1248</v>
      </c>
      <c r="AE50" s="6">
        <v>1979</v>
      </c>
    </row>
    <row r="51" spans="1:31" x14ac:dyDescent="0.3">
      <c r="A51" s="6">
        <v>2472034</v>
      </c>
      <c r="B51" s="6">
        <v>987</v>
      </c>
      <c r="C51" s="6">
        <v>267</v>
      </c>
      <c r="D51" s="6">
        <v>297</v>
      </c>
      <c r="E51" s="6">
        <v>988</v>
      </c>
      <c r="F51" s="6">
        <v>365</v>
      </c>
      <c r="G51" s="6">
        <v>641</v>
      </c>
      <c r="H51" s="6">
        <v>11231</v>
      </c>
      <c r="I51" s="6">
        <v>14776</v>
      </c>
      <c r="L51" s="6">
        <v>2472034</v>
      </c>
      <c r="M51" s="6">
        <v>523</v>
      </c>
      <c r="N51" s="6">
        <v>0</v>
      </c>
      <c r="O51" s="6">
        <v>297</v>
      </c>
      <c r="P51" s="6">
        <v>988</v>
      </c>
      <c r="Q51" s="6">
        <v>365</v>
      </c>
      <c r="R51" s="6">
        <v>641</v>
      </c>
      <c r="S51" s="6">
        <v>9983</v>
      </c>
      <c r="T51" s="6">
        <f t="shared" si="0"/>
        <v>12797</v>
      </c>
      <c r="W51" s="6">
        <v>2472035</v>
      </c>
      <c r="X51" s="6">
        <v>1798</v>
      </c>
      <c r="Y51" s="6">
        <v>402</v>
      </c>
      <c r="Z51" s="6">
        <v>1515</v>
      </c>
      <c r="AA51" s="6">
        <v>0</v>
      </c>
      <c r="AB51" s="6">
        <v>0</v>
      </c>
      <c r="AC51" s="6">
        <v>0</v>
      </c>
      <c r="AD51" s="6">
        <v>131</v>
      </c>
      <c r="AE51" s="6">
        <v>3846</v>
      </c>
    </row>
    <row r="52" spans="1:31" x14ac:dyDescent="0.3">
      <c r="A52" s="6">
        <v>2472035</v>
      </c>
      <c r="B52" s="6">
        <v>7961</v>
      </c>
      <c r="C52" s="6">
        <v>799</v>
      </c>
      <c r="D52" s="6">
        <v>2453</v>
      </c>
      <c r="E52" s="6">
        <v>0</v>
      </c>
      <c r="F52" s="6">
        <v>882</v>
      </c>
      <c r="G52" s="6">
        <v>1476</v>
      </c>
      <c r="H52" s="6">
        <v>3021</v>
      </c>
      <c r="I52" s="6">
        <v>16592</v>
      </c>
      <c r="L52" s="6">
        <v>2472035</v>
      </c>
      <c r="M52" s="6">
        <v>6163</v>
      </c>
      <c r="N52" s="6">
        <v>397</v>
      </c>
      <c r="O52" s="6">
        <v>938</v>
      </c>
      <c r="P52" s="6">
        <v>0</v>
      </c>
      <c r="Q52" s="6">
        <v>882</v>
      </c>
      <c r="R52" s="6">
        <v>1476</v>
      </c>
      <c r="S52" s="6">
        <v>2890</v>
      </c>
      <c r="T52" s="6">
        <f t="shared" si="0"/>
        <v>12746</v>
      </c>
      <c r="W52" s="6">
        <v>2472037</v>
      </c>
      <c r="X52" s="6">
        <v>0</v>
      </c>
      <c r="Y52" s="6">
        <v>0</v>
      </c>
      <c r="Z52" s="6">
        <v>52</v>
      </c>
      <c r="AA52" s="6">
        <v>45</v>
      </c>
      <c r="AB52" s="6">
        <v>0</v>
      </c>
      <c r="AC52" s="6">
        <v>0</v>
      </c>
      <c r="AD52" s="6">
        <v>168</v>
      </c>
      <c r="AE52" s="6">
        <v>265</v>
      </c>
    </row>
    <row r="53" spans="1:31" x14ac:dyDescent="0.3">
      <c r="A53" s="6">
        <v>2472037</v>
      </c>
      <c r="B53" s="6">
        <v>0</v>
      </c>
      <c r="C53" s="6">
        <v>633</v>
      </c>
      <c r="D53" s="6">
        <v>1026</v>
      </c>
      <c r="E53" s="6">
        <v>601</v>
      </c>
      <c r="F53" s="6">
        <v>0</v>
      </c>
      <c r="G53" s="6">
        <v>0</v>
      </c>
      <c r="H53" s="6">
        <v>6089</v>
      </c>
      <c r="I53" s="6">
        <v>8349</v>
      </c>
      <c r="L53" s="6">
        <v>2472037</v>
      </c>
      <c r="M53" s="6">
        <v>0</v>
      </c>
      <c r="N53" s="6">
        <v>633</v>
      </c>
      <c r="O53" s="6">
        <v>974</v>
      </c>
      <c r="P53" s="6">
        <v>556</v>
      </c>
      <c r="Q53" s="6">
        <v>0</v>
      </c>
      <c r="R53" s="6">
        <v>0</v>
      </c>
      <c r="S53" s="6">
        <v>5921</v>
      </c>
      <c r="T53" s="6">
        <f t="shared" si="0"/>
        <v>8084</v>
      </c>
      <c r="W53" s="6">
        <v>2472039</v>
      </c>
      <c r="X53" s="6">
        <v>0</v>
      </c>
      <c r="Y53" s="6">
        <v>430</v>
      </c>
      <c r="Z53" s="6">
        <v>1529</v>
      </c>
      <c r="AA53" s="6">
        <v>0</v>
      </c>
      <c r="AB53" s="6">
        <v>345</v>
      </c>
      <c r="AC53" s="6">
        <v>0</v>
      </c>
      <c r="AD53" s="6">
        <v>0</v>
      </c>
      <c r="AE53" s="6">
        <v>2304</v>
      </c>
    </row>
    <row r="54" spans="1:31" x14ac:dyDescent="0.3">
      <c r="A54" s="6">
        <v>2472039</v>
      </c>
      <c r="B54" s="6">
        <v>308</v>
      </c>
      <c r="C54" s="6">
        <v>1482</v>
      </c>
      <c r="D54" s="6">
        <v>8941</v>
      </c>
      <c r="E54" s="6">
        <v>0</v>
      </c>
      <c r="F54" s="6">
        <v>1870</v>
      </c>
      <c r="G54" s="6">
        <v>698</v>
      </c>
      <c r="H54" s="6">
        <v>2914</v>
      </c>
      <c r="I54" s="6">
        <v>16213</v>
      </c>
      <c r="L54" s="6">
        <v>2472039</v>
      </c>
      <c r="M54" s="6">
        <v>308</v>
      </c>
      <c r="N54" s="6">
        <v>1052</v>
      </c>
      <c r="O54" s="6">
        <v>7412</v>
      </c>
      <c r="P54" s="6">
        <v>0</v>
      </c>
      <c r="Q54" s="6">
        <v>1525</v>
      </c>
      <c r="R54" s="6">
        <v>698</v>
      </c>
      <c r="S54" s="6">
        <v>2914</v>
      </c>
      <c r="T54" s="6">
        <f t="shared" si="0"/>
        <v>13909</v>
      </c>
      <c r="W54" s="6">
        <v>2472040</v>
      </c>
      <c r="X54" s="6">
        <v>1180</v>
      </c>
      <c r="Y54" s="6">
        <v>329</v>
      </c>
      <c r="Z54" s="6">
        <v>2340</v>
      </c>
      <c r="AA54" s="6">
        <v>1072</v>
      </c>
      <c r="AB54" s="6">
        <v>139</v>
      </c>
      <c r="AC54" s="6">
        <v>0</v>
      </c>
      <c r="AD54" s="6">
        <v>1072</v>
      </c>
      <c r="AE54" s="6">
        <v>6132</v>
      </c>
    </row>
    <row r="55" spans="1:31" x14ac:dyDescent="0.3">
      <c r="A55" s="6">
        <v>2472040</v>
      </c>
      <c r="B55" s="6">
        <v>3680</v>
      </c>
      <c r="C55" s="6">
        <v>2647</v>
      </c>
      <c r="D55" s="6">
        <v>5915</v>
      </c>
      <c r="E55" s="6">
        <v>2724</v>
      </c>
      <c r="F55" s="6">
        <v>1922</v>
      </c>
      <c r="G55" s="6">
        <v>1273</v>
      </c>
      <c r="H55" s="6">
        <v>5253</v>
      </c>
      <c r="I55" s="6">
        <v>23414</v>
      </c>
      <c r="L55" s="6">
        <v>2472040</v>
      </c>
      <c r="M55" s="6">
        <v>2500</v>
      </c>
      <c r="N55" s="6">
        <v>2318</v>
      </c>
      <c r="O55" s="6">
        <v>3575</v>
      </c>
      <c r="P55" s="6">
        <v>1652</v>
      </c>
      <c r="Q55" s="6">
        <v>1783</v>
      </c>
      <c r="R55" s="6">
        <v>1273</v>
      </c>
      <c r="S55" s="6">
        <v>4181</v>
      </c>
      <c r="T55" s="6">
        <f t="shared" si="0"/>
        <v>17282</v>
      </c>
      <c r="W55" s="6">
        <v>2472041</v>
      </c>
      <c r="X55" s="6">
        <v>0</v>
      </c>
      <c r="Y55" s="6">
        <v>0</v>
      </c>
      <c r="Z55" s="6">
        <v>231</v>
      </c>
      <c r="AA55" s="6">
        <v>1945</v>
      </c>
      <c r="AB55" s="6">
        <v>521</v>
      </c>
      <c r="AC55" s="6">
        <v>0</v>
      </c>
      <c r="AD55" s="6">
        <v>1673</v>
      </c>
      <c r="AE55" s="6">
        <v>4370</v>
      </c>
    </row>
    <row r="56" spans="1:31" x14ac:dyDescent="0.3">
      <c r="A56" s="6">
        <v>2472041</v>
      </c>
      <c r="B56" s="6">
        <v>0</v>
      </c>
      <c r="C56" s="6">
        <v>398</v>
      </c>
      <c r="D56" s="6">
        <v>715</v>
      </c>
      <c r="E56" s="6">
        <v>2849</v>
      </c>
      <c r="F56" s="6">
        <v>521</v>
      </c>
      <c r="G56" s="6">
        <v>503</v>
      </c>
      <c r="H56" s="6">
        <v>4227</v>
      </c>
      <c r="I56" s="6">
        <v>9213</v>
      </c>
      <c r="L56" s="6">
        <v>2472041</v>
      </c>
      <c r="M56" s="6">
        <v>0</v>
      </c>
      <c r="N56" s="6">
        <v>398</v>
      </c>
      <c r="O56" s="6">
        <v>484</v>
      </c>
      <c r="P56" s="6">
        <v>904</v>
      </c>
      <c r="Q56" s="6">
        <v>0</v>
      </c>
      <c r="R56" s="6">
        <v>503</v>
      </c>
      <c r="S56" s="6">
        <v>2554</v>
      </c>
      <c r="T56" s="6">
        <f t="shared" si="0"/>
        <v>4843</v>
      </c>
      <c r="W56" s="6">
        <v>2472042</v>
      </c>
      <c r="X56" s="6">
        <v>4437</v>
      </c>
      <c r="Y56" s="6">
        <v>0</v>
      </c>
      <c r="Z56" s="6">
        <v>655</v>
      </c>
      <c r="AA56" s="6">
        <v>479</v>
      </c>
      <c r="AB56" s="6">
        <v>0</v>
      </c>
      <c r="AC56" s="6">
        <v>0</v>
      </c>
      <c r="AD56" s="6">
        <v>1921</v>
      </c>
      <c r="AE56" s="6">
        <v>7492</v>
      </c>
    </row>
    <row r="57" spans="1:31" x14ac:dyDescent="0.3">
      <c r="A57" s="6">
        <v>2472042</v>
      </c>
      <c r="B57" s="6">
        <v>8139</v>
      </c>
      <c r="C57" s="6">
        <v>2483</v>
      </c>
      <c r="D57" s="6">
        <v>5057</v>
      </c>
      <c r="E57" s="6">
        <v>4888</v>
      </c>
      <c r="F57" s="6">
        <v>3452</v>
      </c>
      <c r="G57" s="6">
        <v>1951</v>
      </c>
      <c r="H57" s="6">
        <v>17473</v>
      </c>
      <c r="I57" s="6">
        <v>43443</v>
      </c>
      <c r="L57" s="6">
        <v>2472042</v>
      </c>
      <c r="M57" s="6">
        <v>3702</v>
      </c>
      <c r="N57" s="6">
        <v>2483</v>
      </c>
      <c r="O57" s="6">
        <v>4402</v>
      </c>
      <c r="P57" s="6">
        <v>4409</v>
      </c>
      <c r="Q57" s="6">
        <v>3452</v>
      </c>
      <c r="R57" s="6">
        <v>1951</v>
      </c>
      <c r="S57" s="6">
        <v>15552</v>
      </c>
      <c r="T57" s="6">
        <f t="shared" si="0"/>
        <v>35951</v>
      </c>
      <c r="W57" s="6">
        <v>2472043</v>
      </c>
      <c r="X57" s="6">
        <v>0</v>
      </c>
      <c r="Y57" s="6">
        <v>0</v>
      </c>
      <c r="Z57" s="6">
        <v>1710</v>
      </c>
      <c r="AA57" s="6">
        <v>0</v>
      </c>
      <c r="AB57" s="6">
        <v>0</v>
      </c>
      <c r="AC57" s="6">
        <v>0</v>
      </c>
      <c r="AD57" s="6">
        <v>2274</v>
      </c>
      <c r="AE57" s="6">
        <v>3984</v>
      </c>
    </row>
    <row r="58" spans="1:31" x14ac:dyDescent="0.3">
      <c r="A58" s="6">
        <v>2472043</v>
      </c>
      <c r="B58" s="6">
        <v>1889</v>
      </c>
      <c r="C58" s="6">
        <v>1105</v>
      </c>
      <c r="D58" s="6">
        <v>3577</v>
      </c>
      <c r="E58" s="6">
        <v>0</v>
      </c>
      <c r="F58" s="6">
        <v>0</v>
      </c>
      <c r="G58" s="6">
        <v>3285</v>
      </c>
      <c r="H58" s="6">
        <v>12005</v>
      </c>
      <c r="I58" s="6">
        <v>21861</v>
      </c>
      <c r="L58" s="6">
        <v>2472043</v>
      </c>
      <c r="M58" s="6">
        <v>1889</v>
      </c>
      <c r="N58" s="6">
        <v>1105</v>
      </c>
      <c r="O58" s="6">
        <v>1867</v>
      </c>
      <c r="P58" s="6">
        <v>0</v>
      </c>
      <c r="Q58" s="6">
        <v>0</v>
      </c>
      <c r="R58" s="6">
        <v>3285</v>
      </c>
      <c r="S58" s="6">
        <v>9731</v>
      </c>
      <c r="T58" s="6">
        <f t="shared" si="0"/>
        <v>17877</v>
      </c>
      <c r="W58" s="6">
        <v>2472045</v>
      </c>
      <c r="X58" s="6">
        <v>0</v>
      </c>
      <c r="Y58" s="6">
        <v>110</v>
      </c>
      <c r="Z58" s="6">
        <v>1076</v>
      </c>
      <c r="AA58" s="6">
        <v>0</v>
      </c>
      <c r="AB58" s="6">
        <v>0</v>
      </c>
      <c r="AC58" s="6">
        <v>0</v>
      </c>
      <c r="AD58" s="6">
        <v>3201</v>
      </c>
      <c r="AE58" s="6">
        <v>4387</v>
      </c>
    </row>
    <row r="59" spans="1:31" x14ac:dyDescent="0.3">
      <c r="A59" s="6">
        <v>2472045</v>
      </c>
      <c r="B59" s="6">
        <v>0</v>
      </c>
      <c r="C59" s="6">
        <v>208</v>
      </c>
      <c r="D59" s="6">
        <v>4003</v>
      </c>
      <c r="E59" s="6">
        <v>2251</v>
      </c>
      <c r="F59" s="6">
        <v>0</v>
      </c>
      <c r="G59" s="6">
        <v>328</v>
      </c>
      <c r="H59" s="6">
        <v>6815</v>
      </c>
      <c r="I59" s="6">
        <v>13605</v>
      </c>
      <c r="L59" s="6">
        <v>2472045</v>
      </c>
      <c r="M59" s="6">
        <v>0</v>
      </c>
      <c r="N59" s="6">
        <v>98</v>
      </c>
      <c r="O59" s="6">
        <v>2927</v>
      </c>
      <c r="P59" s="6">
        <v>2251</v>
      </c>
      <c r="Q59" s="6">
        <v>0</v>
      </c>
      <c r="R59" s="6">
        <v>328</v>
      </c>
      <c r="S59" s="6">
        <v>3614</v>
      </c>
      <c r="T59" s="6">
        <f t="shared" si="0"/>
        <v>9218</v>
      </c>
      <c r="W59" s="6">
        <v>2472046</v>
      </c>
      <c r="X59" s="6">
        <v>1664</v>
      </c>
      <c r="Y59" s="6">
        <v>515</v>
      </c>
      <c r="Z59" s="6">
        <v>993</v>
      </c>
      <c r="AA59" s="6">
        <v>0</v>
      </c>
      <c r="AB59" s="6">
        <v>0</v>
      </c>
      <c r="AC59" s="6">
        <v>0</v>
      </c>
      <c r="AD59" s="6">
        <v>0</v>
      </c>
      <c r="AE59" s="6">
        <v>3172</v>
      </c>
    </row>
    <row r="60" spans="1:31" x14ac:dyDescent="0.3">
      <c r="A60" s="6">
        <v>2472046</v>
      </c>
      <c r="B60" s="6">
        <v>7454</v>
      </c>
      <c r="C60" s="6">
        <v>2261</v>
      </c>
      <c r="D60" s="6">
        <v>4976</v>
      </c>
      <c r="E60" s="6">
        <v>0</v>
      </c>
      <c r="F60" s="6">
        <v>0</v>
      </c>
      <c r="G60" s="6">
        <v>1644</v>
      </c>
      <c r="H60" s="6">
        <v>1887</v>
      </c>
      <c r="I60" s="6">
        <v>18222</v>
      </c>
      <c r="L60" s="6">
        <v>2472046</v>
      </c>
      <c r="M60" s="6">
        <v>5790</v>
      </c>
      <c r="N60" s="6">
        <v>1746</v>
      </c>
      <c r="O60" s="6">
        <v>3983</v>
      </c>
      <c r="P60" s="6">
        <v>0</v>
      </c>
      <c r="Q60" s="6">
        <v>0</v>
      </c>
      <c r="R60" s="6">
        <v>1644</v>
      </c>
      <c r="S60" s="6">
        <v>1887</v>
      </c>
      <c r="T60" s="6">
        <f t="shared" si="0"/>
        <v>15050</v>
      </c>
      <c r="W60" s="6">
        <v>2472048</v>
      </c>
      <c r="X60" s="6">
        <v>545</v>
      </c>
      <c r="Y60" s="6">
        <v>273</v>
      </c>
      <c r="Z60" s="6">
        <v>184</v>
      </c>
      <c r="AA60" s="6">
        <v>211</v>
      </c>
      <c r="AB60" s="6">
        <v>626</v>
      </c>
      <c r="AC60" s="6">
        <v>3122</v>
      </c>
      <c r="AD60" s="6">
        <v>2219</v>
      </c>
      <c r="AE60" s="6">
        <v>7180</v>
      </c>
    </row>
    <row r="61" spans="1:31" x14ac:dyDescent="0.3">
      <c r="A61" s="6">
        <v>2472048</v>
      </c>
      <c r="B61" s="6">
        <v>545</v>
      </c>
      <c r="C61" s="6">
        <v>637</v>
      </c>
      <c r="D61" s="6">
        <v>819</v>
      </c>
      <c r="E61" s="6">
        <v>391</v>
      </c>
      <c r="F61" s="6">
        <v>2746</v>
      </c>
      <c r="G61" s="6">
        <v>6559</v>
      </c>
      <c r="H61" s="6">
        <v>16259</v>
      </c>
      <c r="I61" s="6">
        <v>27956</v>
      </c>
      <c r="L61" s="6">
        <v>2472048</v>
      </c>
      <c r="M61" s="6">
        <v>0</v>
      </c>
      <c r="N61" s="6">
        <v>364</v>
      </c>
      <c r="O61" s="6">
        <v>635</v>
      </c>
      <c r="P61" s="6">
        <v>180</v>
      </c>
      <c r="Q61" s="6">
        <v>2120</v>
      </c>
      <c r="R61" s="6">
        <v>3437</v>
      </c>
      <c r="S61" s="6">
        <v>14040</v>
      </c>
      <c r="T61" s="6">
        <f t="shared" si="0"/>
        <v>20776</v>
      </c>
      <c r="W61" s="6">
        <v>2472051</v>
      </c>
      <c r="X61" s="6">
        <v>293</v>
      </c>
      <c r="Y61" s="6">
        <v>0</v>
      </c>
      <c r="Z61" s="6">
        <v>0</v>
      </c>
      <c r="AA61" s="6">
        <v>373</v>
      </c>
      <c r="AB61" s="6">
        <v>0</v>
      </c>
      <c r="AC61" s="6">
        <v>0</v>
      </c>
      <c r="AD61" s="6">
        <v>2574</v>
      </c>
      <c r="AE61" s="6">
        <v>3240</v>
      </c>
    </row>
    <row r="62" spans="1:31" x14ac:dyDescent="0.3">
      <c r="A62" s="6">
        <v>2472051</v>
      </c>
      <c r="B62" s="6">
        <v>1089</v>
      </c>
      <c r="C62" s="6">
        <v>1456</v>
      </c>
      <c r="D62" s="6">
        <v>420</v>
      </c>
      <c r="E62" s="6">
        <v>1598</v>
      </c>
      <c r="F62" s="6">
        <v>385</v>
      </c>
      <c r="G62" s="6">
        <v>330</v>
      </c>
      <c r="H62" s="6">
        <v>8855</v>
      </c>
      <c r="I62" s="6">
        <v>14133</v>
      </c>
      <c r="L62" s="6">
        <v>2472051</v>
      </c>
      <c r="M62" s="6">
        <v>796</v>
      </c>
      <c r="N62" s="6">
        <v>1456</v>
      </c>
      <c r="O62" s="6">
        <v>420</v>
      </c>
      <c r="P62" s="6">
        <v>1225</v>
      </c>
      <c r="Q62" s="6">
        <v>385</v>
      </c>
      <c r="R62" s="6">
        <v>330</v>
      </c>
      <c r="S62" s="6">
        <v>6281</v>
      </c>
      <c r="T62" s="6">
        <f t="shared" si="0"/>
        <v>10893</v>
      </c>
      <c r="W62" s="6">
        <v>2472052</v>
      </c>
      <c r="X62" s="6">
        <v>0</v>
      </c>
      <c r="Y62" s="6">
        <v>0</v>
      </c>
      <c r="Z62" s="6">
        <v>0</v>
      </c>
      <c r="AA62" s="6">
        <v>0</v>
      </c>
      <c r="AB62" s="6">
        <v>0</v>
      </c>
      <c r="AC62" s="6">
        <v>908</v>
      </c>
      <c r="AD62" s="6">
        <v>0</v>
      </c>
      <c r="AE62" s="6">
        <v>908</v>
      </c>
    </row>
    <row r="63" spans="1:31" x14ac:dyDescent="0.3">
      <c r="A63" s="6">
        <v>2472052</v>
      </c>
      <c r="B63" s="6">
        <v>118</v>
      </c>
      <c r="C63" s="6">
        <v>1105</v>
      </c>
      <c r="D63" s="6">
        <v>0</v>
      </c>
      <c r="E63" s="6">
        <v>267</v>
      </c>
      <c r="F63" s="6">
        <v>0</v>
      </c>
      <c r="G63" s="6">
        <v>1260</v>
      </c>
      <c r="H63" s="6">
        <v>0</v>
      </c>
      <c r="I63" s="6">
        <v>2750</v>
      </c>
      <c r="L63" s="6">
        <v>2472052</v>
      </c>
      <c r="M63" s="6">
        <v>118</v>
      </c>
      <c r="N63" s="6">
        <v>1105</v>
      </c>
      <c r="O63" s="6">
        <v>0</v>
      </c>
      <c r="P63" s="6">
        <v>267</v>
      </c>
      <c r="Q63" s="6">
        <v>0</v>
      </c>
      <c r="R63" s="6">
        <v>352</v>
      </c>
      <c r="S63" s="6">
        <v>0</v>
      </c>
      <c r="T63" s="6">
        <f t="shared" si="0"/>
        <v>1842</v>
      </c>
      <c r="W63" s="6">
        <v>2472053</v>
      </c>
      <c r="X63" s="6">
        <v>0</v>
      </c>
      <c r="Y63" s="6">
        <v>1468</v>
      </c>
      <c r="Z63" s="6">
        <v>770</v>
      </c>
      <c r="AA63" s="6">
        <v>2364</v>
      </c>
      <c r="AB63" s="6">
        <v>601</v>
      </c>
      <c r="AC63" s="6">
        <v>0</v>
      </c>
      <c r="AD63" s="6">
        <v>360</v>
      </c>
      <c r="AE63" s="6">
        <v>5563</v>
      </c>
    </row>
    <row r="64" spans="1:31" x14ac:dyDescent="0.3">
      <c r="A64" s="6">
        <v>2472053</v>
      </c>
      <c r="B64" s="6">
        <v>1079</v>
      </c>
      <c r="C64" s="6">
        <v>5930</v>
      </c>
      <c r="D64" s="6">
        <v>3002</v>
      </c>
      <c r="E64" s="6">
        <v>10843</v>
      </c>
      <c r="F64" s="6">
        <v>1349</v>
      </c>
      <c r="G64" s="6">
        <v>0</v>
      </c>
      <c r="H64" s="6">
        <v>14096</v>
      </c>
      <c r="I64" s="6">
        <v>36299</v>
      </c>
      <c r="L64" s="6">
        <v>2472053</v>
      </c>
      <c r="M64" s="6">
        <v>1079</v>
      </c>
      <c r="N64" s="6">
        <v>4462</v>
      </c>
      <c r="O64" s="6">
        <v>2232</v>
      </c>
      <c r="P64" s="6">
        <v>8479</v>
      </c>
      <c r="Q64" s="6">
        <v>748</v>
      </c>
      <c r="R64" s="6">
        <v>0</v>
      </c>
      <c r="S64" s="6">
        <v>13736</v>
      </c>
      <c r="T64" s="6">
        <f t="shared" si="0"/>
        <v>30736</v>
      </c>
      <c r="W64" s="6">
        <v>2472056</v>
      </c>
      <c r="X64" s="6">
        <v>794</v>
      </c>
      <c r="Y64" s="6">
        <v>0</v>
      </c>
      <c r="Z64" s="6">
        <v>186</v>
      </c>
      <c r="AA64" s="6">
        <v>0</v>
      </c>
      <c r="AB64" s="6">
        <v>352</v>
      </c>
      <c r="AC64" s="6">
        <v>555</v>
      </c>
      <c r="AD64" s="6">
        <v>2401</v>
      </c>
      <c r="AE64" s="6">
        <v>4288</v>
      </c>
    </row>
    <row r="65" spans="1:31" x14ac:dyDescent="0.3">
      <c r="A65" s="6">
        <v>2472056</v>
      </c>
      <c r="B65" s="6">
        <v>2016</v>
      </c>
      <c r="C65" s="6">
        <v>349</v>
      </c>
      <c r="D65" s="6">
        <v>560</v>
      </c>
      <c r="E65" s="6">
        <v>567</v>
      </c>
      <c r="F65" s="6">
        <v>494</v>
      </c>
      <c r="G65" s="6">
        <v>2932</v>
      </c>
      <c r="H65" s="6">
        <v>9060</v>
      </c>
      <c r="I65" s="6">
        <v>15978</v>
      </c>
      <c r="L65" s="6">
        <v>2472056</v>
      </c>
      <c r="M65" s="6">
        <v>1222</v>
      </c>
      <c r="N65" s="6">
        <v>349</v>
      </c>
      <c r="O65" s="6">
        <v>374</v>
      </c>
      <c r="P65" s="6">
        <v>567</v>
      </c>
      <c r="Q65" s="6">
        <v>142</v>
      </c>
      <c r="R65" s="6">
        <v>2377</v>
      </c>
      <c r="S65" s="6">
        <v>6659</v>
      </c>
      <c r="T65" s="6">
        <f t="shared" si="0"/>
        <v>11690</v>
      </c>
      <c r="W65" s="6">
        <v>2472057</v>
      </c>
      <c r="X65" s="6">
        <v>0</v>
      </c>
      <c r="Y65" s="6">
        <v>395</v>
      </c>
      <c r="Z65" s="6">
        <v>3401</v>
      </c>
      <c r="AA65" s="6">
        <v>0</v>
      </c>
      <c r="AB65" s="6">
        <v>0</v>
      </c>
      <c r="AC65" s="6">
        <v>0</v>
      </c>
      <c r="AD65" s="6">
        <v>0</v>
      </c>
      <c r="AE65" s="6">
        <v>3796</v>
      </c>
    </row>
    <row r="66" spans="1:31" x14ac:dyDescent="0.3">
      <c r="A66" s="6">
        <v>2472057</v>
      </c>
      <c r="B66" s="6">
        <v>1174</v>
      </c>
      <c r="C66" s="6">
        <v>5245</v>
      </c>
      <c r="D66" s="6">
        <v>10637</v>
      </c>
      <c r="E66" s="6">
        <v>0</v>
      </c>
      <c r="F66" s="6">
        <v>683</v>
      </c>
      <c r="G66" s="6">
        <v>0</v>
      </c>
      <c r="H66" s="6">
        <v>0</v>
      </c>
      <c r="I66" s="6">
        <v>17739</v>
      </c>
      <c r="L66" s="6">
        <v>2472057</v>
      </c>
      <c r="M66" s="6">
        <v>1174</v>
      </c>
      <c r="N66" s="6">
        <v>4850</v>
      </c>
      <c r="O66" s="6">
        <v>7236</v>
      </c>
      <c r="P66" s="6">
        <v>0</v>
      </c>
      <c r="Q66" s="6">
        <v>683</v>
      </c>
      <c r="R66" s="6">
        <v>0</v>
      </c>
      <c r="S66" s="6">
        <v>0</v>
      </c>
      <c r="T66" s="6">
        <f t="shared" si="0"/>
        <v>13943</v>
      </c>
      <c r="W66" s="6">
        <v>2472058</v>
      </c>
      <c r="X66" s="6">
        <v>1267</v>
      </c>
      <c r="Y66" s="6">
        <v>104</v>
      </c>
      <c r="Z66" s="6">
        <v>449</v>
      </c>
      <c r="AA66" s="6">
        <v>0</v>
      </c>
      <c r="AB66" s="6">
        <v>0</v>
      </c>
      <c r="AC66" s="6">
        <v>0</v>
      </c>
      <c r="AD66" s="6">
        <v>2603</v>
      </c>
      <c r="AE66" s="6">
        <v>4423</v>
      </c>
    </row>
    <row r="67" spans="1:31" x14ac:dyDescent="0.3">
      <c r="A67" s="6">
        <v>2472058</v>
      </c>
      <c r="B67" s="6">
        <v>4029</v>
      </c>
      <c r="C67" s="6">
        <v>1067</v>
      </c>
      <c r="D67" s="6">
        <v>4130</v>
      </c>
      <c r="E67" s="6">
        <v>0</v>
      </c>
      <c r="F67" s="6">
        <v>0</v>
      </c>
      <c r="G67" s="6">
        <v>0</v>
      </c>
      <c r="H67" s="6">
        <v>4742</v>
      </c>
      <c r="I67" s="6">
        <v>13968</v>
      </c>
      <c r="L67" s="6">
        <v>2472058</v>
      </c>
      <c r="M67" s="6">
        <v>2762</v>
      </c>
      <c r="N67" s="6">
        <v>963</v>
      </c>
      <c r="O67" s="6">
        <v>3681</v>
      </c>
      <c r="P67" s="6">
        <v>0</v>
      </c>
      <c r="Q67" s="6">
        <v>0</v>
      </c>
      <c r="R67" s="6">
        <v>0</v>
      </c>
      <c r="S67" s="6">
        <v>2139</v>
      </c>
      <c r="T67" s="6">
        <f t="shared" si="0"/>
        <v>9545</v>
      </c>
      <c r="W67" s="6">
        <v>2472064</v>
      </c>
      <c r="X67" s="6">
        <v>0</v>
      </c>
      <c r="Y67" s="6">
        <v>0</v>
      </c>
      <c r="Z67" s="6">
        <v>816</v>
      </c>
      <c r="AA67" s="6">
        <v>325</v>
      </c>
      <c r="AB67" s="6">
        <v>0</v>
      </c>
      <c r="AC67" s="6">
        <v>0</v>
      </c>
      <c r="AD67" s="6">
        <v>2185</v>
      </c>
      <c r="AE67" s="6">
        <v>3326</v>
      </c>
    </row>
    <row r="68" spans="1:31" x14ac:dyDescent="0.3">
      <c r="A68" s="6">
        <v>2472061</v>
      </c>
      <c r="B68" s="6">
        <v>1663</v>
      </c>
      <c r="C68" s="6">
        <v>156</v>
      </c>
      <c r="D68" s="6">
        <v>0</v>
      </c>
      <c r="E68" s="6">
        <v>0</v>
      </c>
      <c r="F68" s="6">
        <v>1257</v>
      </c>
      <c r="G68" s="6">
        <v>0</v>
      </c>
      <c r="H68" s="6">
        <v>0</v>
      </c>
      <c r="I68" s="6">
        <v>3076</v>
      </c>
      <c r="L68" s="6">
        <v>2472061</v>
      </c>
      <c r="M68" s="6">
        <v>1663</v>
      </c>
      <c r="N68" s="6">
        <v>156</v>
      </c>
      <c r="O68" s="6">
        <v>0</v>
      </c>
      <c r="P68" s="6">
        <v>0</v>
      </c>
      <c r="Q68" s="6">
        <v>1257</v>
      </c>
      <c r="R68" s="6">
        <v>0</v>
      </c>
      <c r="S68" s="6">
        <v>0</v>
      </c>
      <c r="T68" s="6">
        <f t="shared" si="0"/>
        <v>3076</v>
      </c>
      <c r="W68" s="6">
        <v>2472901</v>
      </c>
      <c r="X68" s="6">
        <v>0</v>
      </c>
      <c r="Y68" s="6">
        <v>151</v>
      </c>
      <c r="Z68" s="6">
        <v>0</v>
      </c>
      <c r="AA68" s="6">
        <v>0</v>
      </c>
      <c r="AB68" s="6">
        <v>0</v>
      </c>
      <c r="AC68" s="6">
        <v>0</v>
      </c>
      <c r="AD68" s="6">
        <v>353</v>
      </c>
      <c r="AE68" s="6">
        <v>504</v>
      </c>
    </row>
    <row r="69" spans="1:31" x14ac:dyDescent="0.3">
      <c r="A69" s="6">
        <v>2472064</v>
      </c>
      <c r="B69" s="6">
        <v>0</v>
      </c>
      <c r="C69" s="6">
        <v>0</v>
      </c>
      <c r="D69" s="6">
        <v>2779</v>
      </c>
      <c r="E69" s="6">
        <v>2615</v>
      </c>
      <c r="F69" s="6">
        <v>0</v>
      </c>
      <c r="G69" s="6">
        <v>0</v>
      </c>
      <c r="H69" s="6">
        <v>7184</v>
      </c>
      <c r="I69" s="6">
        <v>12578</v>
      </c>
      <c r="L69" s="6">
        <v>2472064</v>
      </c>
      <c r="M69" s="6">
        <v>0</v>
      </c>
      <c r="N69" s="6">
        <v>0</v>
      </c>
      <c r="O69" s="6">
        <v>1963</v>
      </c>
      <c r="P69" s="6">
        <v>2290</v>
      </c>
      <c r="Q69" s="6">
        <v>0</v>
      </c>
      <c r="R69" s="6">
        <v>0</v>
      </c>
      <c r="S69" s="6">
        <v>4999</v>
      </c>
      <c r="T69" s="6">
        <f t="shared" ref="T69:T70" si="1">SUM(M69:S69)</f>
        <v>9252</v>
      </c>
      <c r="W69" s="6">
        <v>2472033</v>
      </c>
      <c r="X69" s="6">
        <v>0</v>
      </c>
      <c r="Y69" s="6">
        <v>0</v>
      </c>
      <c r="Z69" s="6">
        <v>0</v>
      </c>
      <c r="AA69" s="6">
        <v>0</v>
      </c>
      <c r="AB69" s="6">
        <v>0</v>
      </c>
      <c r="AC69" s="6">
        <v>0</v>
      </c>
      <c r="AD69" s="6">
        <v>0</v>
      </c>
      <c r="AE69" s="6">
        <v>0</v>
      </c>
    </row>
    <row r="70" spans="1:31" x14ac:dyDescent="0.3">
      <c r="A70" s="6">
        <v>2472901</v>
      </c>
      <c r="B70" s="6">
        <v>3556</v>
      </c>
      <c r="C70" s="6">
        <v>1102</v>
      </c>
      <c r="D70" s="6">
        <v>1703</v>
      </c>
      <c r="E70" s="6">
        <v>0</v>
      </c>
      <c r="F70" s="6">
        <v>0</v>
      </c>
      <c r="G70" s="6">
        <v>0</v>
      </c>
      <c r="H70" s="6">
        <v>1835</v>
      </c>
      <c r="I70" s="6">
        <v>8196</v>
      </c>
      <c r="L70" s="6">
        <v>2472901</v>
      </c>
      <c r="M70" s="6">
        <v>3556</v>
      </c>
      <c r="N70" s="6">
        <v>951</v>
      </c>
      <c r="O70" s="6">
        <v>1703</v>
      </c>
      <c r="P70" s="6">
        <v>0</v>
      </c>
      <c r="Q70" s="6">
        <v>0</v>
      </c>
      <c r="R70" s="6">
        <v>0</v>
      </c>
      <c r="S70" s="6">
        <v>1482</v>
      </c>
      <c r="T70" s="6">
        <f t="shared" si="1"/>
        <v>7692</v>
      </c>
      <c r="W70" s="6">
        <v>2472061</v>
      </c>
      <c r="X70" s="6">
        <v>0</v>
      </c>
      <c r="Y70" s="6">
        <v>0</v>
      </c>
      <c r="Z70" s="6">
        <v>0</v>
      </c>
      <c r="AA70" s="6">
        <v>0</v>
      </c>
      <c r="AB70" s="6">
        <v>0</v>
      </c>
      <c r="AC70" s="6">
        <v>0</v>
      </c>
      <c r="AD70" s="6">
        <v>0</v>
      </c>
      <c r="AE70" s="6">
        <v>0</v>
      </c>
    </row>
    <row r="71" spans="1:31" x14ac:dyDescent="0.3">
      <c r="A71" s="6" t="s">
        <v>4231</v>
      </c>
      <c r="B71" s="6">
        <v>143666</v>
      </c>
      <c r="C71" s="6">
        <v>87861</v>
      </c>
      <c r="D71" s="6">
        <v>179906</v>
      </c>
      <c r="E71" s="6">
        <v>124380</v>
      </c>
      <c r="F71" s="6">
        <v>71810</v>
      </c>
      <c r="G71" s="6">
        <v>92208</v>
      </c>
      <c r="H71" s="6">
        <v>394989</v>
      </c>
      <c r="I71" s="6">
        <v>1094820</v>
      </c>
      <c r="L71" s="6" t="s">
        <v>4231</v>
      </c>
      <c r="M71" s="6">
        <f>SUM(M4:M70)</f>
        <v>109085</v>
      </c>
      <c r="N71" s="6">
        <f t="shared" ref="N71:T71" si="2">SUM(N4:N70)</f>
        <v>70835</v>
      </c>
      <c r="O71" s="6">
        <f t="shared" si="2"/>
        <v>144443</v>
      </c>
      <c r="P71" s="6">
        <f t="shared" si="2"/>
        <v>98225</v>
      </c>
      <c r="Q71" s="6">
        <f t="shared" si="2"/>
        <v>59995</v>
      </c>
      <c r="R71" s="6">
        <f t="shared" si="2"/>
        <v>74258</v>
      </c>
      <c r="S71" s="6">
        <f t="shared" si="2"/>
        <v>311697</v>
      </c>
      <c r="T71" s="6">
        <f t="shared" si="2"/>
        <v>868538</v>
      </c>
      <c r="W71" s="6" t="s">
        <v>4231</v>
      </c>
      <c r="X71" s="6">
        <v>34581</v>
      </c>
      <c r="Y71" s="6">
        <v>17026</v>
      </c>
      <c r="Z71" s="6">
        <v>35463</v>
      </c>
      <c r="AA71" s="6">
        <v>26155</v>
      </c>
      <c r="AB71" s="6">
        <v>11815</v>
      </c>
      <c r="AC71" s="6">
        <v>17950</v>
      </c>
      <c r="AD71" s="6">
        <v>83292</v>
      </c>
      <c r="AE71" s="6">
        <v>226282</v>
      </c>
    </row>
    <row r="74" spans="1:31" x14ac:dyDescent="0.3">
      <c r="A74" s="7" t="s">
        <v>4234</v>
      </c>
      <c r="B74" s="8">
        <v>1094820</v>
      </c>
      <c r="C74" s="8"/>
    </row>
    <row r="75" spans="1:31" x14ac:dyDescent="0.3">
      <c r="A75" s="7" t="s">
        <v>4235</v>
      </c>
      <c r="B75" s="8">
        <v>226282</v>
      </c>
      <c r="C75" s="8"/>
    </row>
    <row r="76" spans="1:31" x14ac:dyDescent="0.3">
      <c r="A76" s="7" t="s">
        <v>4236</v>
      </c>
      <c r="B76" s="9">
        <f>B75/B74</f>
        <v>0.20668420379605779</v>
      </c>
      <c r="C76" s="9"/>
    </row>
    <row r="77" spans="1:31" x14ac:dyDescent="0.3">
      <c r="A77" s="7" t="s">
        <v>4237</v>
      </c>
      <c r="B77" s="10">
        <f>1-B76</f>
        <v>0.79331579620394221</v>
      </c>
      <c r="C77" s="11"/>
    </row>
  </sheetData>
  <mergeCells count="7">
    <mergeCell ref="L1:T2"/>
    <mergeCell ref="W1:AE2"/>
    <mergeCell ref="A1:I2"/>
    <mergeCell ref="B74:C74"/>
    <mergeCell ref="B75:C75"/>
    <mergeCell ref="B76:C76"/>
    <mergeCell ref="B77:C7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5CF55-2559-4898-A2B5-7FC5A0A87F14}">
  <dimension ref="A1:F66"/>
  <sheetViews>
    <sheetView workbookViewId="0">
      <selection activeCell="B1" sqref="B1"/>
    </sheetView>
  </sheetViews>
  <sheetFormatPr defaultRowHeight="14.4" x14ac:dyDescent="0.3"/>
  <cols>
    <col min="1" max="1" width="12.44140625" bestFit="1" customWidth="1"/>
    <col min="2" max="2" width="19.88671875" bestFit="1" customWidth="1"/>
    <col min="3" max="3" width="22.77734375" bestFit="1" customWidth="1"/>
    <col min="4" max="4" width="25.5546875" bestFit="1" customWidth="1"/>
    <col min="5" max="5" width="24.21875" bestFit="1" customWidth="1"/>
    <col min="6" max="6" width="16.21875" bestFit="1" customWidth="1"/>
  </cols>
  <sheetData>
    <row r="1" spans="1:6" x14ac:dyDescent="0.3">
      <c r="A1" t="s">
        <v>4230</v>
      </c>
      <c r="B1" t="s">
        <v>4232</v>
      </c>
      <c r="C1" t="s">
        <v>4243</v>
      </c>
      <c r="D1" t="s">
        <v>4241</v>
      </c>
      <c r="E1" t="s">
        <v>4240</v>
      </c>
      <c r="F1" s="12" t="s">
        <v>4244</v>
      </c>
    </row>
    <row r="2" spans="1:6" x14ac:dyDescent="0.3">
      <c r="A2">
        <v>2372062</v>
      </c>
      <c r="B2">
        <v>308</v>
      </c>
      <c r="C2">
        <v>4.5</v>
      </c>
      <c r="D2">
        <v>5</v>
      </c>
      <c r="E2">
        <v>4</v>
      </c>
      <c r="F2" s="12">
        <f>C2/LOG(B2)</f>
        <v>1.8082814106068055</v>
      </c>
    </row>
    <row r="3" spans="1:6" x14ac:dyDescent="0.3">
      <c r="A3">
        <v>2472052</v>
      </c>
      <c r="B3">
        <v>908</v>
      </c>
      <c r="C3">
        <v>5</v>
      </c>
      <c r="D3">
        <v>5</v>
      </c>
      <c r="E3">
        <v>4</v>
      </c>
      <c r="F3" s="12">
        <f>C3/LOG(B3)</f>
        <v>1.6902822487385833</v>
      </c>
    </row>
    <row r="4" spans="1:6" x14ac:dyDescent="0.3">
      <c r="A4">
        <v>2472037</v>
      </c>
      <c r="B4">
        <v>265</v>
      </c>
      <c r="C4">
        <v>4</v>
      </c>
      <c r="D4">
        <v>4.75</v>
      </c>
      <c r="E4">
        <v>3.75</v>
      </c>
      <c r="F4" s="12">
        <f>C4/LOG(B4)</f>
        <v>1.6506785559905217</v>
      </c>
    </row>
    <row r="5" spans="1:6" x14ac:dyDescent="0.3">
      <c r="A5">
        <v>2472003</v>
      </c>
      <c r="B5">
        <v>652</v>
      </c>
      <c r="C5">
        <v>4.5</v>
      </c>
      <c r="D5">
        <v>5</v>
      </c>
      <c r="E5">
        <v>4</v>
      </c>
      <c r="F5" s="12">
        <f>C5/LOG(B5)</f>
        <v>1.5990064295780824</v>
      </c>
    </row>
    <row r="6" spans="1:6" x14ac:dyDescent="0.3">
      <c r="A6">
        <v>2472030</v>
      </c>
      <c r="B6">
        <v>709</v>
      </c>
      <c r="C6">
        <v>4.5</v>
      </c>
      <c r="D6">
        <v>4.5</v>
      </c>
      <c r="E6">
        <v>4</v>
      </c>
      <c r="F6" s="12">
        <f>C6/LOG(B6)</f>
        <v>1.578589424552364</v>
      </c>
    </row>
    <row r="7" spans="1:6" x14ac:dyDescent="0.3">
      <c r="A7">
        <v>2172013</v>
      </c>
      <c r="B7">
        <v>800</v>
      </c>
      <c r="C7">
        <v>4.5</v>
      </c>
      <c r="D7">
        <v>4.5</v>
      </c>
      <c r="E7">
        <v>4</v>
      </c>
      <c r="F7" s="12">
        <f>C7/LOG(B7)</f>
        <v>1.5500725158928694</v>
      </c>
    </row>
    <row r="8" spans="1:6" x14ac:dyDescent="0.3">
      <c r="A8">
        <v>2272017</v>
      </c>
      <c r="B8">
        <v>130</v>
      </c>
      <c r="C8">
        <v>3</v>
      </c>
      <c r="D8">
        <v>4</v>
      </c>
      <c r="E8">
        <v>3</v>
      </c>
      <c r="F8" s="12">
        <f>C8/LOG(B8)</f>
        <v>1.4191487187801202</v>
      </c>
    </row>
    <row r="9" spans="1:6" x14ac:dyDescent="0.3">
      <c r="A9">
        <v>2472012</v>
      </c>
      <c r="B9">
        <v>2097</v>
      </c>
      <c r="C9">
        <v>4.666666666666667</v>
      </c>
      <c r="D9">
        <v>4.833333333333333</v>
      </c>
      <c r="E9">
        <v>3.8333333333333335</v>
      </c>
      <c r="F9" s="12">
        <f>C9/LOG(B9)</f>
        <v>1.4049460717058697</v>
      </c>
    </row>
    <row r="10" spans="1:6" x14ac:dyDescent="0.3">
      <c r="A10">
        <v>2372063</v>
      </c>
      <c r="B10">
        <v>1758</v>
      </c>
      <c r="C10">
        <v>4.5</v>
      </c>
      <c r="D10">
        <v>4.5</v>
      </c>
      <c r="E10">
        <v>3.5</v>
      </c>
      <c r="F10" s="12">
        <f>C10/LOG(B10)</f>
        <v>1.3867407800241629</v>
      </c>
    </row>
    <row r="11" spans="1:6" x14ac:dyDescent="0.3">
      <c r="A11">
        <v>2472026</v>
      </c>
      <c r="B11">
        <v>356</v>
      </c>
      <c r="C11">
        <v>3.5</v>
      </c>
      <c r="D11">
        <v>4</v>
      </c>
      <c r="E11">
        <v>3</v>
      </c>
      <c r="F11" s="12">
        <f>C11/LOG(B11)</f>
        <v>1.3717689951912626</v>
      </c>
    </row>
    <row r="12" spans="1:6" x14ac:dyDescent="0.3">
      <c r="A12">
        <v>2472001</v>
      </c>
      <c r="B12">
        <v>1790</v>
      </c>
      <c r="C12">
        <v>4.4545454545454541</v>
      </c>
      <c r="D12">
        <v>4.6363636363636367</v>
      </c>
      <c r="E12">
        <v>3.7272727272727271</v>
      </c>
      <c r="F12" s="12">
        <f>C12/LOG(B12)</f>
        <v>1.3694272111653201</v>
      </c>
    </row>
    <row r="13" spans="1:6" x14ac:dyDescent="0.3">
      <c r="A13">
        <v>2372027</v>
      </c>
      <c r="B13">
        <v>1125</v>
      </c>
      <c r="C13">
        <v>4.166666666666667</v>
      </c>
      <c r="D13">
        <v>4.333333333333333</v>
      </c>
      <c r="E13">
        <v>3.5</v>
      </c>
      <c r="F13" s="12">
        <f>C13/LOG(B13)</f>
        <v>1.3656041892407635</v>
      </c>
    </row>
    <row r="14" spans="1:6" x14ac:dyDescent="0.3">
      <c r="A14">
        <v>2472014</v>
      </c>
      <c r="B14">
        <v>1732</v>
      </c>
      <c r="C14">
        <v>4.4000000000000004</v>
      </c>
      <c r="D14">
        <v>5</v>
      </c>
      <c r="E14">
        <v>4</v>
      </c>
      <c r="F14" s="12">
        <f>C14/LOG(B14)</f>
        <v>1.3586336075920207</v>
      </c>
    </row>
    <row r="15" spans="1:6" x14ac:dyDescent="0.3">
      <c r="A15">
        <v>2372017</v>
      </c>
      <c r="B15">
        <v>1653</v>
      </c>
      <c r="C15">
        <v>4.333333333333333</v>
      </c>
      <c r="D15">
        <v>4.333333333333333</v>
      </c>
      <c r="E15">
        <v>3.3333333333333335</v>
      </c>
      <c r="F15" s="12">
        <f>C15/LOG(B15)</f>
        <v>1.346477918590544</v>
      </c>
    </row>
    <row r="16" spans="1:6" x14ac:dyDescent="0.3">
      <c r="A16">
        <v>2472041</v>
      </c>
      <c r="B16">
        <v>4370</v>
      </c>
      <c r="C16">
        <v>4.8888888888888893</v>
      </c>
      <c r="D16">
        <v>5</v>
      </c>
      <c r="E16">
        <v>4</v>
      </c>
      <c r="F16" s="12">
        <f>C16/LOG(B16)</f>
        <v>1.3429237241097929</v>
      </c>
    </row>
    <row r="17" spans="1:6" x14ac:dyDescent="0.3">
      <c r="A17">
        <v>2472023</v>
      </c>
      <c r="B17">
        <v>1246</v>
      </c>
      <c r="C17">
        <v>4.1428571428571432</v>
      </c>
      <c r="D17">
        <v>4.4285714285714288</v>
      </c>
      <c r="E17">
        <v>3.7142857142857144</v>
      </c>
      <c r="F17" s="12">
        <f>C17/LOG(B17)</f>
        <v>1.3383404930012865</v>
      </c>
    </row>
    <row r="18" spans="1:6" x14ac:dyDescent="0.3">
      <c r="A18">
        <v>2472901</v>
      </c>
      <c r="B18">
        <v>504</v>
      </c>
      <c r="C18">
        <v>3.6</v>
      </c>
      <c r="D18">
        <v>4</v>
      </c>
      <c r="E18">
        <v>3.2</v>
      </c>
      <c r="F18" s="12">
        <f>C18/LOG(B18)</f>
        <v>1.3321341479270867</v>
      </c>
    </row>
    <row r="19" spans="1:6" x14ac:dyDescent="0.3">
      <c r="A19">
        <v>2372050</v>
      </c>
      <c r="B19">
        <v>1585</v>
      </c>
      <c r="C19">
        <v>4.25</v>
      </c>
      <c r="D19">
        <v>4.5</v>
      </c>
      <c r="E19">
        <v>3.5</v>
      </c>
      <c r="F19" s="12">
        <f>C19/LOG(B19)</f>
        <v>1.3281128533480513</v>
      </c>
    </row>
    <row r="20" spans="1:6" x14ac:dyDescent="0.3">
      <c r="A20">
        <v>2472010</v>
      </c>
      <c r="B20">
        <v>3710</v>
      </c>
      <c r="C20">
        <v>4.7272727272727275</v>
      </c>
      <c r="D20">
        <v>5</v>
      </c>
      <c r="E20">
        <v>4</v>
      </c>
      <c r="F20" s="12">
        <f>C20/LOG(B20)</f>
        <v>1.3243982970062556</v>
      </c>
    </row>
    <row r="21" spans="1:6" x14ac:dyDescent="0.3">
      <c r="A21">
        <v>2472032</v>
      </c>
      <c r="B21">
        <v>1369</v>
      </c>
      <c r="C21">
        <v>4.1428571428571432</v>
      </c>
      <c r="D21">
        <v>4.5714285714285712</v>
      </c>
      <c r="E21">
        <v>3.7142857142857144</v>
      </c>
      <c r="F21" s="12">
        <f>C21/LOG(B21)</f>
        <v>1.3208942061717044</v>
      </c>
    </row>
    <row r="22" spans="1:6" x14ac:dyDescent="0.3">
      <c r="A22">
        <v>2472021</v>
      </c>
      <c r="B22">
        <v>2283</v>
      </c>
      <c r="C22">
        <v>4.4285714285714288</v>
      </c>
      <c r="D22">
        <v>5</v>
      </c>
      <c r="E22">
        <v>3.8571428571428572</v>
      </c>
      <c r="F22" s="12">
        <f>C22/LOG(B22)</f>
        <v>1.3186135577192968</v>
      </c>
    </row>
    <row r="23" spans="1:6" x14ac:dyDescent="0.3">
      <c r="A23">
        <v>2472039</v>
      </c>
      <c r="B23">
        <v>2304</v>
      </c>
      <c r="C23">
        <v>4.4285714285714288</v>
      </c>
      <c r="D23">
        <v>4.7142857142857144</v>
      </c>
      <c r="E23">
        <v>3.7142857142857144</v>
      </c>
      <c r="F23" s="12">
        <f>C23/LOG(B23)</f>
        <v>1.3170541294491491</v>
      </c>
    </row>
    <row r="24" spans="1:6" x14ac:dyDescent="0.3">
      <c r="A24">
        <v>2472009</v>
      </c>
      <c r="B24">
        <v>1149</v>
      </c>
      <c r="C24">
        <v>4</v>
      </c>
      <c r="D24">
        <v>4.666666666666667</v>
      </c>
      <c r="E24">
        <v>3.8333333333333335</v>
      </c>
      <c r="F24" s="12">
        <f>C24/LOG(B24)</f>
        <v>1.3070528449648715</v>
      </c>
    </row>
    <row r="25" spans="1:6" x14ac:dyDescent="0.3">
      <c r="A25">
        <v>2472019</v>
      </c>
      <c r="B25">
        <v>3937</v>
      </c>
      <c r="C25">
        <v>4.666666666666667</v>
      </c>
      <c r="D25">
        <v>4.8888888888888893</v>
      </c>
      <c r="E25">
        <v>4</v>
      </c>
      <c r="F25" s="12">
        <f>C25/LOG(B25)</f>
        <v>1.2980394858796664</v>
      </c>
    </row>
    <row r="26" spans="1:6" x14ac:dyDescent="0.3">
      <c r="A26">
        <v>2372902</v>
      </c>
      <c r="B26">
        <v>2201</v>
      </c>
      <c r="C26">
        <v>4.333333333333333</v>
      </c>
      <c r="D26">
        <v>4.666666666666667</v>
      </c>
      <c r="E26">
        <v>3.6666666666666665</v>
      </c>
      <c r="F26" s="12">
        <f>C26/LOG(B26)</f>
        <v>1.29638824579751</v>
      </c>
    </row>
    <row r="27" spans="1:6" x14ac:dyDescent="0.3">
      <c r="A27">
        <v>2472034</v>
      </c>
      <c r="B27">
        <v>1979</v>
      </c>
      <c r="C27">
        <v>4.25</v>
      </c>
      <c r="D27">
        <v>4.5</v>
      </c>
      <c r="E27">
        <v>4</v>
      </c>
      <c r="F27" s="12">
        <f>C27/LOG(B27)</f>
        <v>1.2892673701686539</v>
      </c>
    </row>
    <row r="28" spans="1:6" x14ac:dyDescent="0.3">
      <c r="A28">
        <v>2372022</v>
      </c>
      <c r="B28">
        <v>521</v>
      </c>
      <c r="C28">
        <v>3.5</v>
      </c>
      <c r="D28">
        <v>4.5</v>
      </c>
      <c r="E28">
        <v>3</v>
      </c>
      <c r="F28" s="12">
        <f>C28/LOG(B28)</f>
        <v>1.2882624420237165</v>
      </c>
    </row>
    <row r="29" spans="1:6" x14ac:dyDescent="0.3">
      <c r="A29">
        <v>2472035</v>
      </c>
      <c r="B29">
        <v>3846</v>
      </c>
      <c r="C29">
        <v>4.5714285714285712</v>
      </c>
      <c r="D29">
        <v>4.7142857142857144</v>
      </c>
      <c r="E29">
        <v>3.7142857142857144</v>
      </c>
      <c r="F29" s="12">
        <f>C29/LOG(B29)</f>
        <v>1.2751511124548465</v>
      </c>
    </row>
    <row r="30" spans="1:6" x14ac:dyDescent="0.3">
      <c r="A30">
        <v>2372059</v>
      </c>
      <c r="B30">
        <v>1034</v>
      </c>
      <c r="C30">
        <v>3.8333333333333335</v>
      </c>
      <c r="D30">
        <v>4.166666666666667</v>
      </c>
      <c r="E30">
        <v>3.5</v>
      </c>
      <c r="F30" s="12">
        <f>C30/LOG(B30)</f>
        <v>1.2716228946022661</v>
      </c>
    </row>
    <row r="31" spans="1:6" x14ac:dyDescent="0.3">
      <c r="A31">
        <v>2372041</v>
      </c>
      <c r="B31">
        <v>4840</v>
      </c>
      <c r="C31">
        <v>4.625</v>
      </c>
      <c r="D31">
        <v>4.75</v>
      </c>
      <c r="E31">
        <v>3.875</v>
      </c>
      <c r="F31" s="12">
        <f>C31/LOG(B31)</f>
        <v>1.2551408664639405</v>
      </c>
    </row>
    <row r="32" spans="1:6" x14ac:dyDescent="0.3">
      <c r="A32">
        <v>2472064</v>
      </c>
      <c r="B32">
        <v>3326</v>
      </c>
      <c r="C32">
        <v>4.4000000000000004</v>
      </c>
      <c r="D32">
        <v>4.8</v>
      </c>
      <c r="E32">
        <v>4</v>
      </c>
      <c r="F32" s="12">
        <f>C32/LOG(B32)</f>
        <v>1.2493177571969778</v>
      </c>
    </row>
    <row r="33" spans="1:6" x14ac:dyDescent="0.3">
      <c r="A33">
        <v>2372006</v>
      </c>
      <c r="B33">
        <v>2632</v>
      </c>
      <c r="C33">
        <v>4.25</v>
      </c>
      <c r="D33">
        <v>4</v>
      </c>
      <c r="E33">
        <v>3.75</v>
      </c>
      <c r="F33" s="12">
        <f>C33/LOG(B33)</f>
        <v>1.2425861881052005</v>
      </c>
    </row>
    <row r="34" spans="1:6" x14ac:dyDescent="0.3">
      <c r="A34">
        <v>2472025</v>
      </c>
      <c r="B34">
        <v>5429</v>
      </c>
      <c r="C34">
        <v>4.625</v>
      </c>
      <c r="D34">
        <v>4.75</v>
      </c>
      <c r="E34">
        <v>3.875</v>
      </c>
      <c r="F34" s="12">
        <f>C34/LOG(B34)</f>
        <v>1.2383793687586591</v>
      </c>
    </row>
    <row r="35" spans="1:6" x14ac:dyDescent="0.3">
      <c r="A35">
        <v>2472024</v>
      </c>
      <c r="B35">
        <v>3734</v>
      </c>
      <c r="C35">
        <v>4.416666666666667</v>
      </c>
      <c r="D35">
        <v>4.833333333333333</v>
      </c>
      <c r="E35">
        <v>3.75</v>
      </c>
      <c r="F35" s="12">
        <f>C35/LOG(B35)</f>
        <v>1.23640849491453</v>
      </c>
    </row>
    <row r="36" spans="1:6" x14ac:dyDescent="0.3">
      <c r="A36">
        <v>2472045</v>
      </c>
      <c r="B36">
        <v>4387</v>
      </c>
      <c r="C36">
        <v>4.5</v>
      </c>
      <c r="D36">
        <v>4.625</v>
      </c>
      <c r="E36">
        <v>3.75</v>
      </c>
      <c r="F36" s="12">
        <f>C36/LOG(B36)</f>
        <v>1.2355279744654606</v>
      </c>
    </row>
    <row r="37" spans="1:6" x14ac:dyDescent="0.3">
      <c r="A37">
        <v>2472051</v>
      </c>
      <c r="B37">
        <v>3240</v>
      </c>
      <c r="C37">
        <v>4.333333333333333</v>
      </c>
      <c r="D37">
        <v>4.666666666666667</v>
      </c>
      <c r="E37">
        <v>3.6666666666666665</v>
      </c>
      <c r="F37" s="12">
        <f>C37/LOG(B37)</f>
        <v>1.2343762352382703</v>
      </c>
    </row>
    <row r="38" spans="1:6" x14ac:dyDescent="0.3">
      <c r="A38">
        <v>2372004</v>
      </c>
      <c r="B38">
        <v>690</v>
      </c>
      <c r="C38">
        <v>3.5</v>
      </c>
      <c r="D38">
        <v>4.166666666666667</v>
      </c>
      <c r="E38">
        <v>3.1666666666666665</v>
      </c>
      <c r="F38" s="12">
        <f>C38/LOG(B38)</f>
        <v>1.2328939961690752</v>
      </c>
    </row>
    <row r="39" spans="1:6" x14ac:dyDescent="0.3">
      <c r="A39">
        <v>2472053</v>
      </c>
      <c r="B39">
        <v>5563</v>
      </c>
      <c r="C39">
        <v>4.5625</v>
      </c>
      <c r="D39">
        <v>5</v>
      </c>
      <c r="E39">
        <v>4</v>
      </c>
      <c r="F39" s="12">
        <f>C39/LOG(B39)</f>
        <v>1.2181905223255682</v>
      </c>
    </row>
    <row r="40" spans="1:6" x14ac:dyDescent="0.3">
      <c r="A40">
        <v>2472057</v>
      </c>
      <c r="B40">
        <v>3796</v>
      </c>
      <c r="C40">
        <v>4.333333333333333</v>
      </c>
      <c r="D40">
        <v>4.666666666666667</v>
      </c>
      <c r="E40">
        <v>3.8333333333333335</v>
      </c>
      <c r="F40" s="12">
        <f>C40/LOG(B40)</f>
        <v>1.2106561645001819</v>
      </c>
    </row>
    <row r="41" spans="1:6" x14ac:dyDescent="0.3">
      <c r="A41">
        <v>2372012</v>
      </c>
      <c r="B41">
        <v>1616</v>
      </c>
      <c r="C41">
        <v>3.875</v>
      </c>
      <c r="D41">
        <v>4</v>
      </c>
      <c r="E41">
        <v>3.625</v>
      </c>
      <c r="F41" s="12">
        <f>C41/LOG(B41)</f>
        <v>1.2077515433541619</v>
      </c>
    </row>
    <row r="42" spans="1:6" x14ac:dyDescent="0.3">
      <c r="A42">
        <v>2472043</v>
      </c>
      <c r="B42">
        <v>3984</v>
      </c>
      <c r="C42">
        <v>4.333333333333333</v>
      </c>
      <c r="D42">
        <v>4.5</v>
      </c>
      <c r="E42">
        <v>3.6666666666666665</v>
      </c>
      <c r="F42" s="12">
        <f>C42/LOG(B42)</f>
        <v>1.203596941394705</v>
      </c>
    </row>
    <row r="43" spans="1:6" x14ac:dyDescent="0.3">
      <c r="A43">
        <v>2472048</v>
      </c>
      <c r="B43">
        <v>7180</v>
      </c>
      <c r="C43">
        <v>4.5999999999999996</v>
      </c>
      <c r="D43">
        <v>4.5999999999999996</v>
      </c>
      <c r="E43">
        <v>3.9</v>
      </c>
      <c r="F43" s="12">
        <f>C43/LOG(B43)</f>
        <v>1.1929075595235012</v>
      </c>
    </row>
    <row r="44" spans="1:6" x14ac:dyDescent="0.3">
      <c r="A44">
        <v>2472027</v>
      </c>
      <c r="B44">
        <v>4080</v>
      </c>
      <c r="C44">
        <v>4.3</v>
      </c>
      <c r="D44">
        <v>4.7</v>
      </c>
      <c r="E44">
        <v>3.8</v>
      </c>
      <c r="F44" s="12">
        <f>C44/LOG(B44)</f>
        <v>1.1909179501180764</v>
      </c>
    </row>
    <row r="45" spans="1:6" x14ac:dyDescent="0.3">
      <c r="A45">
        <v>2472046</v>
      </c>
      <c r="B45">
        <v>3172</v>
      </c>
      <c r="C45">
        <v>4.1428571428571432</v>
      </c>
      <c r="D45">
        <v>4.5714285714285712</v>
      </c>
      <c r="E45">
        <v>3.5714285714285716</v>
      </c>
      <c r="F45" s="12">
        <f>C45/LOG(B45)</f>
        <v>1.1832227701505802</v>
      </c>
    </row>
    <row r="46" spans="1:6" x14ac:dyDescent="0.3">
      <c r="A46">
        <v>2472007</v>
      </c>
      <c r="B46">
        <v>9652</v>
      </c>
      <c r="C46">
        <v>4.666666666666667</v>
      </c>
      <c r="D46">
        <v>4.8666666666666663</v>
      </c>
      <c r="E46">
        <v>4</v>
      </c>
      <c r="F46" s="12">
        <f>C46/LOG(B46)</f>
        <v>1.1711706043047538</v>
      </c>
    </row>
    <row r="47" spans="1:6" x14ac:dyDescent="0.3">
      <c r="A47">
        <v>2372042</v>
      </c>
      <c r="B47">
        <v>2610</v>
      </c>
      <c r="C47">
        <v>4</v>
      </c>
      <c r="D47">
        <v>4.5999999999999996</v>
      </c>
      <c r="E47">
        <v>3.7</v>
      </c>
      <c r="F47" s="12">
        <f>C47/LOG(B47)</f>
        <v>1.1707406709628292</v>
      </c>
    </row>
    <row r="48" spans="1:6" x14ac:dyDescent="0.3">
      <c r="A48">
        <v>2172022</v>
      </c>
      <c r="B48">
        <v>2612</v>
      </c>
      <c r="C48">
        <v>4</v>
      </c>
      <c r="D48">
        <v>4.666666666666667</v>
      </c>
      <c r="E48">
        <v>3.6666666666666665</v>
      </c>
      <c r="F48" s="12">
        <f>C48/LOG(B48)</f>
        <v>1.1706266915033507</v>
      </c>
    </row>
    <row r="49" spans="1:6" x14ac:dyDescent="0.3">
      <c r="A49">
        <v>2472042</v>
      </c>
      <c r="B49">
        <v>7492</v>
      </c>
      <c r="C49">
        <v>4.5333333333333332</v>
      </c>
      <c r="D49">
        <v>4.7333333333333334</v>
      </c>
      <c r="E49">
        <v>3.7333333333333334</v>
      </c>
      <c r="F49" s="12">
        <f>C49/LOG(B49)</f>
        <v>1.1700139224646815</v>
      </c>
    </row>
    <row r="50" spans="1:6" x14ac:dyDescent="0.3">
      <c r="A50">
        <v>2372028</v>
      </c>
      <c r="B50">
        <v>5107</v>
      </c>
      <c r="C50">
        <v>4.333333333333333</v>
      </c>
      <c r="D50">
        <v>4.666666666666667</v>
      </c>
      <c r="E50">
        <v>3.5555555555555554</v>
      </c>
      <c r="F50" s="12">
        <f>C50/LOG(B50)</f>
        <v>1.1685921017134147</v>
      </c>
    </row>
    <row r="51" spans="1:6" x14ac:dyDescent="0.3">
      <c r="A51">
        <v>2472011</v>
      </c>
      <c r="B51">
        <v>5204</v>
      </c>
      <c r="C51">
        <v>4.333333333333333</v>
      </c>
      <c r="D51">
        <v>4.8666666666666663</v>
      </c>
      <c r="E51">
        <v>3.7333333333333334</v>
      </c>
      <c r="F51" s="12">
        <f>C51/LOG(B51)</f>
        <v>1.1660226178755071</v>
      </c>
    </row>
    <row r="52" spans="1:6" x14ac:dyDescent="0.3">
      <c r="A52">
        <v>2472058</v>
      </c>
      <c r="B52">
        <v>4423</v>
      </c>
      <c r="C52">
        <v>4.25</v>
      </c>
      <c r="D52">
        <v>4.25</v>
      </c>
      <c r="E52">
        <v>3.5</v>
      </c>
      <c r="F52" s="12">
        <f>C52/LOG(B52)</f>
        <v>1.1657515025658809</v>
      </c>
    </row>
    <row r="53" spans="1:6" x14ac:dyDescent="0.3">
      <c r="A53">
        <v>2372036</v>
      </c>
      <c r="B53">
        <v>5539</v>
      </c>
      <c r="C53">
        <v>4.333333333333333</v>
      </c>
      <c r="D53">
        <v>4.8888888888888893</v>
      </c>
      <c r="E53">
        <v>3.6666666666666665</v>
      </c>
      <c r="F53" s="12">
        <f>C53/LOG(B53)</f>
        <v>1.1575832199513385</v>
      </c>
    </row>
    <row r="54" spans="1:6" x14ac:dyDescent="0.3">
      <c r="A54">
        <v>2472056</v>
      </c>
      <c r="B54">
        <v>4288</v>
      </c>
      <c r="C54">
        <v>4.1818181818181817</v>
      </c>
      <c r="D54">
        <v>4.4545454545454541</v>
      </c>
      <c r="E54">
        <v>3.5454545454545454</v>
      </c>
      <c r="F54" s="12">
        <f>C54/LOG(B54)</f>
        <v>1.1513008968041261</v>
      </c>
    </row>
    <row r="55" spans="1:6" x14ac:dyDescent="0.3">
      <c r="A55">
        <v>2472028</v>
      </c>
      <c r="B55">
        <v>2235</v>
      </c>
      <c r="C55">
        <v>3.8333333333333335</v>
      </c>
      <c r="D55">
        <v>4.166666666666667</v>
      </c>
      <c r="E55">
        <v>3.6666666666666665</v>
      </c>
      <c r="F55" s="12">
        <f>C55/LOG(B55)</f>
        <v>1.1445254392613213</v>
      </c>
    </row>
    <row r="56" spans="1:6" x14ac:dyDescent="0.3">
      <c r="A56">
        <v>2472018</v>
      </c>
      <c r="B56">
        <v>6519</v>
      </c>
      <c r="C56">
        <v>4.333333333333333</v>
      </c>
      <c r="D56">
        <v>4.666666666666667</v>
      </c>
      <c r="E56">
        <v>3.8666666666666667</v>
      </c>
      <c r="F56" s="12">
        <f>C56/LOG(B56)</f>
        <v>1.1361110956385623</v>
      </c>
    </row>
    <row r="57" spans="1:6" x14ac:dyDescent="0.3">
      <c r="A57">
        <v>2472020</v>
      </c>
      <c r="B57">
        <v>6707</v>
      </c>
      <c r="C57">
        <v>4.2666666666666666</v>
      </c>
      <c r="D57">
        <v>4.5999999999999996</v>
      </c>
      <c r="E57">
        <v>3.6666666666666665</v>
      </c>
      <c r="F57" s="12">
        <f>C57/LOG(B57)</f>
        <v>1.1150228941457705</v>
      </c>
    </row>
    <row r="58" spans="1:6" x14ac:dyDescent="0.3">
      <c r="A58">
        <v>2472008</v>
      </c>
      <c r="B58">
        <v>9825</v>
      </c>
      <c r="C58">
        <v>4.4285714285714288</v>
      </c>
      <c r="D58">
        <v>4.8571428571428568</v>
      </c>
      <c r="E58">
        <v>3.8571428571428572</v>
      </c>
      <c r="F58" s="12">
        <f>C58/LOG(B58)</f>
        <v>1.1092691711103464</v>
      </c>
    </row>
    <row r="59" spans="1:6" x14ac:dyDescent="0.3">
      <c r="A59">
        <v>2472017</v>
      </c>
      <c r="B59">
        <v>9702</v>
      </c>
      <c r="C59">
        <v>4.4000000000000004</v>
      </c>
      <c r="D59">
        <v>4.45</v>
      </c>
      <c r="E59">
        <v>3.6</v>
      </c>
      <c r="F59" s="12">
        <f>C59/LOG(B59)</f>
        <v>1.1036250578340037</v>
      </c>
    </row>
    <row r="60" spans="1:6" x14ac:dyDescent="0.3">
      <c r="A60">
        <v>2372019</v>
      </c>
      <c r="B60">
        <v>1927</v>
      </c>
      <c r="C60">
        <v>3.6</v>
      </c>
      <c r="D60">
        <v>4.4000000000000004</v>
      </c>
      <c r="E60">
        <v>3.2</v>
      </c>
      <c r="F60" s="12">
        <f>C60/LOG(B60)</f>
        <v>1.0959298728896847</v>
      </c>
    </row>
    <row r="61" spans="1:6" x14ac:dyDescent="0.3">
      <c r="A61">
        <v>2472022</v>
      </c>
      <c r="B61">
        <v>4099</v>
      </c>
      <c r="C61">
        <v>3.8333333333333335</v>
      </c>
      <c r="D61">
        <v>4.166666666666667</v>
      </c>
      <c r="E61">
        <v>3.3333333333333335</v>
      </c>
      <c r="F61" s="12">
        <f>C61/LOG(B61)</f>
        <v>1.0610780756009539</v>
      </c>
    </row>
    <row r="62" spans="1:6" x14ac:dyDescent="0.3">
      <c r="A62">
        <v>2472040</v>
      </c>
      <c r="B62">
        <v>6132</v>
      </c>
      <c r="C62">
        <v>3.95</v>
      </c>
      <c r="D62">
        <v>4.45</v>
      </c>
      <c r="E62">
        <v>3.55</v>
      </c>
      <c r="F62" s="12">
        <f>C62/LOG(B62)</f>
        <v>1.0428761648002944</v>
      </c>
    </row>
    <row r="63" spans="1:6" x14ac:dyDescent="0.3">
      <c r="A63">
        <v>2172025</v>
      </c>
      <c r="B63">
        <v>8302</v>
      </c>
      <c r="C63">
        <v>3.8947368421052633</v>
      </c>
      <c r="D63">
        <v>4.4210526315789478</v>
      </c>
      <c r="E63">
        <v>3.5789473684210527</v>
      </c>
      <c r="F63" s="12">
        <f>C63/LOG(B63)</f>
        <v>0.99376250391284771</v>
      </c>
    </row>
    <row r="64" spans="1:6" x14ac:dyDescent="0.3">
      <c r="A64">
        <v>2472029</v>
      </c>
      <c r="B64">
        <v>15988</v>
      </c>
      <c r="C64">
        <v>3.8</v>
      </c>
      <c r="D64">
        <v>4.2666666666666666</v>
      </c>
      <c r="E64">
        <v>3.7333333333333334</v>
      </c>
      <c r="F64" s="12">
        <f>C64/LOG(B64)</f>
        <v>0.90394531078830709</v>
      </c>
    </row>
    <row r="65" spans="1:6" x14ac:dyDescent="0.3">
      <c r="A65">
        <v>2472005</v>
      </c>
      <c r="B65">
        <v>2784</v>
      </c>
      <c r="C65">
        <v>3</v>
      </c>
      <c r="D65">
        <v>3</v>
      </c>
      <c r="E65">
        <v>3.4</v>
      </c>
      <c r="F65" s="12">
        <f>C65/LOG(B65)</f>
        <v>0.87091090577153285</v>
      </c>
    </row>
    <row r="66" spans="1:6" x14ac:dyDescent="0.3">
      <c r="A66">
        <v>2472013</v>
      </c>
      <c r="B66">
        <v>1145</v>
      </c>
      <c r="C66">
        <v>1</v>
      </c>
      <c r="D66">
        <v>2</v>
      </c>
      <c r="E66">
        <v>3</v>
      </c>
      <c r="F66" s="12">
        <f>C66/LOG(B66)</f>
        <v>0.32692500531857266</v>
      </c>
    </row>
  </sheetData>
  <autoFilter ref="A1:F66" xr:uid="{FC25CF55-2559-4898-A2B5-7FC5A0A87F14}">
    <sortState xmlns:xlrd2="http://schemas.microsoft.com/office/spreadsheetml/2017/richdata2" ref="A2:F66">
      <sortCondition descending="1" ref="F1:F66"/>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B8FA9-D89C-4EEA-93BD-3F7C9F071C40}">
  <dimension ref="A1:D9"/>
  <sheetViews>
    <sheetView workbookViewId="0">
      <selection activeCell="K10" sqref="K10"/>
    </sheetView>
  </sheetViews>
  <sheetFormatPr defaultRowHeight="14.4" x14ac:dyDescent="0.3"/>
  <cols>
    <col min="1" max="1" width="12.5546875" bestFit="1" customWidth="1"/>
    <col min="2" max="2" width="22.6640625" bestFit="1" customWidth="1"/>
    <col min="3" max="3" width="23.88671875" bestFit="1" customWidth="1"/>
    <col min="4" max="4" width="21.5546875" bestFit="1" customWidth="1"/>
    <col min="5" max="5" width="18.21875" bestFit="1" customWidth="1"/>
  </cols>
  <sheetData>
    <row r="1" spans="1:4" x14ac:dyDescent="0.3">
      <c r="A1" s="2" t="s">
        <v>4230</v>
      </c>
      <c r="B1" t="s">
        <v>4240</v>
      </c>
      <c r="C1" t="s">
        <v>4241</v>
      </c>
      <c r="D1" t="s">
        <v>4243</v>
      </c>
    </row>
    <row r="2" spans="1:4" x14ac:dyDescent="0.3">
      <c r="A2" s="3" t="s">
        <v>67</v>
      </c>
      <c r="B2" s="4">
        <v>3.5588235294117645</v>
      </c>
      <c r="C2" s="4">
        <v>4.6029411764705879</v>
      </c>
      <c r="D2" s="4">
        <v>4.2058823529411766</v>
      </c>
    </row>
    <row r="3" spans="1:4" x14ac:dyDescent="0.3">
      <c r="A3" s="3" t="s">
        <v>177</v>
      </c>
      <c r="B3" s="4">
        <v>3.7</v>
      </c>
      <c r="C3" s="4">
        <v>4.74</v>
      </c>
      <c r="D3" s="4">
        <v>4.3</v>
      </c>
    </row>
    <row r="4" spans="1:4" x14ac:dyDescent="0.3">
      <c r="A4" s="3" t="s">
        <v>31</v>
      </c>
      <c r="B4" s="4">
        <v>3.782258064516129</v>
      </c>
      <c r="C4" s="4">
        <v>4.685483870967742</v>
      </c>
      <c r="D4" s="4">
        <v>4.2983870967741939</v>
      </c>
    </row>
    <row r="5" spans="1:4" x14ac:dyDescent="0.3">
      <c r="A5" s="3" t="s">
        <v>138</v>
      </c>
      <c r="B5" s="4">
        <v>3.7386363636363638</v>
      </c>
      <c r="C5" s="4">
        <v>4.6818181818181817</v>
      </c>
      <c r="D5" s="4">
        <v>4.3068181818181817</v>
      </c>
    </row>
    <row r="6" spans="1:4" x14ac:dyDescent="0.3">
      <c r="A6" s="3" t="s">
        <v>304</v>
      </c>
      <c r="B6" s="4">
        <v>3.9285714285714284</v>
      </c>
      <c r="C6" s="4">
        <v>4.8571428571428568</v>
      </c>
      <c r="D6" s="4">
        <v>4.5714285714285712</v>
      </c>
    </row>
    <row r="7" spans="1:4" x14ac:dyDescent="0.3">
      <c r="A7" s="3" t="s">
        <v>56</v>
      </c>
      <c r="B7" s="4">
        <v>3.78125</v>
      </c>
      <c r="C7" s="4">
        <v>4.5625</v>
      </c>
      <c r="D7" s="4">
        <v>4.40625</v>
      </c>
    </row>
    <row r="8" spans="1:4" x14ac:dyDescent="0.3">
      <c r="A8" s="3" t="s">
        <v>45</v>
      </c>
      <c r="B8" s="4">
        <v>3.6349206349206349</v>
      </c>
      <c r="C8" s="4">
        <v>4.3015873015873014</v>
      </c>
      <c r="D8" s="4">
        <v>4.087301587301587</v>
      </c>
    </row>
    <row r="9" spans="1:4" x14ac:dyDescent="0.3">
      <c r="A9" s="3" t="s">
        <v>4231</v>
      </c>
      <c r="B9" s="4">
        <v>3.7093023255813953</v>
      </c>
      <c r="C9" s="4">
        <v>4.5872093023255811</v>
      </c>
      <c r="D9" s="4">
        <v>4.2577519379844961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F745-B7D8-4537-A6A1-AFC1170F1625}">
  <dimension ref="A3:E77"/>
  <sheetViews>
    <sheetView topLeftCell="A51" workbookViewId="0">
      <selection activeCell="B73" sqref="B73"/>
    </sheetView>
  </sheetViews>
  <sheetFormatPr defaultRowHeight="14.4" x14ac:dyDescent="0.3"/>
  <cols>
    <col min="1" max="1" width="35.21875" bestFit="1" customWidth="1"/>
    <col min="2" max="2" width="21.5546875" bestFit="1" customWidth="1"/>
    <col min="3" max="3" width="21.44140625" bestFit="1" customWidth="1"/>
    <col min="4" max="4" width="22.6640625" bestFit="1" customWidth="1"/>
    <col min="5" max="5" width="23.88671875" bestFit="1" customWidth="1"/>
  </cols>
  <sheetData>
    <row r="3" spans="1:5" x14ac:dyDescent="0.3">
      <c r="A3" s="2" t="s">
        <v>4230</v>
      </c>
      <c r="B3" t="s">
        <v>4243</v>
      </c>
      <c r="C3" t="s">
        <v>4245</v>
      </c>
      <c r="D3" t="s">
        <v>4240</v>
      </c>
      <c r="E3" t="s">
        <v>4241</v>
      </c>
    </row>
    <row r="4" spans="1:5" x14ac:dyDescent="0.3">
      <c r="A4" s="3">
        <v>2172013</v>
      </c>
      <c r="B4" s="4">
        <v>4.5</v>
      </c>
      <c r="C4" s="4">
        <v>200</v>
      </c>
      <c r="D4" s="4">
        <v>4</v>
      </c>
      <c r="E4" s="4">
        <v>4.5</v>
      </c>
    </row>
    <row r="5" spans="1:5" x14ac:dyDescent="0.3">
      <c r="A5" s="3">
        <v>2172022</v>
      </c>
      <c r="B5" s="4">
        <v>4</v>
      </c>
      <c r="C5" s="4">
        <v>290.22222222222223</v>
      </c>
      <c r="D5" s="4">
        <v>3.6666666666666665</v>
      </c>
      <c r="E5" s="4">
        <v>4.666666666666667</v>
      </c>
    </row>
    <row r="6" spans="1:5" x14ac:dyDescent="0.3">
      <c r="A6" s="3">
        <v>2172025</v>
      </c>
      <c r="B6" s="4">
        <v>3.8947368421052633</v>
      </c>
      <c r="C6" s="4">
        <v>436.94736842105266</v>
      </c>
      <c r="D6" s="4">
        <v>3.5789473684210527</v>
      </c>
      <c r="E6" s="4">
        <v>4.4210526315789478</v>
      </c>
    </row>
    <row r="7" spans="1:5" x14ac:dyDescent="0.3">
      <c r="A7" s="3">
        <v>2272017</v>
      </c>
      <c r="B7" s="4">
        <v>3</v>
      </c>
      <c r="C7" s="4">
        <v>130</v>
      </c>
      <c r="D7" s="4">
        <v>3</v>
      </c>
      <c r="E7" s="4">
        <v>4</v>
      </c>
    </row>
    <row r="8" spans="1:5" x14ac:dyDescent="0.3">
      <c r="A8" s="3">
        <v>2372004</v>
      </c>
      <c r="B8" s="4">
        <v>3.5</v>
      </c>
      <c r="C8" s="4">
        <v>115</v>
      </c>
      <c r="D8" s="4">
        <v>3.1666666666666665</v>
      </c>
      <c r="E8" s="4">
        <v>4.166666666666667</v>
      </c>
    </row>
    <row r="9" spans="1:5" x14ac:dyDescent="0.3">
      <c r="A9" s="3">
        <v>2372006</v>
      </c>
      <c r="B9" s="4">
        <v>4.25</v>
      </c>
      <c r="C9" s="4">
        <v>658</v>
      </c>
      <c r="D9" s="4">
        <v>3.75</v>
      </c>
      <c r="E9" s="4">
        <v>4</v>
      </c>
    </row>
    <row r="10" spans="1:5" x14ac:dyDescent="0.3">
      <c r="A10" s="3">
        <v>2372012</v>
      </c>
      <c r="B10" s="4">
        <v>3.875</v>
      </c>
      <c r="C10" s="4">
        <v>202</v>
      </c>
      <c r="D10" s="4">
        <v>3.625</v>
      </c>
      <c r="E10" s="4">
        <v>4</v>
      </c>
    </row>
    <row r="11" spans="1:5" x14ac:dyDescent="0.3">
      <c r="A11" s="3">
        <v>2372017</v>
      </c>
      <c r="B11" s="4">
        <v>4.333333333333333</v>
      </c>
      <c r="C11" s="4">
        <v>551</v>
      </c>
      <c r="D11" s="4">
        <v>3.3333333333333335</v>
      </c>
      <c r="E11" s="4">
        <v>4.333333333333333</v>
      </c>
    </row>
    <row r="12" spans="1:5" x14ac:dyDescent="0.3">
      <c r="A12" s="3">
        <v>2372019</v>
      </c>
      <c r="B12" s="4">
        <v>3.6</v>
      </c>
      <c r="C12" s="4">
        <v>385.4</v>
      </c>
      <c r="D12" s="4">
        <v>3.2</v>
      </c>
      <c r="E12" s="4">
        <v>4.4000000000000004</v>
      </c>
    </row>
    <row r="13" spans="1:5" x14ac:dyDescent="0.3">
      <c r="A13" s="3">
        <v>2372022</v>
      </c>
      <c r="B13" s="4">
        <v>3.5</v>
      </c>
      <c r="C13" s="4">
        <v>260.5</v>
      </c>
      <c r="D13" s="4">
        <v>3</v>
      </c>
      <c r="E13" s="4">
        <v>4.5</v>
      </c>
    </row>
    <row r="14" spans="1:5" x14ac:dyDescent="0.3">
      <c r="A14" s="3">
        <v>2372027</v>
      </c>
      <c r="B14" s="4">
        <v>4.166666666666667</v>
      </c>
      <c r="C14" s="4">
        <v>187.5</v>
      </c>
      <c r="D14" s="4">
        <v>3.5</v>
      </c>
      <c r="E14" s="4">
        <v>4.333333333333333</v>
      </c>
    </row>
    <row r="15" spans="1:5" x14ac:dyDescent="0.3">
      <c r="A15" s="3">
        <v>2372028</v>
      </c>
      <c r="B15" s="4">
        <v>4.333333333333333</v>
      </c>
      <c r="C15" s="4">
        <v>567.44444444444446</v>
      </c>
      <c r="D15" s="4">
        <v>3.5555555555555554</v>
      </c>
      <c r="E15" s="4">
        <v>4.666666666666667</v>
      </c>
    </row>
    <row r="16" spans="1:5" x14ac:dyDescent="0.3">
      <c r="A16" s="3">
        <v>2372036</v>
      </c>
      <c r="B16" s="4">
        <v>4.333333333333333</v>
      </c>
      <c r="C16" s="4">
        <v>615.44444444444446</v>
      </c>
      <c r="D16" s="4">
        <v>3.6666666666666665</v>
      </c>
      <c r="E16" s="4">
        <v>4.8888888888888893</v>
      </c>
    </row>
    <row r="17" spans="1:5" x14ac:dyDescent="0.3">
      <c r="A17" s="3">
        <v>2372041</v>
      </c>
      <c r="B17" s="4">
        <v>4.625</v>
      </c>
      <c r="C17" s="4">
        <v>605</v>
      </c>
      <c r="D17" s="4">
        <v>3.875</v>
      </c>
      <c r="E17" s="4">
        <v>4.75</v>
      </c>
    </row>
    <row r="18" spans="1:5" x14ac:dyDescent="0.3">
      <c r="A18" s="3">
        <v>2372042</v>
      </c>
      <c r="B18" s="4">
        <v>4</v>
      </c>
      <c r="C18" s="4">
        <v>261</v>
      </c>
      <c r="D18" s="4">
        <v>3.7</v>
      </c>
      <c r="E18" s="4">
        <v>4.5999999999999996</v>
      </c>
    </row>
    <row r="19" spans="1:5" x14ac:dyDescent="0.3">
      <c r="A19" s="3">
        <v>2372050</v>
      </c>
      <c r="B19" s="4">
        <v>4.25</v>
      </c>
      <c r="C19" s="4">
        <v>396.25</v>
      </c>
      <c r="D19" s="4">
        <v>3.5</v>
      </c>
      <c r="E19" s="4">
        <v>4.5</v>
      </c>
    </row>
    <row r="20" spans="1:5" x14ac:dyDescent="0.3">
      <c r="A20" s="3">
        <v>2372059</v>
      </c>
      <c r="B20" s="4">
        <v>3.8333333333333335</v>
      </c>
      <c r="C20" s="4">
        <v>172.33333333333334</v>
      </c>
      <c r="D20" s="4">
        <v>3.5</v>
      </c>
      <c r="E20" s="4">
        <v>4.166666666666667</v>
      </c>
    </row>
    <row r="21" spans="1:5" x14ac:dyDescent="0.3">
      <c r="A21" s="3">
        <v>2372062</v>
      </c>
      <c r="B21" s="4">
        <v>4.5</v>
      </c>
      <c r="C21" s="4">
        <v>154</v>
      </c>
      <c r="D21" s="4">
        <v>4</v>
      </c>
      <c r="E21" s="4">
        <v>5</v>
      </c>
    </row>
    <row r="22" spans="1:5" x14ac:dyDescent="0.3">
      <c r="A22" s="3">
        <v>2372063</v>
      </c>
      <c r="B22" s="4">
        <v>4.5</v>
      </c>
      <c r="C22" s="4">
        <v>439.5</v>
      </c>
      <c r="D22" s="4">
        <v>3.5</v>
      </c>
      <c r="E22" s="4">
        <v>4.5</v>
      </c>
    </row>
    <row r="23" spans="1:5" x14ac:dyDescent="0.3">
      <c r="A23" s="3">
        <v>2372902</v>
      </c>
      <c r="B23" s="4">
        <v>4.333333333333333</v>
      </c>
      <c r="C23" s="4">
        <v>733.66666666666663</v>
      </c>
      <c r="D23" s="4">
        <v>3.6666666666666665</v>
      </c>
      <c r="E23" s="4">
        <v>4.666666666666667</v>
      </c>
    </row>
    <row r="24" spans="1:5" x14ac:dyDescent="0.3">
      <c r="A24" s="3">
        <v>2472001</v>
      </c>
      <c r="B24" s="4">
        <v>4.4545454545454541</v>
      </c>
      <c r="C24" s="4">
        <v>162.72727272727272</v>
      </c>
      <c r="D24" s="4">
        <v>3.7272727272727271</v>
      </c>
      <c r="E24" s="4">
        <v>4.6363636363636367</v>
      </c>
    </row>
    <row r="25" spans="1:5" x14ac:dyDescent="0.3">
      <c r="A25" s="3">
        <v>2472003</v>
      </c>
      <c r="B25" s="4">
        <v>4.5</v>
      </c>
      <c r="C25" s="4">
        <v>326</v>
      </c>
      <c r="D25" s="4">
        <v>4</v>
      </c>
      <c r="E25" s="4">
        <v>5</v>
      </c>
    </row>
    <row r="26" spans="1:5" x14ac:dyDescent="0.3">
      <c r="A26" s="3">
        <v>2472005</v>
      </c>
      <c r="B26" s="4">
        <v>3</v>
      </c>
      <c r="C26" s="4">
        <v>556.79999999999995</v>
      </c>
      <c r="D26" s="4">
        <v>3.4</v>
      </c>
      <c r="E26" s="4">
        <v>3</v>
      </c>
    </row>
    <row r="27" spans="1:5" x14ac:dyDescent="0.3">
      <c r="A27" s="3">
        <v>2472007</v>
      </c>
      <c r="B27" s="4">
        <v>4.666666666666667</v>
      </c>
      <c r="C27" s="4">
        <v>643.4666666666667</v>
      </c>
      <c r="D27" s="4">
        <v>4</v>
      </c>
      <c r="E27" s="4">
        <v>4.8666666666666663</v>
      </c>
    </row>
    <row r="28" spans="1:5" x14ac:dyDescent="0.3">
      <c r="A28" s="3">
        <v>2472008</v>
      </c>
      <c r="B28" s="4">
        <v>4.4285714285714288</v>
      </c>
      <c r="C28" s="4">
        <v>701.78571428571433</v>
      </c>
      <c r="D28" s="4">
        <v>3.8571428571428572</v>
      </c>
      <c r="E28" s="4">
        <v>4.8571428571428568</v>
      </c>
    </row>
    <row r="29" spans="1:5" x14ac:dyDescent="0.3">
      <c r="A29" s="3">
        <v>2472009</v>
      </c>
      <c r="B29" s="4">
        <v>4</v>
      </c>
      <c r="C29" s="4">
        <v>191.5</v>
      </c>
      <c r="D29" s="4">
        <v>3.8333333333333335</v>
      </c>
      <c r="E29" s="4">
        <v>4.666666666666667</v>
      </c>
    </row>
    <row r="30" spans="1:5" x14ac:dyDescent="0.3">
      <c r="A30" s="3">
        <v>2472010</v>
      </c>
      <c r="B30" s="4">
        <v>4.7272727272727275</v>
      </c>
      <c r="C30" s="4">
        <v>337.27272727272725</v>
      </c>
      <c r="D30" s="4">
        <v>4</v>
      </c>
      <c r="E30" s="4">
        <v>5</v>
      </c>
    </row>
    <row r="31" spans="1:5" x14ac:dyDescent="0.3">
      <c r="A31" s="3">
        <v>2472011</v>
      </c>
      <c r="B31" s="4">
        <v>4.333333333333333</v>
      </c>
      <c r="C31" s="4">
        <v>346.93333333333334</v>
      </c>
      <c r="D31" s="4">
        <v>3.7333333333333334</v>
      </c>
      <c r="E31" s="4">
        <v>4.8666666666666663</v>
      </c>
    </row>
    <row r="32" spans="1:5" x14ac:dyDescent="0.3">
      <c r="A32" s="3">
        <v>2472012</v>
      </c>
      <c r="B32" s="4">
        <v>4.666666666666667</v>
      </c>
      <c r="C32" s="4">
        <v>349.5</v>
      </c>
      <c r="D32" s="4">
        <v>3.8333333333333335</v>
      </c>
      <c r="E32" s="4">
        <v>4.833333333333333</v>
      </c>
    </row>
    <row r="33" spans="1:5" x14ac:dyDescent="0.3">
      <c r="A33" s="3">
        <v>2472013</v>
      </c>
      <c r="B33" s="4">
        <v>1</v>
      </c>
      <c r="C33" s="4">
        <v>1145</v>
      </c>
      <c r="D33" s="4">
        <v>3</v>
      </c>
      <c r="E33" s="4">
        <v>2</v>
      </c>
    </row>
    <row r="34" spans="1:5" x14ac:dyDescent="0.3">
      <c r="A34" s="3">
        <v>2472014</v>
      </c>
      <c r="B34" s="4">
        <v>4.4000000000000004</v>
      </c>
      <c r="C34" s="4">
        <v>346.4</v>
      </c>
      <c r="D34" s="4">
        <v>4</v>
      </c>
      <c r="E34" s="4">
        <v>5</v>
      </c>
    </row>
    <row r="35" spans="1:5" x14ac:dyDescent="0.3">
      <c r="A35" s="3">
        <v>2472017</v>
      </c>
      <c r="B35" s="4">
        <v>4.4000000000000004</v>
      </c>
      <c r="C35" s="4">
        <v>485.1</v>
      </c>
      <c r="D35" s="4">
        <v>3.6</v>
      </c>
      <c r="E35" s="4">
        <v>4.45</v>
      </c>
    </row>
    <row r="36" spans="1:5" x14ac:dyDescent="0.3">
      <c r="A36" s="3">
        <v>2472018</v>
      </c>
      <c r="B36" s="4">
        <v>4.333333333333333</v>
      </c>
      <c r="C36" s="4">
        <v>434.6</v>
      </c>
      <c r="D36" s="4">
        <v>3.8666666666666667</v>
      </c>
      <c r="E36" s="4">
        <v>4.666666666666667</v>
      </c>
    </row>
    <row r="37" spans="1:5" x14ac:dyDescent="0.3">
      <c r="A37" s="3">
        <v>2472019</v>
      </c>
      <c r="B37" s="4">
        <v>4.666666666666667</v>
      </c>
      <c r="C37" s="4">
        <v>437.44444444444446</v>
      </c>
      <c r="D37" s="4">
        <v>4</v>
      </c>
      <c r="E37" s="4">
        <v>4.8888888888888893</v>
      </c>
    </row>
    <row r="38" spans="1:5" x14ac:dyDescent="0.3">
      <c r="A38" s="3">
        <v>2472020</v>
      </c>
      <c r="B38" s="4">
        <v>4.2666666666666666</v>
      </c>
      <c r="C38" s="4">
        <v>447.13333333333333</v>
      </c>
      <c r="D38" s="4">
        <v>3.6666666666666665</v>
      </c>
      <c r="E38" s="4">
        <v>4.5999999999999996</v>
      </c>
    </row>
    <row r="39" spans="1:5" x14ac:dyDescent="0.3">
      <c r="A39" s="3">
        <v>2472021</v>
      </c>
      <c r="B39" s="4">
        <v>4.4285714285714288</v>
      </c>
      <c r="C39" s="4">
        <v>326.14285714285717</v>
      </c>
      <c r="D39" s="4">
        <v>3.8571428571428572</v>
      </c>
      <c r="E39" s="4">
        <v>5</v>
      </c>
    </row>
    <row r="40" spans="1:5" x14ac:dyDescent="0.3">
      <c r="A40" s="3">
        <v>2472022</v>
      </c>
      <c r="B40" s="4">
        <v>3.8333333333333335</v>
      </c>
      <c r="C40" s="4">
        <v>341.58333333333331</v>
      </c>
      <c r="D40" s="4">
        <v>3.3333333333333335</v>
      </c>
      <c r="E40" s="4">
        <v>4.166666666666667</v>
      </c>
    </row>
    <row r="41" spans="1:5" x14ac:dyDescent="0.3">
      <c r="A41" s="3">
        <v>2472023</v>
      </c>
      <c r="B41" s="4">
        <v>4.1428571428571432</v>
      </c>
      <c r="C41" s="4">
        <v>178</v>
      </c>
      <c r="D41" s="4">
        <v>3.7142857142857144</v>
      </c>
      <c r="E41" s="4">
        <v>4.4285714285714288</v>
      </c>
    </row>
    <row r="42" spans="1:5" x14ac:dyDescent="0.3">
      <c r="A42" s="3">
        <v>2472024</v>
      </c>
      <c r="B42" s="4">
        <v>4.416666666666667</v>
      </c>
      <c r="C42" s="4">
        <v>311.16666666666669</v>
      </c>
      <c r="D42" s="4">
        <v>3.75</v>
      </c>
      <c r="E42" s="4">
        <v>4.833333333333333</v>
      </c>
    </row>
    <row r="43" spans="1:5" x14ac:dyDescent="0.3">
      <c r="A43" s="3">
        <v>2472025</v>
      </c>
      <c r="B43" s="4">
        <v>4.625</v>
      </c>
      <c r="C43" s="4">
        <v>678.625</v>
      </c>
      <c r="D43" s="4">
        <v>3.875</v>
      </c>
      <c r="E43" s="4">
        <v>4.75</v>
      </c>
    </row>
    <row r="44" spans="1:5" x14ac:dyDescent="0.3">
      <c r="A44" s="3">
        <v>2472026</v>
      </c>
      <c r="B44" s="4">
        <v>3.5</v>
      </c>
      <c r="C44" s="4">
        <v>178</v>
      </c>
      <c r="D44" s="4">
        <v>3</v>
      </c>
      <c r="E44" s="4">
        <v>4</v>
      </c>
    </row>
    <row r="45" spans="1:5" x14ac:dyDescent="0.3">
      <c r="A45" s="3">
        <v>2472027</v>
      </c>
      <c r="B45" s="4">
        <v>4.3</v>
      </c>
      <c r="C45" s="4">
        <v>408</v>
      </c>
      <c r="D45" s="4">
        <v>3.8</v>
      </c>
      <c r="E45" s="4">
        <v>4.7</v>
      </c>
    </row>
    <row r="46" spans="1:5" x14ac:dyDescent="0.3">
      <c r="A46" s="3">
        <v>2472028</v>
      </c>
      <c r="B46" s="4">
        <v>3.8333333333333335</v>
      </c>
      <c r="C46" s="4">
        <v>372.5</v>
      </c>
      <c r="D46" s="4">
        <v>3.6666666666666665</v>
      </c>
      <c r="E46" s="4">
        <v>4.166666666666667</v>
      </c>
    </row>
    <row r="47" spans="1:5" x14ac:dyDescent="0.3">
      <c r="A47" s="3">
        <v>2472029</v>
      </c>
      <c r="B47" s="4">
        <v>3.8</v>
      </c>
      <c r="C47" s="4">
        <v>1065.8666666666666</v>
      </c>
      <c r="D47" s="4">
        <v>3.7333333333333334</v>
      </c>
      <c r="E47" s="4">
        <v>4.2666666666666666</v>
      </c>
    </row>
    <row r="48" spans="1:5" x14ac:dyDescent="0.3">
      <c r="A48" s="3">
        <v>2472030</v>
      </c>
      <c r="B48" s="4">
        <v>4.5</v>
      </c>
      <c r="C48" s="4">
        <v>354.5</v>
      </c>
      <c r="D48" s="4">
        <v>4</v>
      </c>
      <c r="E48" s="4">
        <v>4.5</v>
      </c>
    </row>
    <row r="49" spans="1:5" x14ac:dyDescent="0.3">
      <c r="A49" s="3">
        <v>2472032</v>
      </c>
      <c r="B49" s="4">
        <v>4.1428571428571432</v>
      </c>
      <c r="C49" s="4">
        <v>195.57142857142858</v>
      </c>
      <c r="D49" s="4">
        <v>3.7142857142857144</v>
      </c>
      <c r="E49" s="4">
        <v>4.5714285714285712</v>
      </c>
    </row>
    <row r="50" spans="1:5" x14ac:dyDescent="0.3">
      <c r="A50" s="3">
        <v>2472034</v>
      </c>
      <c r="B50" s="4">
        <v>4.25</v>
      </c>
      <c r="C50" s="4">
        <v>494.75</v>
      </c>
      <c r="D50" s="4">
        <v>4</v>
      </c>
      <c r="E50" s="4">
        <v>4.5</v>
      </c>
    </row>
    <row r="51" spans="1:5" x14ac:dyDescent="0.3">
      <c r="A51" s="3">
        <v>2472035</v>
      </c>
      <c r="B51" s="4">
        <v>4.5714285714285712</v>
      </c>
      <c r="C51" s="4">
        <v>549.42857142857144</v>
      </c>
      <c r="D51" s="4">
        <v>3.7142857142857144</v>
      </c>
      <c r="E51" s="4">
        <v>4.7142857142857144</v>
      </c>
    </row>
    <row r="52" spans="1:5" x14ac:dyDescent="0.3">
      <c r="A52" s="3">
        <v>2472037</v>
      </c>
      <c r="B52" s="4">
        <v>4</v>
      </c>
      <c r="C52" s="4">
        <v>66.25</v>
      </c>
      <c r="D52" s="4">
        <v>3.75</v>
      </c>
      <c r="E52" s="4">
        <v>4.75</v>
      </c>
    </row>
    <row r="53" spans="1:5" x14ac:dyDescent="0.3">
      <c r="A53" s="3">
        <v>2472039</v>
      </c>
      <c r="B53" s="4">
        <v>4.4285714285714288</v>
      </c>
      <c r="C53" s="4">
        <v>329.14285714285717</v>
      </c>
      <c r="D53" s="4">
        <v>3.7142857142857144</v>
      </c>
      <c r="E53" s="4">
        <v>4.7142857142857144</v>
      </c>
    </row>
    <row r="54" spans="1:5" x14ac:dyDescent="0.3">
      <c r="A54" s="3">
        <v>2472040</v>
      </c>
      <c r="B54" s="4">
        <v>3.95</v>
      </c>
      <c r="C54" s="4">
        <v>306.60000000000002</v>
      </c>
      <c r="D54" s="4">
        <v>3.55</v>
      </c>
      <c r="E54" s="4">
        <v>4.45</v>
      </c>
    </row>
    <row r="55" spans="1:5" x14ac:dyDescent="0.3">
      <c r="A55" s="3">
        <v>2472041</v>
      </c>
      <c r="B55" s="4">
        <v>4.8888888888888893</v>
      </c>
      <c r="C55" s="4">
        <v>485.55555555555554</v>
      </c>
      <c r="D55" s="4">
        <v>4</v>
      </c>
      <c r="E55" s="4">
        <v>5</v>
      </c>
    </row>
    <row r="56" spans="1:5" x14ac:dyDescent="0.3">
      <c r="A56" s="3">
        <v>2472042</v>
      </c>
      <c r="B56" s="4">
        <v>4.5333333333333332</v>
      </c>
      <c r="C56" s="4">
        <v>499.46666666666664</v>
      </c>
      <c r="D56" s="4">
        <v>3.7333333333333334</v>
      </c>
      <c r="E56" s="4">
        <v>4.7333333333333334</v>
      </c>
    </row>
    <row r="57" spans="1:5" x14ac:dyDescent="0.3">
      <c r="A57" s="3">
        <v>2472043</v>
      </c>
      <c r="B57" s="4">
        <v>4.333333333333333</v>
      </c>
      <c r="C57" s="4">
        <v>664</v>
      </c>
      <c r="D57" s="4">
        <v>3.6666666666666665</v>
      </c>
      <c r="E57" s="4">
        <v>4.5</v>
      </c>
    </row>
    <row r="58" spans="1:5" x14ac:dyDescent="0.3">
      <c r="A58" s="3">
        <v>2472045</v>
      </c>
      <c r="B58" s="4">
        <v>4.5</v>
      </c>
      <c r="C58" s="4">
        <v>548.375</v>
      </c>
      <c r="D58" s="4">
        <v>3.75</v>
      </c>
      <c r="E58" s="4">
        <v>4.625</v>
      </c>
    </row>
    <row r="59" spans="1:5" x14ac:dyDescent="0.3">
      <c r="A59" s="3">
        <v>2472046</v>
      </c>
      <c r="B59" s="4">
        <v>4.1428571428571432</v>
      </c>
      <c r="C59" s="4">
        <v>453.14285714285717</v>
      </c>
      <c r="D59" s="4">
        <v>3.5714285714285716</v>
      </c>
      <c r="E59" s="4">
        <v>4.5714285714285712</v>
      </c>
    </row>
    <row r="60" spans="1:5" x14ac:dyDescent="0.3">
      <c r="A60" s="3">
        <v>2472048</v>
      </c>
      <c r="B60" s="4">
        <v>4.5999999999999996</v>
      </c>
      <c r="C60" s="4">
        <v>718</v>
      </c>
      <c r="D60" s="4">
        <v>3.9</v>
      </c>
      <c r="E60" s="4">
        <v>4.5999999999999996</v>
      </c>
    </row>
    <row r="61" spans="1:5" x14ac:dyDescent="0.3">
      <c r="A61" s="3">
        <v>2472051</v>
      </c>
      <c r="B61" s="4">
        <v>4.333333333333333</v>
      </c>
      <c r="C61" s="4">
        <v>540</v>
      </c>
      <c r="D61" s="4">
        <v>3.6666666666666665</v>
      </c>
      <c r="E61" s="4">
        <v>4.666666666666667</v>
      </c>
    </row>
    <row r="62" spans="1:5" x14ac:dyDescent="0.3">
      <c r="A62" s="3">
        <v>2472052</v>
      </c>
      <c r="B62" s="4">
        <v>5</v>
      </c>
      <c r="C62" s="4">
        <v>454</v>
      </c>
      <c r="D62" s="4">
        <v>4</v>
      </c>
      <c r="E62" s="4">
        <v>5</v>
      </c>
    </row>
    <row r="63" spans="1:5" x14ac:dyDescent="0.3">
      <c r="A63" s="3">
        <v>2472053</v>
      </c>
      <c r="B63" s="4">
        <v>4.5625</v>
      </c>
      <c r="C63" s="4">
        <v>347.6875</v>
      </c>
      <c r="D63" s="4">
        <v>4</v>
      </c>
      <c r="E63" s="4">
        <v>5</v>
      </c>
    </row>
    <row r="64" spans="1:5" x14ac:dyDescent="0.3">
      <c r="A64" s="3">
        <v>2472056</v>
      </c>
      <c r="B64" s="4">
        <v>4.1818181818181817</v>
      </c>
      <c r="C64" s="4">
        <v>389.81818181818181</v>
      </c>
      <c r="D64" s="4">
        <v>3.5454545454545454</v>
      </c>
      <c r="E64" s="4">
        <v>4.4545454545454541</v>
      </c>
    </row>
    <row r="65" spans="1:5" x14ac:dyDescent="0.3">
      <c r="A65" s="3">
        <v>2472057</v>
      </c>
      <c r="B65" s="4">
        <v>4.333333333333333</v>
      </c>
      <c r="C65" s="4">
        <v>632.66666666666663</v>
      </c>
      <c r="D65" s="4">
        <v>3.8333333333333335</v>
      </c>
      <c r="E65" s="4">
        <v>4.666666666666667</v>
      </c>
    </row>
    <row r="66" spans="1:5" x14ac:dyDescent="0.3">
      <c r="A66" s="3">
        <v>2472058</v>
      </c>
      <c r="B66" s="4">
        <v>4.25</v>
      </c>
      <c r="C66" s="4">
        <v>552.875</v>
      </c>
      <c r="D66" s="4">
        <v>3.5</v>
      </c>
      <c r="E66" s="4">
        <v>4.25</v>
      </c>
    </row>
    <row r="67" spans="1:5" x14ac:dyDescent="0.3">
      <c r="A67" s="3">
        <v>2472064</v>
      </c>
      <c r="B67" s="4">
        <v>4.4000000000000004</v>
      </c>
      <c r="C67" s="4">
        <v>665.2</v>
      </c>
      <c r="D67" s="4">
        <v>4</v>
      </c>
      <c r="E67" s="4">
        <v>4.8</v>
      </c>
    </row>
    <row r="68" spans="1:5" x14ac:dyDescent="0.3">
      <c r="A68" s="3">
        <v>2472901</v>
      </c>
      <c r="B68" s="4">
        <v>3.6</v>
      </c>
      <c r="C68" s="4">
        <v>100.8</v>
      </c>
      <c r="D68" s="4">
        <v>3.2</v>
      </c>
      <c r="E68" s="4">
        <v>4</v>
      </c>
    </row>
    <row r="69" spans="1:5" x14ac:dyDescent="0.3">
      <c r="A69" s="3" t="s">
        <v>4231</v>
      </c>
      <c r="B69" s="4">
        <v>4.2577519379844961</v>
      </c>
      <c r="C69" s="4">
        <v>438.53100775193798</v>
      </c>
      <c r="D69" s="4">
        <v>3.7093023255813953</v>
      </c>
      <c r="E69" s="4">
        <v>4.5872093023255811</v>
      </c>
    </row>
    <row r="72" spans="1:5" x14ac:dyDescent="0.3">
      <c r="A72" t="s">
        <v>4246</v>
      </c>
      <c r="B72">
        <f>CORREL($D$4:$D$68, E4:E68)</f>
        <v>0.67371116186492053</v>
      </c>
      <c r="C72" t="s">
        <v>4249</v>
      </c>
    </row>
    <row r="73" spans="1:5" x14ac:dyDescent="0.3">
      <c r="A73" t="s">
        <v>4247</v>
      </c>
      <c r="B73">
        <f>CORREL(D4:D68,B4:B68)</f>
        <v>0.75028601321729305</v>
      </c>
      <c r="C73" t="s">
        <v>4250</v>
      </c>
    </row>
    <row r="74" spans="1:5" x14ac:dyDescent="0.3">
      <c r="A74" t="s">
        <v>4248</v>
      </c>
      <c r="B74">
        <f>CORREL(D4:D68,C4:C68)</f>
        <v>0.10888261407632441</v>
      </c>
      <c r="C74" t="s">
        <v>4251</v>
      </c>
    </row>
    <row r="76" spans="1:5" x14ac:dyDescent="0.3">
      <c r="A76" t="s">
        <v>4252</v>
      </c>
    </row>
    <row r="77" spans="1:5" x14ac:dyDescent="0.3">
      <c r="A77" t="s">
        <v>4253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390D-C019-4263-8EBC-6D18E13C9C82}">
  <dimension ref="A1:L66"/>
  <sheetViews>
    <sheetView workbookViewId="0">
      <selection activeCell="Q23" sqref="Q23"/>
    </sheetView>
  </sheetViews>
  <sheetFormatPr defaultRowHeight="14.4" x14ac:dyDescent="0.3"/>
  <cols>
    <col min="1" max="1" width="10.5546875" bestFit="1" customWidth="1"/>
    <col min="2" max="2" width="20.5546875" bestFit="1" customWidth="1"/>
    <col min="3" max="3" width="17.6640625" bestFit="1" customWidth="1"/>
    <col min="4" max="4" width="12.77734375" bestFit="1" customWidth="1"/>
  </cols>
  <sheetData>
    <row r="1" spans="1:5" x14ac:dyDescent="0.3">
      <c r="A1" t="s">
        <v>4255</v>
      </c>
      <c r="B1" t="s">
        <v>4254</v>
      </c>
      <c r="C1" t="s">
        <v>10</v>
      </c>
      <c r="D1" t="s">
        <v>4256</v>
      </c>
      <c r="E1" t="s">
        <v>4257</v>
      </c>
    </row>
    <row r="2" spans="1:5" x14ac:dyDescent="0.3">
      <c r="A2">
        <v>2172013</v>
      </c>
      <c r="B2">
        <v>4.5</v>
      </c>
      <c r="C2">
        <f>VLOOKUP(A2,'System Efficiency'!$A$4:$I$71,9,0)</f>
        <v>15198</v>
      </c>
      <c r="D2">
        <f>VLOOKUP(A2,'System Efficiency'!$W$4:$AE$71,9,0)</f>
        <v>800</v>
      </c>
      <c r="E2">
        <f>D2/C2</f>
        <v>5.2638505066456114E-2</v>
      </c>
    </row>
    <row r="3" spans="1:5" x14ac:dyDescent="0.3">
      <c r="A3">
        <v>2172022</v>
      </c>
      <c r="B3">
        <v>4</v>
      </c>
      <c r="C3">
        <f>VLOOKUP(A3,'System Efficiency'!$A$4:$I$71,9,0)</f>
        <v>14750</v>
      </c>
      <c r="D3">
        <f>VLOOKUP(A3,'System Efficiency'!$W$4:$AE$71,9,0)</f>
        <v>2612</v>
      </c>
      <c r="E3">
        <f t="shared" ref="E3:E66" si="0">D3/C3</f>
        <v>0.17708474576271185</v>
      </c>
    </row>
    <row r="4" spans="1:5" x14ac:dyDescent="0.3">
      <c r="A4">
        <v>2172025</v>
      </c>
      <c r="B4">
        <v>3.8947368421052633</v>
      </c>
      <c r="C4">
        <f>VLOOKUP(A4,'System Efficiency'!$A$4:$I$71,9,0)</f>
        <v>43027</v>
      </c>
      <c r="D4">
        <f>VLOOKUP(A4,'System Efficiency'!$W$4:$AE$71,9,0)</f>
        <v>8302</v>
      </c>
      <c r="E4">
        <f t="shared" si="0"/>
        <v>0.19294861366118948</v>
      </c>
    </row>
    <row r="5" spans="1:5" x14ac:dyDescent="0.3">
      <c r="A5">
        <v>2272017</v>
      </c>
      <c r="B5">
        <v>3</v>
      </c>
      <c r="C5">
        <f>VLOOKUP(A5,'System Efficiency'!$A$4:$I$71,9,0)</f>
        <v>1604</v>
      </c>
      <c r="D5">
        <f>VLOOKUP(A5,'System Efficiency'!$W$4:$AE$71,9,0)</f>
        <v>130</v>
      </c>
      <c r="E5">
        <f t="shared" si="0"/>
        <v>8.1047381546134667E-2</v>
      </c>
    </row>
    <row r="6" spans="1:5" x14ac:dyDescent="0.3">
      <c r="A6">
        <v>2372004</v>
      </c>
      <c r="B6">
        <v>3.5</v>
      </c>
      <c r="C6">
        <f>VLOOKUP(A6,'System Efficiency'!$A$4:$I$71,9,0)</f>
        <v>10520</v>
      </c>
      <c r="D6">
        <f>VLOOKUP(A6,'System Efficiency'!$W$4:$AE$71,9,0)</f>
        <v>690</v>
      </c>
      <c r="E6">
        <f t="shared" si="0"/>
        <v>6.5589353612167306E-2</v>
      </c>
    </row>
    <row r="7" spans="1:5" x14ac:dyDescent="0.3">
      <c r="A7">
        <v>2372006</v>
      </c>
      <c r="B7">
        <v>4.25</v>
      </c>
      <c r="C7">
        <f>VLOOKUP(A7,'System Efficiency'!$A$4:$I$71,9,0)</f>
        <v>9980</v>
      </c>
      <c r="D7">
        <f>VLOOKUP(A7,'System Efficiency'!$W$4:$AE$71,9,0)</f>
        <v>2632</v>
      </c>
      <c r="E7">
        <f t="shared" si="0"/>
        <v>0.26372745490981964</v>
      </c>
    </row>
    <row r="8" spans="1:5" x14ac:dyDescent="0.3">
      <c r="A8">
        <v>2372012</v>
      </c>
      <c r="B8">
        <v>3.875</v>
      </c>
      <c r="C8">
        <f>VLOOKUP(A8,'System Efficiency'!$A$4:$I$71,9,0)</f>
        <v>3958</v>
      </c>
      <c r="D8">
        <f>VLOOKUP(A8,'System Efficiency'!$W$4:$AE$71,9,0)</f>
        <v>1616</v>
      </c>
      <c r="E8">
        <f t="shared" si="0"/>
        <v>0.40828701364325415</v>
      </c>
    </row>
    <row r="9" spans="1:5" x14ac:dyDescent="0.3">
      <c r="A9">
        <v>2372017</v>
      </c>
      <c r="B9">
        <v>4.333333333333333</v>
      </c>
      <c r="C9">
        <f>VLOOKUP(A9,'System Efficiency'!$A$4:$I$71,9,0)</f>
        <v>4564</v>
      </c>
      <c r="D9">
        <f>VLOOKUP(A9,'System Efficiency'!$W$4:$AE$71,9,0)</f>
        <v>1653</v>
      </c>
      <c r="E9">
        <f t="shared" si="0"/>
        <v>0.36218229623137599</v>
      </c>
    </row>
    <row r="10" spans="1:5" x14ac:dyDescent="0.3">
      <c r="A10">
        <v>2372019</v>
      </c>
      <c r="B10">
        <v>3.6</v>
      </c>
      <c r="C10">
        <f>VLOOKUP(A10,'System Efficiency'!$A$4:$I$71,9,0)</f>
        <v>8127</v>
      </c>
      <c r="D10">
        <f>VLOOKUP(A10,'System Efficiency'!$W$4:$AE$71,9,0)</f>
        <v>1927</v>
      </c>
      <c r="E10">
        <f t="shared" si="0"/>
        <v>0.23711086501784176</v>
      </c>
    </row>
    <row r="11" spans="1:5" x14ac:dyDescent="0.3">
      <c r="A11">
        <v>2372022</v>
      </c>
      <c r="B11">
        <v>3.5</v>
      </c>
      <c r="C11">
        <f>VLOOKUP(A11,'System Efficiency'!$A$4:$I$71,9,0)</f>
        <v>3455</v>
      </c>
      <c r="D11">
        <f>VLOOKUP(A11,'System Efficiency'!$W$4:$AE$71,9,0)</f>
        <v>521</v>
      </c>
      <c r="E11">
        <f t="shared" si="0"/>
        <v>0.1507959479015919</v>
      </c>
    </row>
    <row r="12" spans="1:5" x14ac:dyDescent="0.3">
      <c r="A12">
        <v>2372027</v>
      </c>
      <c r="B12">
        <v>4.166666666666667</v>
      </c>
      <c r="C12">
        <f>VLOOKUP(A12,'System Efficiency'!$A$4:$I$71,9,0)</f>
        <v>15017</v>
      </c>
      <c r="D12">
        <f>VLOOKUP(A12,'System Efficiency'!$W$4:$AE$71,9,0)</f>
        <v>1125</v>
      </c>
      <c r="E12">
        <f t="shared" si="0"/>
        <v>7.4915096224279151E-2</v>
      </c>
    </row>
    <row r="13" spans="1:5" x14ac:dyDescent="0.3">
      <c r="A13">
        <v>2372028</v>
      </c>
      <c r="B13">
        <v>4.333333333333333</v>
      </c>
      <c r="C13">
        <f>VLOOKUP(A13,'System Efficiency'!$A$4:$I$71,9,0)</f>
        <v>19760</v>
      </c>
      <c r="D13">
        <f>VLOOKUP(A13,'System Efficiency'!$W$4:$AE$71,9,0)</f>
        <v>5107</v>
      </c>
      <c r="E13">
        <f t="shared" si="0"/>
        <v>0.25845141700404856</v>
      </c>
    </row>
    <row r="14" spans="1:5" x14ac:dyDescent="0.3">
      <c r="A14">
        <v>2372036</v>
      </c>
      <c r="B14">
        <v>4.333333333333333</v>
      </c>
      <c r="C14">
        <f>VLOOKUP(A14,'System Efficiency'!$A$4:$I$71,9,0)</f>
        <v>21102</v>
      </c>
      <c r="D14">
        <f>VLOOKUP(A14,'System Efficiency'!$W$4:$AE$71,9,0)</f>
        <v>5539</v>
      </c>
      <c r="E14">
        <f t="shared" si="0"/>
        <v>0.26248696805989952</v>
      </c>
    </row>
    <row r="15" spans="1:5" x14ac:dyDescent="0.3">
      <c r="A15">
        <v>2372041</v>
      </c>
      <c r="B15">
        <v>4.625</v>
      </c>
      <c r="C15">
        <f>VLOOKUP(A15,'System Efficiency'!$A$4:$I$71,9,0)</f>
        <v>11593</v>
      </c>
      <c r="D15">
        <f>VLOOKUP(A15,'System Efficiency'!$W$4:$AE$71,9,0)</f>
        <v>4840</v>
      </c>
      <c r="E15">
        <f t="shared" si="0"/>
        <v>0.41749331493142411</v>
      </c>
    </row>
    <row r="16" spans="1:5" x14ac:dyDescent="0.3">
      <c r="A16">
        <v>2372042</v>
      </c>
      <c r="B16">
        <v>4</v>
      </c>
      <c r="C16">
        <f>VLOOKUP(A16,'System Efficiency'!$A$4:$I$71,9,0)</f>
        <v>13066</v>
      </c>
      <c r="D16">
        <f>VLOOKUP(A16,'System Efficiency'!$W$4:$AE$71,9,0)</f>
        <v>2610</v>
      </c>
      <c r="E16">
        <f t="shared" si="0"/>
        <v>0.19975508954538496</v>
      </c>
    </row>
    <row r="17" spans="1:12" x14ac:dyDescent="0.3">
      <c r="A17">
        <v>2372050</v>
      </c>
      <c r="B17">
        <v>4.25</v>
      </c>
      <c r="C17">
        <f>VLOOKUP(A17,'System Efficiency'!$A$4:$I$71,9,0)</f>
        <v>6458</v>
      </c>
      <c r="D17">
        <f>VLOOKUP(A17,'System Efficiency'!$W$4:$AE$71,9,0)</f>
        <v>1585</v>
      </c>
      <c r="E17">
        <f t="shared" si="0"/>
        <v>0.24543202229792505</v>
      </c>
    </row>
    <row r="18" spans="1:12" x14ac:dyDescent="0.3">
      <c r="A18">
        <v>2372059</v>
      </c>
      <c r="B18">
        <v>3.8333333333333335</v>
      </c>
      <c r="C18">
        <f>VLOOKUP(A18,'System Efficiency'!$A$4:$I$71,9,0)</f>
        <v>10188</v>
      </c>
      <c r="D18">
        <f>VLOOKUP(A18,'System Efficiency'!$W$4:$AE$71,9,0)</f>
        <v>1034</v>
      </c>
      <c r="E18">
        <f t="shared" si="0"/>
        <v>0.10149195131527287</v>
      </c>
    </row>
    <row r="19" spans="1:12" x14ac:dyDescent="0.3">
      <c r="A19">
        <v>2372062</v>
      </c>
      <c r="B19">
        <v>4.5</v>
      </c>
      <c r="C19">
        <f>VLOOKUP(A19,'System Efficiency'!$A$4:$I$71,9,0)</f>
        <v>3811</v>
      </c>
      <c r="D19">
        <f>VLOOKUP(A19,'System Efficiency'!$W$4:$AE$71,9,0)</f>
        <v>308</v>
      </c>
      <c r="E19">
        <f t="shared" si="0"/>
        <v>8.0818682760430333E-2</v>
      </c>
    </row>
    <row r="20" spans="1:12" x14ac:dyDescent="0.3">
      <c r="A20">
        <v>2372063</v>
      </c>
      <c r="B20">
        <v>4.5</v>
      </c>
      <c r="C20">
        <f>VLOOKUP(A20,'System Efficiency'!$A$4:$I$71,9,0)</f>
        <v>15682</v>
      </c>
      <c r="D20">
        <f>VLOOKUP(A20,'System Efficiency'!$W$4:$AE$71,9,0)</f>
        <v>1758</v>
      </c>
      <c r="E20">
        <f t="shared" si="0"/>
        <v>0.11210304808060197</v>
      </c>
    </row>
    <row r="21" spans="1:12" x14ac:dyDescent="0.3">
      <c r="A21">
        <v>2372902</v>
      </c>
      <c r="B21">
        <v>4.333333333333333</v>
      </c>
      <c r="C21">
        <f>VLOOKUP(A21,'System Efficiency'!$A$4:$I$71,9,0)</f>
        <v>9770</v>
      </c>
      <c r="D21">
        <f>VLOOKUP(A21,'System Efficiency'!$W$4:$AE$71,9,0)</f>
        <v>2201</v>
      </c>
      <c r="E21">
        <f t="shared" si="0"/>
        <v>0.22528147389969294</v>
      </c>
    </row>
    <row r="22" spans="1:12" ht="14.4" customHeight="1" x14ac:dyDescent="0.3">
      <c r="A22">
        <v>2472001</v>
      </c>
      <c r="B22">
        <v>4.4545454545454541</v>
      </c>
      <c r="C22">
        <f>VLOOKUP(A22,'System Efficiency'!$A$4:$I$71,9,0)</f>
        <v>11619</v>
      </c>
      <c r="D22">
        <f>VLOOKUP(A22,'System Efficiency'!$W$4:$AE$71,9,0)</f>
        <v>1790</v>
      </c>
      <c r="E22">
        <f t="shared" si="0"/>
        <v>0.1540580084344608</v>
      </c>
      <c r="G22" s="19" t="s">
        <v>4258</v>
      </c>
      <c r="H22" s="19"/>
      <c r="I22" s="19"/>
      <c r="J22" s="19"/>
      <c r="K22" s="19"/>
      <c r="L22" s="19"/>
    </row>
    <row r="23" spans="1:12" x14ac:dyDescent="0.3">
      <c r="A23">
        <v>2472003</v>
      </c>
      <c r="B23">
        <v>4.5</v>
      </c>
      <c r="C23">
        <f>VLOOKUP(A23,'System Efficiency'!$A$4:$I$71,9,0)</f>
        <v>3495</v>
      </c>
      <c r="D23">
        <f>VLOOKUP(A23,'System Efficiency'!$W$4:$AE$71,9,0)</f>
        <v>652</v>
      </c>
      <c r="E23">
        <f t="shared" si="0"/>
        <v>0.186552217453505</v>
      </c>
      <c r="G23" s="19"/>
      <c r="H23" s="19"/>
      <c r="I23" s="19"/>
      <c r="J23" s="19"/>
      <c r="K23" s="19"/>
      <c r="L23" s="19"/>
    </row>
    <row r="24" spans="1:12" x14ac:dyDescent="0.3">
      <c r="A24">
        <v>2472005</v>
      </c>
      <c r="B24">
        <v>3</v>
      </c>
      <c r="C24">
        <f>VLOOKUP(A24,'System Efficiency'!$A$4:$I$71,9,0)</f>
        <v>11945</v>
      </c>
      <c r="D24">
        <f>VLOOKUP(A24,'System Efficiency'!$W$4:$AE$71,9,0)</f>
        <v>2784</v>
      </c>
      <c r="E24">
        <f t="shared" si="0"/>
        <v>0.23306822938467978</v>
      </c>
      <c r="G24" s="19"/>
      <c r="H24" s="19"/>
      <c r="I24" s="19"/>
      <c r="J24" s="19"/>
      <c r="K24" s="19"/>
      <c r="L24" s="19"/>
    </row>
    <row r="25" spans="1:12" x14ac:dyDescent="0.3">
      <c r="A25">
        <v>2472007</v>
      </c>
      <c r="B25">
        <v>4.666666666666667</v>
      </c>
      <c r="C25">
        <f>VLOOKUP(A25,'System Efficiency'!$A$4:$I$71,9,0)</f>
        <v>54678</v>
      </c>
      <c r="D25">
        <f>VLOOKUP(A25,'System Efficiency'!$W$4:$AE$71,9,0)</f>
        <v>9652</v>
      </c>
      <c r="E25">
        <f t="shared" si="0"/>
        <v>0.17652437909213944</v>
      </c>
      <c r="G25" s="19"/>
      <c r="H25" s="19"/>
      <c r="I25" s="19"/>
      <c r="J25" s="19"/>
      <c r="K25" s="19"/>
      <c r="L25" s="19"/>
    </row>
    <row r="26" spans="1:12" x14ac:dyDescent="0.3">
      <c r="A26">
        <v>2472008</v>
      </c>
      <c r="B26">
        <v>4.4285714285714288</v>
      </c>
      <c r="C26">
        <f>VLOOKUP(A26,'System Efficiency'!$A$4:$I$71,9,0)</f>
        <v>50674</v>
      </c>
      <c r="D26">
        <f>VLOOKUP(A26,'System Efficiency'!$W$4:$AE$71,9,0)</f>
        <v>9825</v>
      </c>
      <c r="E26">
        <f t="shared" si="0"/>
        <v>0.1938864111773296</v>
      </c>
      <c r="G26" s="19"/>
      <c r="H26" s="19"/>
      <c r="I26" s="19"/>
      <c r="J26" s="19"/>
      <c r="K26" s="19"/>
      <c r="L26" s="19"/>
    </row>
    <row r="27" spans="1:12" x14ac:dyDescent="0.3">
      <c r="A27">
        <v>2472009</v>
      </c>
      <c r="B27">
        <v>4</v>
      </c>
      <c r="C27">
        <f>VLOOKUP(A27,'System Efficiency'!$A$4:$I$71,9,0)</f>
        <v>7816</v>
      </c>
      <c r="D27">
        <f>VLOOKUP(A27,'System Efficiency'!$W$4:$AE$71,9,0)</f>
        <v>1149</v>
      </c>
      <c r="E27">
        <f t="shared" si="0"/>
        <v>0.14700614124872058</v>
      </c>
      <c r="G27" s="19"/>
      <c r="H27" s="19"/>
      <c r="I27" s="19"/>
      <c r="J27" s="19"/>
      <c r="K27" s="19"/>
      <c r="L27" s="19"/>
    </row>
    <row r="28" spans="1:12" x14ac:dyDescent="0.3">
      <c r="A28">
        <v>2472010</v>
      </c>
      <c r="B28">
        <v>4.7272727272727275</v>
      </c>
      <c r="C28">
        <f>VLOOKUP(A28,'System Efficiency'!$A$4:$I$71,9,0)</f>
        <v>19286</v>
      </c>
      <c r="D28">
        <f>VLOOKUP(A28,'System Efficiency'!$W$4:$AE$71,9,0)</f>
        <v>3710</v>
      </c>
      <c r="E28">
        <f t="shared" si="0"/>
        <v>0.19236752048117806</v>
      </c>
      <c r="G28" s="19"/>
      <c r="H28" s="19"/>
      <c r="I28" s="19"/>
      <c r="J28" s="19"/>
      <c r="K28" s="19"/>
      <c r="L28" s="19"/>
    </row>
    <row r="29" spans="1:12" x14ac:dyDescent="0.3">
      <c r="A29">
        <v>2472011</v>
      </c>
      <c r="B29">
        <v>4.333333333333333</v>
      </c>
      <c r="C29">
        <f>VLOOKUP(A29,'System Efficiency'!$A$4:$I$71,9,0)</f>
        <v>25683</v>
      </c>
      <c r="D29">
        <f>VLOOKUP(A29,'System Efficiency'!$W$4:$AE$71,9,0)</f>
        <v>5204</v>
      </c>
      <c r="E29">
        <f t="shared" si="0"/>
        <v>0.20262430401432854</v>
      </c>
      <c r="G29" s="19"/>
      <c r="H29" s="19"/>
      <c r="I29" s="19"/>
      <c r="J29" s="19"/>
      <c r="K29" s="19"/>
      <c r="L29" s="19"/>
    </row>
    <row r="30" spans="1:12" x14ac:dyDescent="0.3">
      <c r="A30">
        <v>2472012</v>
      </c>
      <c r="B30">
        <v>4.666666666666667</v>
      </c>
      <c r="C30">
        <f>VLOOKUP(A30,'System Efficiency'!$A$4:$I$71,9,0)</f>
        <v>11923</v>
      </c>
      <c r="D30">
        <f>VLOOKUP(A30,'System Efficiency'!$W$4:$AE$71,9,0)</f>
        <v>2097</v>
      </c>
      <c r="E30">
        <f t="shared" si="0"/>
        <v>0.17587855405518746</v>
      </c>
      <c r="G30" s="19"/>
      <c r="H30" s="19"/>
      <c r="I30" s="19"/>
      <c r="J30" s="19"/>
      <c r="K30" s="19"/>
      <c r="L30" s="19"/>
    </row>
    <row r="31" spans="1:12" x14ac:dyDescent="0.3">
      <c r="A31">
        <v>2472013</v>
      </c>
      <c r="B31">
        <v>1</v>
      </c>
      <c r="C31">
        <f>VLOOKUP(A31,'System Efficiency'!$A$4:$I$71,9,0)</f>
        <v>7674</v>
      </c>
      <c r="D31">
        <f>VLOOKUP(A31,'System Efficiency'!$W$4:$AE$71,9,0)</f>
        <v>1145</v>
      </c>
      <c r="E31">
        <f t="shared" si="0"/>
        <v>0.14920510815741464</v>
      </c>
    </row>
    <row r="32" spans="1:12" x14ac:dyDescent="0.3">
      <c r="A32">
        <v>2472014</v>
      </c>
      <c r="B32">
        <v>4.4000000000000004</v>
      </c>
      <c r="C32">
        <f>VLOOKUP(A32,'System Efficiency'!$A$4:$I$71,9,0)</f>
        <v>12235</v>
      </c>
      <c r="D32">
        <f>VLOOKUP(A32,'System Efficiency'!$W$4:$AE$71,9,0)</f>
        <v>1732</v>
      </c>
      <c r="E32">
        <f t="shared" si="0"/>
        <v>0.14156109521863505</v>
      </c>
    </row>
    <row r="33" spans="1:5" x14ac:dyDescent="0.3">
      <c r="A33">
        <v>2472017</v>
      </c>
      <c r="B33">
        <v>4.4000000000000004</v>
      </c>
      <c r="C33">
        <f>VLOOKUP(A33,'System Efficiency'!$A$4:$I$71,9,0)</f>
        <v>36963</v>
      </c>
      <c r="D33">
        <f>VLOOKUP(A33,'System Efficiency'!$W$4:$AE$71,9,0)</f>
        <v>9702</v>
      </c>
      <c r="E33">
        <f t="shared" si="0"/>
        <v>0.26247869491112735</v>
      </c>
    </row>
    <row r="34" spans="1:5" x14ac:dyDescent="0.3">
      <c r="A34">
        <v>2472018</v>
      </c>
      <c r="B34">
        <v>4.333333333333333</v>
      </c>
      <c r="C34">
        <f>VLOOKUP(A34,'System Efficiency'!$A$4:$I$71,9,0)</f>
        <v>27513</v>
      </c>
      <c r="D34">
        <f>VLOOKUP(A34,'System Efficiency'!$W$4:$AE$71,9,0)</f>
        <v>6519</v>
      </c>
      <c r="E34">
        <f t="shared" si="0"/>
        <v>0.23694253625558825</v>
      </c>
    </row>
    <row r="35" spans="1:5" x14ac:dyDescent="0.3">
      <c r="A35">
        <v>2472019</v>
      </c>
      <c r="B35">
        <v>4.666666666666667</v>
      </c>
      <c r="C35">
        <f>VLOOKUP(A35,'System Efficiency'!$A$4:$I$71,9,0)</f>
        <v>10723</v>
      </c>
      <c r="D35">
        <f>VLOOKUP(A35,'System Efficiency'!$W$4:$AE$71,9,0)</f>
        <v>3937</v>
      </c>
      <c r="E35">
        <f t="shared" si="0"/>
        <v>0.3671547141658118</v>
      </c>
    </row>
    <row r="36" spans="1:5" x14ac:dyDescent="0.3">
      <c r="A36">
        <v>2472020</v>
      </c>
      <c r="B36">
        <v>4.2666666666666666</v>
      </c>
      <c r="C36">
        <f>VLOOKUP(A36,'System Efficiency'!$A$4:$I$71,9,0)</f>
        <v>41839</v>
      </c>
      <c r="D36">
        <f>VLOOKUP(A36,'System Efficiency'!$W$4:$AE$71,9,0)</f>
        <v>6707</v>
      </c>
      <c r="E36">
        <f t="shared" si="0"/>
        <v>0.16030497860847534</v>
      </c>
    </row>
    <row r="37" spans="1:5" x14ac:dyDescent="0.3">
      <c r="A37">
        <v>2472021</v>
      </c>
      <c r="B37">
        <v>4.4285714285714288</v>
      </c>
      <c r="C37">
        <f>VLOOKUP(A37,'System Efficiency'!$A$4:$I$71,9,0)</f>
        <v>14636</v>
      </c>
      <c r="D37">
        <f>VLOOKUP(A37,'System Efficiency'!$W$4:$AE$71,9,0)</f>
        <v>2283</v>
      </c>
      <c r="E37">
        <f t="shared" si="0"/>
        <v>0.15598524186936322</v>
      </c>
    </row>
    <row r="38" spans="1:5" x14ac:dyDescent="0.3">
      <c r="A38">
        <v>2472022</v>
      </c>
      <c r="B38">
        <v>3.8333333333333335</v>
      </c>
      <c r="C38">
        <f>VLOOKUP(A38,'System Efficiency'!$A$4:$I$71,9,0)</f>
        <v>13210</v>
      </c>
      <c r="D38">
        <f>VLOOKUP(A38,'System Efficiency'!$W$4:$AE$71,9,0)</f>
        <v>4099</v>
      </c>
      <c r="E38">
        <f t="shared" si="0"/>
        <v>0.31029523088569266</v>
      </c>
    </row>
    <row r="39" spans="1:5" x14ac:dyDescent="0.3">
      <c r="A39">
        <v>2472023</v>
      </c>
      <c r="B39">
        <v>4.1428571428571432</v>
      </c>
      <c r="C39">
        <f>VLOOKUP(A39,'System Efficiency'!$A$4:$I$71,9,0)</f>
        <v>4924</v>
      </c>
      <c r="D39">
        <f>VLOOKUP(A39,'System Efficiency'!$W$4:$AE$71,9,0)</f>
        <v>1246</v>
      </c>
      <c r="E39">
        <f t="shared" si="0"/>
        <v>0.25304630381803411</v>
      </c>
    </row>
    <row r="40" spans="1:5" x14ac:dyDescent="0.3">
      <c r="A40">
        <v>2472024</v>
      </c>
      <c r="B40">
        <v>4.416666666666667</v>
      </c>
      <c r="C40">
        <f>VLOOKUP(A40,'System Efficiency'!$A$4:$I$71,9,0)</f>
        <v>19463</v>
      </c>
      <c r="D40">
        <f>VLOOKUP(A40,'System Efficiency'!$W$4:$AE$71,9,0)</f>
        <v>3734</v>
      </c>
      <c r="E40">
        <f t="shared" si="0"/>
        <v>0.19185120485022863</v>
      </c>
    </row>
    <row r="41" spans="1:5" x14ac:dyDescent="0.3">
      <c r="A41">
        <v>2472025</v>
      </c>
      <c r="B41">
        <v>4.625</v>
      </c>
      <c r="C41">
        <f>VLOOKUP(A41,'System Efficiency'!$A$4:$I$71,9,0)</f>
        <v>14881</v>
      </c>
      <c r="D41">
        <f>VLOOKUP(A41,'System Efficiency'!$W$4:$AE$71,9,0)</f>
        <v>5429</v>
      </c>
      <c r="E41">
        <f t="shared" si="0"/>
        <v>0.36482763255157585</v>
      </c>
    </row>
    <row r="42" spans="1:5" x14ac:dyDescent="0.3">
      <c r="A42">
        <v>2472026</v>
      </c>
      <c r="B42">
        <v>3.5</v>
      </c>
      <c r="C42">
        <f>VLOOKUP(A42,'System Efficiency'!$A$4:$I$71,9,0)</f>
        <v>4624</v>
      </c>
      <c r="D42">
        <f>VLOOKUP(A42,'System Efficiency'!$W$4:$AE$71,9,0)</f>
        <v>356</v>
      </c>
      <c r="E42">
        <f t="shared" si="0"/>
        <v>7.698961937716263E-2</v>
      </c>
    </row>
    <row r="43" spans="1:5" x14ac:dyDescent="0.3">
      <c r="A43">
        <v>2472027</v>
      </c>
      <c r="B43">
        <v>4.3</v>
      </c>
      <c r="C43">
        <f>VLOOKUP(A43,'System Efficiency'!$A$4:$I$71,9,0)</f>
        <v>17188</v>
      </c>
      <c r="D43">
        <f>VLOOKUP(A43,'System Efficiency'!$W$4:$AE$71,9,0)</f>
        <v>4080</v>
      </c>
      <c r="E43">
        <f t="shared" si="0"/>
        <v>0.23737491272981151</v>
      </c>
    </row>
    <row r="44" spans="1:5" x14ac:dyDescent="0.3">
      <c r="A44">
        <v>2472028</v>
      </c>
      <c r="B44">
        <v>3.8333333333333335</v>
      </c>
      <c r="C44">
        <f>VLOOKUP(A44,'System Efficiency'!$A$4:$I$71,9,0)</f>
        <v>8305</v>
      </c>
      <c r="D44">
        <f>VLOOKUP(A44,'System Efficiency'!$W$4:$AE$71,9,0)</f>
        <v>2235</v>
      </c>
      <c r="E44">
        <f t="shared" si="0"/>
        <v>0.26911499096929559</v>
      </c>
    </row>
    <row r="45" spans="1:5" x14ac:dyDescent="0.3">
      <c r="A45">
        <v>2472029</v>
      </c>
      <c r="B45">
        <v>3.8</v>
      </c>
      <c r="C45">
        <f>VLOOKUP(A45,'System Efficiency'!$A$4:$I$71,9,0)</f>
        <v>62117</v>
      </c>
      <c r="D45">
        <f>VLOOKUP(A45,'System Efficiency'!$W$4:$AE$71,9,0)</f>
        <v>15988</v>
      </c>
      <c r="E45">
        <f t="shared" si="0"/>
        <v>0.25738525685400132</v>
      </c>
    </row>
    <row r="46" spans="1:5" x14ac:dyDescent="0.3">
      <c r="A46">
        <v>2472030</v>
      </c>
      <c r="B46">
        <v>4.5</v>
      </c>
      <c r="C46">
        <f>VLOOKUP(A46,'System Efficiency'!$A$4:$I$71,9,0)</f>
        <v>10626</v>
      </c>
      <c r="D46">
        <f>VLOOKUP(A46,'System Efficiency'!$W$4:$AE$71,9,0)</f>
        <v>709</v>
      </c>
      <c r="E46">
        <f t="shared" si="0"/>
        <v>6.6723131940523248E-2</v>
      </c>
    </row>
    <row r="47" spans="1:5" x14ac:dyDescent="0.3">
      <c r="A47">
        <v>2472032</v>
      </c>
      <c r="B47">
        <v>4.1428571428571432</v>
      </c>
      <c r="C47">
        <f>VLOOKUP(A47,'System Efficiency'!$A$4:$I$71,9,0)</f>
        <v>7628</v>
      </c>
      <c r="D47">
        <f>VLOOKUP(A47,'System Efficiency'!$W$4:$AE$71,9,0)</f>
        <v>1369</v>
      </c>
      <c r="E47">
        <f t="shared" si="0"/>
        <v>0.17947037231253277</v>
      </c>
    </row>
    <row r="48" spans="1:5" x14ac:dyDescent="0.3">
      <c r="A48">
        <v>2472034</v>
      </c>
      <c r="B48">
        <v>4.25</v>
      </c>
      <c r="C48">
        <f>VLOOKUP(A48,'System Efficiency'!$A$4:$I$71,9,0)</f>
        <v>14776</v>
      </c>
      <c r="D48">
        <f>VLOOKUP(A48,'System Efficiency'!$W$4:$AE$71,9,0)</f>
        <v>1979</v>
      </c>
      <c r="E48">
        <f t="shared" si="0"/>
        <v>0.13393340552246888</v>
      </c>
    </row>
    <row r="49" spans="1:5" x14ac:dyDescent="0.3">
      <c r="A49">
        <v>2472035</v>
      </c>
      <c r="B49">
        <v>4.5714285714285712</v>
      </c>
      <c r="C49">
        <f>VLOOKUP(A49,'System Efficiency'!$A$4:$I$71,9,0)</f>
        <v>16592</v>
      </c>
      <c r="D49">
        <f>VLOOKUP(A49,'System Efficiency'!$W$4:$AE$71,9,0)</f>
        <v>3846</v>
      </c>
      <c r="E49">
        <f t="shared" si="0"/>
        <v>0.23179845708775312</v>
      </c>
    </row>
    <row r="50" spans="1:5" x14ac:dyDescent="0.3">
      <c r="A50">
        <v>2472037</v>
      </c>
      <c r="B50">
        <v>4</v>
      </c>
      <c r="C50">
        <f>VLOOKUP(A50,'System Efficiency'!$A$4:$I$71,9,0)</f>
        <v>8349</v>
      </c>
      <c r="D50">
        <f>VLOOKUP(A50,'System Efficiency'!$W$4:$AE$71,9,0)</f>
        <v>265</v>
      </c>
      <c r="E50">
        <f t="shared" si="0"/>
        <v>3.1740328183015927E-2</v>
      </c>
    </row>
    <row r="51" spans="1:5" x14ac:dyDescent="0.3">
      <c r="A51">
        <v>2472039</v>
      </c>
      <c r="B51">
        <v>4.4285714285714288</v>
      </c>
      <c r="C51">
        <f>VLOOKUP(A51,'System Efficiency'!$A$4:$I$71,9,0)</f>
        <v>16213</v>
      </c>
      <c r="D51">
        <f>VLOOKUP(A51,'System Efficiency'!$W$4:$AE$71,9,0)</f>
        <v>2304</v>
      </c>
      <c r="E51">
        <f t="shared" si="0"/>
        <v>0.14210818478998336</v>
      </c>
    </row>
    <row r="52" spans="1:5" x14ac:dyDescent="0.3">
      <c r="A52">
        <v>2472040</v>
      </c>
      <c r="B52">
        <v>3.95</v>
      </c>
      <c r="C52">
        <f>VLOOKUP(A52,'System Efficiency'!$A$4:$I$71,9,0)</f>
        <v>23414</v>
      </c>
      <c r="D52">
        <f>VLOOKUP(A52,'System Efficiency'!$W$4:$AE$71,9,0)</f>
        <v>6132</v>
      </c>
      <c r="E52">
        <f t="shared" si="0"/>
        <v>0.26189459297855983</v>
      </c>
    </row>
    <row r="53" spans="1:5" x14ac:dyDescent="0.3">
      <c r="A53">
        <v>2472041</v>
      </c>
      <c r="B53">
        <v>4.8888888888888893</v>
      </c>
      <c r="C53">
        <f>VLOOKUP(A53,'System Efficiency'!$A$4:$I$71,9,0)</f>
        <v>9213</v>
      </c>
      <c r="D53">
        <f>VLOOKUP(A53,'System Efficiency'!$W$4:$AE$71,9,0)</f>
        <v>4370</v>
      </c>
      <c r="E53">
        <f t="shared" si="0"/>
        <v>0.47432975143818518</v>
      </c>
    </row>
    <row r="54" spans="1:5" x14ac:dyDescent="0.3">
      <c r="A54">
        <v>2472042</v>
      </c>
      <c r="B54">
        <v>4.5333333333333332</v>
      </c>
      <c r="C54">
        <f>VLOOKUP(A54,'System Efficiency'!$A$4:$I$71,9,0)</f>
        <v>43443</v>
      </c>
      <c r="D54">
        <f>VLOOKUP(A54,'System Efficiency'!$W$4:$AE$71,9,0)</f>
        <v>7492</v>
      </c>
      <c r="E54">
        <f t="shared" si="0"/>
        <v>0.17245586170384181</v>
      </c>
    </row>
    <row r="55" spans="1:5" x14ac:dyDescent="0.3">
      <c r="A55">
        <v>2472043</v>
      </c>
      <c r="B55">
        <v>4.333333333333333</v>
      </c>
      <c r="C55">
        <f>VLOOKUP(A55,'System Efficiency'!$A$4:$I$71,9,0)</f>
        <v>21861</v>
      </c>
      <c r="D55">
        <f>VLOOKUP(A55,'System Efficiency'!$W$4:$AE$71,9,0)</f>
        <v>3984</v>
      </c>
      <c r="E55">
        <f t="shared" si="0"/>
        <v>0.18224234938932346</v>
      </c>
    </row>
    <row r="56" spans="1:5" x14ac:dyDescent="0.3">
      <c r="A56">
        <v>2472045</v>
      </c>
      <c r="B56">
        <v>4.5</v>
      </c>
      <c r="C56">
        <f>VLOOKUP(A56,'System Efficiency'!$A$4:$I$71,9,0)</f>
        <v>13605</v>
      </c>
      <c r="D56">
        <f>VLOOKUP(A56,'System Efficiency'!$W$4:$AE$71,9,0)</f>
        <v>4387</v>
      </c>
      <c r="E56">
        <f t="shared" si="0"/>
        <v>0.32245497978684307</v>
      </c>
    </row>
    <row r="57" spans="1:5" x14ac:dyDescent="0.3">
      <c r="A57">
        <v>2472046</v>
      </c>
      <c r="B57">
        <v>4.1428571428571432</v>
      </c>
      <c r="C57">
        <f>VLOOKUP(A57,'System Efficiency'!$A$4:$I$71,9,0)</f>
        <v>18222</v>
      </c>
      <c r="D57">
        <f>VLOOKUP(A57,'System Efficiency'!$W$4:$AE$71,9,0)</f>
        <v>3172</v>
      </c>
      <c r="E57">
        <f t="shared" si="0"/>
        <v>0.17407529360114149</v>
      </c>
    </row>
    <row r="58" spans="1:5" x14ac:dyDescent="0.3">
      <c r="A58">
        <v>2472048</v>
      </c>
      <c r="B58">
        <v>4.5999999999999996</v>
      </c>
      <c r="C58">
        <f>VLOOKUP(A58,'System Efficiency'!$A$4:$I$71,9,0)</f>
        <v>27956</v>
      </c>
      <c r="D58">
        <f>VLOOKUP(A58,'System Efficiency'!$W$4:$AE$71,9,0)</f>
        <v>7180</v>
      </c>
      <c r="E58">
        <f t="shared" si="0"/>
        <v>0.25683216483044785</v>
      </c>
    </row>
    <row r="59" spans="1:5" x14ac:dyDescent="0.3">
      <c r="A59">
        <v>2472051</v>
      </c>
      <c r="B59">
        <v>4.333333333333333</v>
      </c>
      <c r="C59">
        <f>VLOOKUP(A59,'System Efficiency'!$A$4:$I$71,9,0)</f>
        <v>14133</v>
      </c>
      <c r="D59">
        <f>VLOOKUP(A59,'System Efficiency'!$W$4:$AE$71,9,0)</f>
        <v>3240</v>
      </c>
      <c r="E59">
        <f t="shared" si="0"/>
        <v>0.22925068987476119</v>
      </c>
    </row>
    <row r="60" spans="1:5" x14ac:dyDescent="0.3">
      <c r="A60">
        <v>2472052</v>
      </c>
      <c r="B60">
        <v>5</v>
      </c>
      <c r="C60">
        <f>VLOOKUP(A60,'System Efficiency'!$A$4:$I$71,9,0)</f>
        <v>2750</v>
      </c>
      <c r="D60">
        <f>VLOOKUP(A60,'System Efficiency'!$W$4:$AE$71,9,0)</f>
        <v>908</v>
      </c>
      <c r="E60">
        <f t="shared" si="0"/>
        <v>0.33018181818181819</v>
      </c>
    </row>
    <row r="61" spans="1:5" x14ac:dyDescent="0.3">
      <c r="A61">
        <v>2472053</v>
      </c>
      <c r="B61">
        <v>4.5625</v>
      </c>
      <c r="C61">
        <f>VLOOKUP(A61,'System Efficiency'!$A$4:$I$71,9,0)</f>
        <v>36299</v>
      </c>
      <c r="D61">
        <f>VLOOKUP(A61,'System Efficiency'!$W$4:$AE$71,9,0)</f>
        <v>5563</v>
      </c>
      <c r="E61">
        <f t="shared" si="0"/>
        <v>0.15325491060359789</v>
      </c>
    </row>
    <row r="62" spans="1:5" x14ac:dyDescent="0.3">
      <c r="A62">
        <v>2472056</v>
      </c>
      <c r="B62">
        <v>4.1818181818181817</v>
      </c>
      <c r="C62">
        <f>VLOOKUP(A62,'System Efficiency'!$A$4:$I$71,9,0)</f>
        <v>15978</v>
      </c>
      <c r="D62">
        <f>VLOOKUP(A62,'System Efficiency'!$W$4:$AE$71,9,0)</f>
        <v>4288</v>
      </c>
      <c r="E62">
        <f t="shared" si="0"/>
        <v>0.26836900738515457</v>
      </c>
    </row>
    <row r="63" spans="1:5" x14ac:dyDescent="0.3">
      <c r="A63">
        <v>2472057</v>
      </c>
      <c r="B63">
        <v>4.333333333333333</v>
      </c>
      <c r="C63">
        <f>VLOOKUP(A63,'System Efficiency'!$A$4:$I$71,9,0)</f>
        <v>17739</v>
      </c>
      <c r="D63">
        <f>VLOOKUP(A63,'System Efficiency'!$W$4:$AE$71,9,0)</f>
        <v>3796</v>
      </c>
      <c r="E63">
        <f t="shared" si="0"/>
        <v>0.2139917695473251</v>
      </c>
    </row>
    <row r="64" spans="1:5" x14ac:dyDescent="0.3">
      <c r="A64">
        <v>2472058</v>
      </c>
      <c r="B64">
        <v>4.25</v>
      </c>
      <c r="C64">
        <f>VLOOKUP(A64,'System Efficiency'!$A$4:$I$71,9,0)</f>
        <v>13968</v>
      </c>
      <c r="D64">
        <f>VLOOKUP(A64,'System Efficiency'!$W$4:$AE$71,9,0)</f>
        <v>4423</v>
      </c>
      <c r="E64">
        <f t="shared" si="0"/>
        <v>0.31665234822451316</v>
      </c>
    </row>
    <row r="65" spans="1:5" x14ac:dyDescent="0.3">
      <c r="A65">
        <v>2472064</v>
      </c>
      <c r="B65">
        <v>4.4000000000000004</v>
      </c>
      <c r="C65">
        <f>VLOOKUP(A65,'System Efficiency'!$A$4:$I$71,9,0)</f>
        <v>12578</v>
      </c>
      <c r="D65">
        <f>VLOOKUP(A65,'System Efficiency'!$W$4:$AE$71,9,0)</f>
        <v>3326</v>
      </c>
      <c r="E65">
        <f t="shared" si="0"/>
        <v>0.26442995706789635</v>
      </c>
    </row>
    <row r="66" spans="1:5" x14ac:dyDescent="0.3">
      <c r="A66">
        <v>2472901</v>
      </c>
      <c r="B66">
        <v>3.6</v>
      </c>
      <c r="C66">
        <f>VLOOKUP(A66,'System Efficiency'!$A$4:$I$71,9,0)</f>
        <v>8196</v>
      </c>
      <c r="D66">
        <f>VLOOKUP(A66,'System Efficiency'!$W$4:$AE$71,9,0)</f>
        <v>504</v>
      </c>
      <c r="E66">
        <f t="shared" si="0"/>
        <v>6.149341142020498E-2</v>
      </c>
    </row>
  </sheetData>
  <mergeCells count="1">
    <mergeCell ref="G22:L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MASTER_DATA</vt:lpstr>
      <vt:lpstr>System Efficiency</vt:lpstr>
      <vt:lpstr>User Quality</vt:lpstr>
      <vt:lpstr>Trends</vt:lpstr>
      <vt:lpstr>Prompt Response Correl</vt:lpstr>
      <vt:lpstr>Regresi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Yehezkiel David</cp:lastModifiedBy>
  <dcterms:created xsi:type="dcterms:W3CDTF">2026-04-27T07:29:03Z</dcterms:created>
  <dcterms:modified xsi:type="dcterms:W3CDTF">2026-04-28T09:43:37Z</dcterms:modified>
</cp:coreProperties>
</file>